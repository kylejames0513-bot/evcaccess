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moryvalleycenter0.sharepoint.com/sites/HiringCommittee/Shared Documents/General/Separation Summary/"/>
    </mc:Choice>
  </mc:AlternateContent>
  <xr:revisionPtr revIDLastSave="32" documentId="11_2B73FAEA110ACFDE855EE05211B1B63BFD55399B" xr6:coauthVersionLast="47" xr6:coauthVersionMax="47" xr10:uidLastSave="{AB670ADE-7B0F-403E-BF4B-7AC37F6B7B36}"/>
  <bookViews>
    <workbookView xWindow="28680" yWindow="-945" windowWidth="29040" windowHeight="15720" tabRatio="500" xr2:uid="{00000000-000D-0000-FFFF-FFFF00000000}"/>
  </bookViews>
  <sheets>
    <sheet name="Dashboard" sheetId="1" r:id="rId1"/>
    <sheet name="Multi-Year Analytics" sheetId="2" r:id="rId2"/>
    <sheet name="FY 2027 (Jan27-Dec27)" sheetId="3" r:id="rId3"/>
    <sheet name="FY 2026 (Jan26-Dec26)" sheetId="4" r:id="rId4"/>
    <sheet name="FY 2025 (Jan25-Dec25)" sheetId="5" r:id="rId5"/>
    <sheet name="FY 2024 (Jan24-Dec24)" sheetId="6" r:id="rId6"/>
    <sheet name="FY 2023 (Jan23-Dec23)" sheetId="7" r:id="rId7"/>
    <sheet name="Data" sheetId="8" state="hidden" r:id="rId8"/>
    <sheet name="Reference" sheetId="9" state="hidden" r:id="rId9"/>
  </sheets>
  <definedNames>
    <definedName name="_xlnm.Print_Area" localSheetId="0">Dashboard!$A$1:$J$85</definedName>
  </definedNames>
  <calcPr calcId="191028" iterateDelta="1E-4" calcMode="auto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1" i="4" l="1"/>
  <c r="M92" i="8"/>
  <c r="L92" i="8"/>
  <c r="K92" i="8"/>
  <c r="J92" i="8"/>
  <c r="I92" i="8"/>
  <c r="H92" i="8"/>
  <c r="G92" i="8"/>
  <c r="F92" i="8"/>
  <c r="E92" i="8"/>
  <c r="D92" i="8"/>
  <c r="C92" i="8"/>
  <c r="B92" i="8"/>
  <c r="N91" i="8"/>
  <c r="N90" i="8"/>
  <c r="N89" i="8"/>
  <c r="N88" i="8"/>
  <c r="N92" i="8" s="1"/>
  <c r="G67" i="8"/>
  <c r="F67" i="8"/>
  <c r="E67" i="8"/>
  <c r="D67" i="8"/>
  <c r="C67" i="8"/>
  <c r="G66" i="8"/>
  <c r="F66" i="8"/>
  <c r="B38" i="1" s="1"/>
  <c r="E66" i="8"/>
  <c r="D66" i="8"/>
  <c r="C66" i="8"/>
  <c r="G65" i="8"/>
  <c r="F65" i="8"/>
  <c r="B37" i="1" s="1"/>
  <c r="E65" i="8"/>
  <c r="D65" i="8"/>
  <c r="C65" i="8"/>
  <c r="G64" i="8"/>
  <c r="F64" i="8"/>
  <c r="B36" i="1" s="1"/>
  <c r="E64" i="8"/>
  <c r="D64" i="8"/>
  <c r="C64" i="8"/>
  <c r="G63" i="8"/>
  <c r="F63" i="8"/>
  <c r="B35" i="1" s="1"/>
  <c r="E63" i="8"/>
  <c r="D63" i="8"/>
  <c r="C63" i="8"/>
  <c r="G62" i="8"/>
  <c r="F62" i="8"/>
  <c r="B34" i="1" s="1"/>
  <c r="E62" i="8"/>
  <c r="D62" i="8"/>
  <c r="C62" i="8"/>
  <c r="G61" i="8"/>
  <c r="F61" i="8"/>
  <c r="B33" i="1" s="1"/>
  <c r="E61" i="8"/>
  <c r="D61" i="8"/>
  <c r="C61" i="8"/>
  <c r="G60" i="8"/>
  <c r="F60" i="8"/>
  <c r="B32" i="1" s="1"/>
  <c r="E60" i="8"/>
  <c r="D60" i="8"/>
  <c r="C60" i="8"/>
  <c r="G59" i="8"/>
  <c r="F59" i="8"/>
  <c r="B31" i="1" s="1"/>
  <c r="E59" i="8"/>
  <c r="D59" i="8"/>
  <c r="C59" i="8"/>
  <c r="G58" i="8"/>
  <c r="F58" i="8"/>
  <c r="B30" i="1" s="1"/>
  <c r="E58" i="8"/>
  <c r="D58" i="8"/>
  <c r="C58" i="8"/>
  <c r="G57" i="8"/>
  <c r="F57" i="8"/>
  <c r="B29" i="1" s="1"/>
  <c r="E57" i="8"/>
  <c r="D57" i="8"/>
  <c r="C57" i="8"/>
  <c r="G56" i="8"/>
  <c r="F56" i="8"/>
  <c r="B28" i="1" s="1"/>
  <c r="E56" i="8"/>
  <c r="D56" i="8"/>
  <c r="C56" i="8"/>
  <c r="F52" i="8"/>
  <c r="E52" i="8"/>
  <c r="D52" i="8"/>
  <c r="C52" i="8"/>
  <c r="B52" i="8"/>
  <c r="F51" i="8"/>
  <c r="E51" i="8"/>
  <c r="D51" i="8"/>
  <c r="C51" i="8"/>
  <c r="B51" i="8"/>
  <c r="F50" i="8"/>
  <c r="E50" i="8"/>
  <c r="D50" i="8"/>
  <c r="C50" i="8"/>
  <c r="B50" i="8"/>
  <c r="F49" i="8"/>
  <c r="E49" i="8"/>
  <c r="D49" i="8"/>
  <c r="C49" i="8"/>
  <c r="B49" i="8"/>
  <c r="F48" i="8"/>
  <c r="E48" i="8"/>
  <c r="D48" i="8"/>
  <c r="C48" i="8"/>
  <c r="B48" i="8"/>
  <c r="F47" i="8"/>
  <c r="E47" i="8"/>
  <c r="D47" i="8"/>
  <c r="C47" i="8"/>
  <c r="B47" i="8"/>
  <c r="F46" i="8"/>
  <c r="E46" i="8"/>
  <c r="D46" i="8"/>
  <c r="C46" i="8"/>
  <c r="B46" i="8"/>
  <c r="F45" i="8"/>
  <c r="E45" i="8"/>
  <c r="D45" i="8"/>
  <c r="C45" i="8"/>
  <c r="B45" i="8"/>
  <c r="F44" i="8"/>
  <c r="E44" i="8"/>
  <c r="D44" i="8"/>
  <c r="C44" i="8"/>
  <c r="B44" i="8"/>
  <c r="F43" i="8"/>
  <c r="E43" i="8"/>
  <c r="D43" i="8"/>
  <c r="C43" i="8"/>
  <c r="B43" i="8"/>
  <c r="F42" i="8"/>
  <c r="E42" i="8"/>
  <c r="D42" i="8"/>
  <c r="C42" i="8"/>
  <c r="B42" i="8"/>
  <c r="F41" i="8"/>
  <c r="E41" i="8"/>
  <c r="D41" i="8"/>
  <c r="C41" i="8"/>
  <c r="B41" i="8"/>
  <c r="F40" i="8"/>
  <c r="E40" i="8"/>
  <c r="D40" i="8"/>
  <c r="C40" i="8"/>
  <c r="B40" i="8"/>
  <c r="F39" i="8"/>
  <c r="E39" i="8"/>
  <c r="D39" i="8"/>
  <c r="C39" i="8"/>
  <c r="B39" i="8"/>
  <c r="F38" i="8"/>
  <c r="E38" i="8"/>
  <c r="B38" i="8"/>
  <c r="F37" i="8"/>
  <c r="E37" i="8"/>
  <c r="B37" i="8"/>
  <c r="F36" i="8"/>
  <c r="E36" i="8"/>
  <c r="B36" i="8"/>
  <c r="F35" i="8"/>
  <c r="E35" i="8"/>
  <c r="B35" i="8"/>
  <c r="F34" i="8"/>
  <c r="E34" i="8"/>
  <c r="B34" i="8"/>
  <c r="F33" i="8"/>
  <c r="E33" i="8"/>
  <c r="B33" i="8"/>
  <c r="F32" i="8"/>
  <c r="E32" i="8"/>
  <c r="B32" i="8"/>
  <c r="F31" i="8"/>
  <c r="E31" i="8"/>
  <c r="B31" i="8"/>
  <c r="F30" i="8"/>
  <c r="E30" i="8"/>
  <c r="B30" i="8"/>
  <c r="F29" i="8"/>
  <c r="D29" i="8"/>
  <c r="C29" i="8"/>
  <c r="B29" i="8"/>
  <c r="F28" i="8"/>
  <c r="D28" i="8"/>
  <c r="C28" i="8"/>
  <c r="B28" i="8"/>
  <c r="F27" i="8"/>
  <c r="D27" i="8"/>
  <c r="C27" i="8"/>
  <c r="B27" i="8"/>
  <c r="F26" i="8"/>
  <c r="D26" i="8"/>
  <c r="C26" i="8"/>
  <c r="B26" i="8"/>
  <c r="F25" i="8"/>
  <c r="D25" i="8"/>
  <c r="C25" i="8"/>
  <c r="B25" i="8"/>
  <c r="F24" i="8"/>
  <c r="D24" i="8"/>
  <c r="C24" i="8"/>
  <c r="B24" i="8"/>
  <c r="F23" i="8"/>
  <c r="D23" i="8"/>
  <c r="C23" i="8"/>
  <c r="B23" i="8"/>
  <c r="F22" i="8"/>
  <c r="D22" i="8"/>
  <c r="C22" i="8"/>
  <c r="B22" i="8"/>
  <c r="F21" i="8"/>
  <c r="E21" i="8"/>
  <c r="D21" i="8"/>
  <c r="C21" i="8"/>
  <c r="B21" i="8"/>
  <c r="D14" i="8"/>
  <c r="J6" i="8"/>
  <c r="G6" i="8"/>
  <c r="G80" i="8" s="1"/>
  <c r="F6" i="8"/>
  <c r="F80" i="8" s="1"/>
  <c r="B6" i="8"/>
  <c r="J5" i="8"/>
  <c r="G5" i="8"/>
  <c r="F5" i="8"/>
  <c r="B5" i="8"/>
  <c r="J4" i="8"/>
  <c r="G4" i="8"/>
  <c r="G78" i="8" s="1"/>
  <c r="F4" i="8"/>
  <c r="F78" i="8" s="1"/>
  <c r="B4" i="8"/>
  <c r="J3" i="8"/>
  <c r="G3" i="8"/>
  <c r="G77" i="8" s="1"/>
  <c r="F3" i="8"/>
  <c r="F77" i="8" s="1"/>
  <c r="B3" i="8"/>
  <c r="J2" i="8"/>
  <c r="G2" i="8"/>
  <c r="G76" i="8" s="1"/>
  <c r="F2" i="8"/>
  <c r="F76" i="8" s="1"/>
  <c r="B2" i="8"/>
  <c r="B413" i="7"/>
  <c r="M11" i="8" s="1"/>
  <c r="M412" i="7"/>
  <c r="M411" i="7"/>
  <c r="M410" i="7"/>
  <c r="M409" i="7"/>
  <c r="M408" i="7"/>
  <c r="M407" i="7"/>
  <c r="M406" i="7"/>
  <c r="M405" i="7"/>
  <c r="M404" i="7"/>
  <c r="M403" i="7"/>
  <c r="M402" i="7"/>
  <c r="M401" i="7"/>
  <c r="M400" i="7"/>
  <c r="M399" i="7"/>
  <c r="M398" i="7"/>
  <c r="M397" i="7"/>
  <c r="M396" i="7"/>
  <c r="M395" i="7"/>
  <c r="M394" i="7"/>
  <c r="M393" i="7"/>
  <c r="M392" i="7"/>
  <c r="M391" i="7"/>
  <c r="M390" i="7"/>
  <c r="M389" i="7"/>
  <c r="M388" i="7"/>
  <c r="M387" i="7"/>
  <c r="M386" i="7"/>
  <c r="M385" i="7"/>
  <c r="M384" i="7"/>
  <c r="M383" i="7"/>
  <c r="B379" i="7"/>
  <c r="L11" i="8" s="1"/>
  <c r="M378" i="7"/>
  <c r="M377" i="7"/>
  <c r="M376" i="7"/>
  <c r="M375" i="7"/>
  <c r="M374" i="7"/>
  <c r="M373" i="7"/>
  <c r="M372" i="7"/>
  <c r="M371" i="7"/>
  <c r="M370" i="7"/>
  <c r="M369" i="7"/>
  <c r="M368" i="7"/>
  <c r="M367" i="7"/>
  <c r="M366" i="7"/>
  <c r="M365" i="7"/>
  <c r="M364" i="7"/>
  <c r="M363" i="7"/>
  <c r="M362" i="7"/>
  <c r="M361" i="7"/>
  <c r="M360" i="7"/>
  <c r="M359" i="7"/>
  <c r="M358" i="7"/>
  <c r="M357" i="7"/>
  <c r="M356" i="7"/>
  <c r="M355" i="7"/>
  <c r="M354" i="7"/>
  <c r="M353" i="7"/>
  <c r="M352" i="7"/>
  <c r="M351" i="7"/>
  <c r="M350" i="7"/>
  <c r="M349" i="7"/>
  <c r="B345" i="7"/>
  <c r="K11" i="8" s="1"/>
  <c r="M344" i="7"/>
  <c r="M343" i="7"/>
  <c r="M342" i="7"/>
  <c r="M341" i="7"/>
  <c r="M340" i="7"/>
  <c r="M339" i="7"/>
  <c r="M338" i="7"/>
  <c r="M337" i="7"/>
  <c r="M336" i="7"/>
  <c r="M335" i="7"/>
  <c r="M334" i="7"/>
  <c r="M333" i="7"/>
  <c r="M332" i="7"/>
  <c r="M331" i="7"/>
  <c r="M330" i="7"/>
  <c r="M329" i="7"/>
  <c r="M328" i="7"/>
  <c r="M327" i="7"/>
  <c r="M326" i="7"/>
  <c r="M325" i="7"/>
  <c r="M324" i="7"/>
  <c r="M323" i="7"/>
  <c r="M322" i="7"/>
  <c r="M321" i="7"/>
  <c r="M320" i="7"/>
  <c r="M319" i="7"/>
  <c r="M318" i="7"/>
  <c r="M317" i="7"/>
  <c r="M316" i="7"/>
  <c r="M315" i="7"/>
  <c r="B311" i="7"/>
  <c r="J11" i="8" s="1"/>
  <c r="M310" i="7"/>
  <c r="M309" i="7"/>
  <c r="M308" i="7"/>
  <c r="M307" i="7"/>
  <c r="M306" i="7"/>
  <c r="M305" i="7"/>
  <c r="M304" i="7"/>
  <c r="M303" i="7"/>
  <c r="M302" i="7"/>
  <c r="M301" i="7"/>
  <c r="M300" i="7"/>
  <c r="M299" i="7"/>
  <c r="M298" i="7"/>
  <c r="M297" i="7"/>
  <c r="M296" i="7"/>
  <c r="M295" i="7"/>
  <c r="M294" i="7"/>
  <c r="M293" i="7"/>
  <c r="M292" i="7"/>
  <c r="M291" i="7"/>
  <c r="M290" i="7"/>
  <c r="M289" i="7"/>
  <c r="M288" i="7"/>
  <c r="M287" i="7"/>
  <c r="M286" i="7"/>
  <c r="M285" i="7"/>
  <c r="M284" i="7"/>
  <c r="M283" i="7"/>
  <c r="M282" i="7"/>
  <c r="M281" i="7"/>
  <c r="B277" i="7"/>
  <c r="I11" i="8" s="1"/>
  <c r="M276" i="7"/>
  <c r="M275" i="7"/>
  <c r="M274" i="7"/>
  <c r="M273" i="7"/>
  <c r="M272" i="7"/>
  <c r="M271" i="7"/>
  <c r="M270" i="7"/>
  <c r="M269" i="7"/>
  <c r="M268" i="7"/>
  <c r="M267" i="7"/>
  <c r="M266" i="7"/>
  <c r="M265" i="7"/>
  <c r="M264" i="7"/>
  <c r="M263" i="7"/>
  <c r="M262" i="7"/>
  <c r="M261" i="7"/>
  <c r="M260" i="7"/>
  <c r="M259" i="7"/>
  <c r="M258" i="7"/>
  <c r="M257" i="7"/>
  <c r="M256" i="7"/>
  <c r="M255" i="7"/>
  <c r="M254" i="7"/>
  <c r="M253" i="7"/>
  <c r="M252" i="7"/>
  <c r="M251" i="7"/>
  <c r="M250" i="7"/>
  <c r="M249" i="7"/>
  <c r="M248" i="7"/>
  <c r="M247" i="7"/>
  <c r="B243" i="7"/>
  <c r="H11" i="8" s="1"/>
  <c r="M242" i="7"/>
  <c r="M241" i="7"/>
  <c r="M240" i="7"/>
  <c r="M239" i="7"/>
  <c r="M238" i="7"/>
  <c r="M237" i="7"/>
  <c r="M236" i="7"/>
  <c r="M235" i="7"/>
  <c r="M234" i="7"/>
  <c r="M233" i="7"/>
  <c r="M232" i="7"/>
  <c r="M231" i="7"/>
  <c r="M230" i="7"/>
  <c r="M229" i="7"/>
  <c r="M228" i="7"/>
  <c r="M227" i="7"/>
  <c r="M226" i="7"/>
  <c r="M225" i="7"/>
  <c r="M224" i="7"/>
  <c r="M223" i="7"/>
  <c r="M222" i="7"/>
  <c r="M221" i="7"/>
  <c r="M220" i="7"/>
  <c r="M219" i="7"/>
  <c r="M218" i="7"/>
  <c r="M217" i="7"/>
  <c r="M216" i="7"/>
  <c r="M215" i="7"/>
  <c r="M214" i="7"/>
  <c r="M213" i="7"/>
  <c r="B209" i="7"/>
  <c r="G11" i="8" s="1"/>
  <c r="M208" i="7"/>
  <c r="M207" i="7"/>
  <c r="M206" i="7"/>
  <c r="M205" i="7"/>
  <c r="M204" i="7"/>
  <c r="M203" i="7"/>
  <c r="M202" i="7"/>
  <c r="M201" i="7"/>
  <c r="M200" i="7"/>
  <c r="M199" i="7"/>
  <c r="M198" i="7"/>
  <c r="M197" i="7"/>
  <c r="M196" i="7"/>
  <c r="M195" i="7"/>
  <c r="M194" i="7"/>
  <c r="M193" i="7"/>
  <c r="M192" i="7"/>
  <c r="M191" i="7"/>
  <c r="M190" i="7"/>
  <c r="M189" i="7"/>
  <c r="M188" i="7"/>
  <c r="M187" i="7"/>
  <c r="M186" i="7"/>
  <c r="M185" i="7"/>
  <c r="M184" i="7"/>
  <c r="M183" i="7"/>
  <c r="M182" i="7"/>
  <c r="M181" i="7"/>
  <c r="M180" i="7"/>
  <c r="M179" i="7"/>
  <c r="B175" i="7"/>
  <c r="F11" i="8" s="1"/>
  <c r="M174" i="7"/>
  <c r="M173" i="7"/>
  <c r="M172" i="7"/>
  <c r="M171" i="7"/>
  <c r="M170" i="7"/>
  <c r="M169" i="7"/>
  <c r="M168" i="7"/>
  <c r="M167" i="7"/>
  <c r="M166" i="7"/>
  <c r="M165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B141" i="7"/>
  <c r="E11" i="8" s="1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B107" i="7"/>
  <c r="D11" i="8" s="1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B73" i="7"/>
  <c r="C11" i="8" s="1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B39" i="7"/>
  <c r="B11" i="8" s="1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E5" i="7"/>
  <c r="B413" i="6"/>
  <c r="M12" i="8" s="1"/>
  <c r="M412" i="6"/>
  <c r="M411" i="6"/>
  <c r="M410" i="6"/>
  <c r="M409" i="6"/>
  <c r="M408" i="6"/>
  <c r="M407" i="6"/>
  <c r="M406" i="6"/>
  <c r="M405" i="6"/>
  <c r="M404" i="6"/>
  <c r="M403" i="6"/>
  <c r="M402" i="6"/>
  <c r="M401" i="6"/>
  <c r="M400" i="6"/>
  <c r="M399" i="6"/>
  <c r="M398" i="6"/>
  <c r="M397" i="6"/>
  <c r="M396" i="6"/>
  <c r="M395" i="6"/>
  <c r="M394" i="6"/>
  <c r="M393" i="6"/>
  <c r="M392" i="6"/>
  <c r="M391" i="6"/>
  <c r="M390" i="6"/>
  <c r="M389" i="6"/>
  <c r="M388" i="6"/>
  <c r="M387" i="6"/>
  <c r="M386" i="6"/>
  <c r="M385" i="6"/>
  <c r="M384" i="6"/>
  <c r="M383" i="6"/>
  <c r="B379" i="6"/>
  <c r="L12" i="8" s="1"/>
  <c r="M378" i="6"/>
  <c r="M377" i="6"/>
  <c r="M376" i="6"/>
  <c r="M375" i="6"/>
  <c r="M374" i="6"/>
  <c r="M373" i="6"/>
  <c r="M372" i="6"/>
  <c r="M371" i="6"/>
  <c r="M370" i="6"/>
  <c r="M369" i="6"/>
  <c r="M368" i="6"/>
  <c r="M367" i="6"/>
  <c r="M366" i="6"/>
  <c r="M365" i="6"/>
  <c r="M364" i="6"/>
  <c r="M363" i="6"/>
  <c r="M362" i="6"/>
  <c r="M361" i="6"/>
  <c r="M360" i="6"/>
  <c r="M359" i="6"/>
  <c r="M358" i="6"/>
  <c r="M357" i="6"/>
  <c r="M356" i="6"/>
  <c r="M355" i="6"/>
  <c r="M354" i="6"/>
  <c r="M353" i="6"/>
  <c r="M352" i="6"/>
  <c r="M351" i="6"/>
  <c r="M350" i="6"/>
  <c r="M349" i="6"/>
  <c r="B345" i="6"/>
  <c r="K12" i="8" s="1"/>
  <c r="M344" i="6"/>
  <c r="M343" i="6"/>
  <c r="M342" i="6"/>
  <c r="M341" i="6"/>
  <c r="M340" i="6"/>
  <c r="M339" i="6"/>
  <c r="M338" i="6"/>
  <c r="M337" i="6"/>
  <c r="M336" i="6"/>
  <c r="M335" i="6"/>
  <c r="M334" i="6"/>
  <c r="M333" i="6"/>
  <c r="M332" i="6"/>
  <c r="M331" i="6"/>
  <c r="M330" i="6"/>
  <c r="M329" i="6"/>
  <c r="M328" i="6"/>
  <c r="M327" i="6"/>
  <c r="M326" i="6"/>
  <c r="M325" i="6"/>
  <c r="M324" i="6"/>
  <c r="M323" i="6"/>
  <c r="M322" i="6"/>
  <c r="M321" i="6"/>
  <c r="M320" i="6"/>
  <c r="M319" i="6"/>
  <c r="M318" i="6"/>
  <c r="M317" i="6"/>
  <c r="M316" i="6"/>
  <c r="M315" i="6"/>
  <c r="B311" i="6"/>
  <c r="J12" i="8" s="1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B277" i="6"/>
  <c r="I12" i="8" s="1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B243" i="6"/>
  <c r="H12" i="8" s="1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B209" i="6"/>
  <c r="G12" i="8" s="1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B175" i="6"/>
  <c r="F12" i="8" s="1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B141" i="6"/>
  <c r="E12" i="8" s="1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B107" i="6"/>
  <c r="D12" i="8" s="1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B73" i="6"/>
  <c r="C12" i="8" s="1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B39" i="6"/>
  <c r="B12" i="8" s="1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E5" i="6"/>
  <c r="B413" i="5"/>
  <c r="M13" i="8" s="1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D387" i="5"/>
  <c r="M386" i="5"/>
  <c r="D386" i="5"/>
  <c r="M385" i="5"/>
  <c r="D385" i="5"/>
  <c r="M384" i="5"/>
  <c r="D384" i="5"/>
  <c r="M383" i="5"/>
  <c r="D383" i="5"/>
  <c r="B379" i="5"/>
  <c r="L13" i="8" s="1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D357" i="5"/>
  <c r="M356" i="5"/>
  <c r="D356" i="5"/>
  <c r="M355" i="5"/>
  <c r="D355" i="5"/>
  <c r="M354" i="5"/>
  <c r="D354" i="5"/>
  <c r="M353" i="5"/>
  <c r="D353" i="5"/>
  <c r="M352" i="5"/>
  <c r="D352" i="5"/>
  <c r="M351" i="5"/>
  <c r="D351" i="5"/>
  <c r="M350" i="5"/>
  <c r="D350" i="5"/>
  <c r="M349" i="5"/>
  <c r="D349" i="5"/>
  <c r="B345" i="5"/>
  <c r="K13" i="8" s="1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D327" i="5"/>
  <c r="M326" i="5"/>
  <c r="D326" i="5"/>
  <c r="M325" i="5"/>
  <c r="D325" i="5"/>
  <c r="M324" i="5"/>
  <c r="D324" i="5"/>
  <c r="M323" i="5"/>
  <c r="D323" i="5"/>
  <c r="M322" i="5"/>
  <c r="D322" i="5"/>
  <c r="M321" i="5"/>
  <c r="D321" i="5"/>
  <c r="M320" i="5"/>
  <c r="D320" i="5"/>
  <c r="M319" i="5"/>
  <c r="D319" i="5"/>
  <c r="M318" i="5"/>
  <c r="D318" i="5"/>
  <c r="M317" i="5"/>
  <c r="D317" i="5"/>
  <c r="M316" i="5"/>
  <c r="D316" i="5"/>
  <c r="M315" i="5"/>
  <c r="D315" i="5"/>
  <c r="B311" i="5"/>
  <c r="J13" i="8" s="1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D292" i="5"/>
  <c r="M291" i="5"/>
  <c r="D291" i="5"/>
  <c r="M290" i="5"/>
  <c r="D290" i="5"/>
  <c r="M289" i="5"/>
  <c r="D289" i="5"/>
  <c r="M288" i="5"/>
  <c r="D288" i="5"/>
  <c r="M287" i="5"/>
  <c r="D287" i="5"/>
  <c r="M286" i="5"/>
  <c r="D286" i="5"/>
  <c r="M285" i="5"/>
  <c r="D285" i="5"/>
  <c r="M284" i="5"/>
  <c r="D284" i="5"/>
  <c r="M283" i="5"/>
  <c r="D283" i="5"/>
  <c r="M282" i="5"/>
  <c r="D282" i="5"/>
  <c r="M281" i="5"/>
  <c r="D281" i="5"/>
  <c r="B277" i="5"/>
  <c r="I13" i="8" s="1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D260" i="5"/>
  <c r="M259" i="5"/>
  <c r="D259" i="5"/>
  <c r="M258" i="5"/>
  <c r="D258" i="5"/>
  <c r="M257" i="5"/>
  <c r="D257" i="5"/>
  <c r="M256" i="5"/>
  <c r="D256" i="5"/>
  <c r="M255" i="5"/>
  <c r="D255" i="5"/>
  <c r="M254" i="5"/>
  <c r="D254" i="5"/>
  <c r="M253" i="5"/>
  <c r="D253" i="5"/>
  <c r="M252" i="5"/>
  <c r="D252" i="5"/>
  <c r="M251" i="5"/>
  <c r="D251" i="5"/>
  <c r="M250" i="5"/>
  <c r="D250" i="5"/>
  <c r="M249" i="5"/>
  <c r="D249" i="5"/>
  <c r="M248" i="5"/>
  <c r="D248" i="5"/>
  <c r="M247" i="5"/>
  <c r="D247" i="5"/>
  <c r="B243" i="5"/>
  <c r="H13" i="8" s="1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D228" i="5"/>
  <c r="M227" i="5"/>
  <c r="D227" i="5"/>
  <c r="M226" i="5"/>
  <c r="D226" i="5"/>
  <c r="M225" i="5"/>
  <c r="D225" i="5"/>
  <c r="M224" i="5"/>
  <c r="D224" i="5"/>
  <c r="M223" i="5"/>
  <c r="D223" i="5"/>
  <c r="M222" i="5"/>
  <c r="D222" i="5"/>
  <c r="M221" i="5"/>
  <c r="D221" i="5"/>
  <c r="M220" i="5"/>
  <c r="D220" i="5"/>
  <c r="M219" i="5"/>
  <c r="D219" i="5"/>
  <c r="M218" i="5"/>
  <c r="D218" i="5"/>
  <c r="M217" i="5"/>
  <c r="D217" i="5"/>
  <c r="M216" i="5"/>
  <c r="D216" i="5"/>
  <c r="M215" i="5"/>
  <c r="D215" i="5"/>
  <c r="M214" i="5"/>
  <c r="D214" i="5"/>
  <c r="M213" i="5"/>
  <c r="D213" i="5"/>
  <c r="B209" i="5"/>
  <c r="G13" i="8" s="1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B175" i="5"/>
  <c r="F13" i="8" s="1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B141" i="5"/>
  <c r="E13" i="8" s="1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B107" i="5"/>
  <c r="D13" i="8" s="1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B73" i="5"/>
  <c r="C13" i="8" s="1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B39" i="5"/>
  <c r="B13" i="8" s="1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E5" i="5"/>
  <c r="B357" i="4"/>
  <c r="M14" i="8" s="1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B323" i="4"/>
  <c r="L14" i="8" s="1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B289" i="4"/>
  <c r="K14" i="8" s="1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B255" i="4"/>
  <c r="J14" i="8" s="1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B221" i="4"/>
  <c r="I14" i="8" s="1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B187" i="4"/>
  <c r="H14" i="8" s="1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B153" i="4"/>
  <c r="G14" i="8" s="1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B119" i="4"/>
  <c r="F14" i="8" s="1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B85" i="4"/>
  <c r="E14" i="8" s="1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D57" i="4"/>
  <c r="M56" i="4"/>
  <c r="D56" i="4"/>
  <c r="M55" i="4"/>
  <c r="D55" i="4"/>
  <c r="M50" i="4"/>
  <c r="M49" i="4"/>
  <c r="M48" i="4"/>
  <c r="M47" i="4"/>
  <c r="D47" i="4"/>
  <c r="M46" i="4"/>
  <c r="D46" i="4"/>
  <c r="M45" i="4"/>
  <c r="D45" i="4"/>
  <c r="M44" i="4"/>
  <c r="D44" i="4"/>
  <c r="M43" i="4"/>
  <c r="D43" i="4"/>
  <c r="M42" i="4"/>
  <c r="D42" i="4"/>
  <c r="M41" i="4"/>
  <c r="M40" i="4"/>
  <c r="D40" i="4"/>
  <c r="M39" i="4"/>
  <c r="D39" i="4"/>
  <c r="M38" i="4"/>
  <c r="D38" i="4"/>
  <c r="M37" i="4"/>
  <c r="D37" i="4"/>
  <c r="B33" i="4"/>
  <c r="C14" i="8" s="1"/>
  <c r="M32" i="4"/>
  <c r="M31" i="4"/>
  <c r="D31" i="4"/>
  <c r="M30" i="4"/>
  <c r="D30" i="4"/>
  <c r="M29" i="4"/>
  <c r="D29" i="4"/>
  <c r="M28" i="4"/>
  <c r="D28" i="4"/>
  <c r="M27" i="4"/>
  <c r="D27" i="4"/>
  <c r="M26" i="4"/>
  <c r="D26" i="4"/>
  <c r="M25" i="4"/>
  <c r="D25" i="4"/>
  <c r="M24" i="4"/>
  <c r="D24" i="4"/>
  <c r="M23" i="4"/>
  <c r="D23" i="4"/>
  <c r="M22" i="4"/>
  <c r="D22" i="4"/>
  <c r="B18" i="4"/>
  <c r="B14" i="8" s="1"/>
  <c r="M17" i="4"/>
  <c r="M16" i="4"/>
  <c r="D16" i="4"/>
  <c r="M15" i="4"/>
  <c r="D15" i="4"/>
  <c r="M14" i="4"/>
  <c r="D14" i="4"/>
  <c r="M13" i="4"/>
  <c r="D13" i="4"/>
  <c r="M12" i="4"/>
  <c r="D12" i="4"/>
  <c r="M11" i="4"/>
  <c r="D11" i="4"/>
  <c r="M10" i="4"/>
  <c r="D10" i="4"/>
  <c r="M9" i="4"/>
  <c r="D9" i="4"/>
  <c r="E5" i="4"/>
  <c r="B413" i="3"/>
  <c r="M15" i="8" s="1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B379" i="3"/>
  <c r="L15" i="8" s="1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B345" i="3"/>
  <c r="K15" i="8" s="1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B311" i="3"/>
  <c r="J15" i="8" s="1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B277" i="3"/>
  <c r="I15" i="8" s="1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B243" i="3"/>
  <c r="H15" i="8" s="1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B209" i="3"/>
  <c r="G15" i="8" s="1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B175" i="3"/>
  <c r="F15" i="8" s="1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B141" i="3"/>
  <c r="E15" i="8" s="1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B107" i="3"/>
  <c r="D15" i="8" s="1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B73" i="3"/>
  <c r="C15" i="8" s="1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B39" i="3"/>
  <c r="B15" i="8" s="1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E5" i="3"/>
  <c r="F71" i="2"/>
  <c r="E71" i="2"/>
  <c r="D71" i="2"/>
  <c r="C71" i="2"/>
  <c r="B71" i="2"/>
  <c r="G71" i="2" s="1"/>
  <c r="F70" i="2"/>
  <c r="E70" i="2"/>
  <c r="D70" i="2"/>
  <c r="C70" i="2"/>
  <c r="B70" i="2"/>
  <c r="G70" i="2" s="1"/>
  <c r="F69" i="2"/>
  <c r="E69" i="2"/>
  <c r="D69" i="2"/>
  <c r="C69" i="2"/>
  <c r="B69" i="2"/>
  <c r="G69" i="2" s="1"/>
  <c r="F68" i="2"/>
  <c r="E68" i="2"/>
  <c r="D68" i="2"/>
  <c r="C68" i="2"/>
  <c r="B68" i="2"/>
  <c r="G68" i="2" s="1"/>
  <c r="F67" i="2"/>
  <c r="E67" i="2"/>
  <c r="D67" i="2"/>
  <c r="C67" i="2"/>
  <c r="B67" i="2"/>
  <c r="G67" i="2" s="1"/>
  <c r="F66" i="2"/>
  <c r="E66" i="2"/>
  <c r="D66" i="2"/>
  <c r="C66" i="2"/>
  <c r="B66" i="2"/>
  <c r="G66" i="2" s="1"/>
  <c r="F65" i="2"/>
  <c r="E65" i="2"/>
  <c r="D65" i="2"/>
  <c r="C65" i="2"/>
  <c r="B65" i="2"/>
  <c r="G65" i="2" s="1"/>
  <c r="F64" i="2"/>
  <c r="E64" i="2"/>
  <c r="D64" i="2"/>
  <c r="C64" i="2"/>
  <c r="B64" i="2"/>
  <c r="G64" i="2" s="1"/>
  <c r="F63" i="2"/>
  <c r="E63" i="2"/>
  <c r="D63" i="2"/>
  <c r="C63" i="2"/>
  <c r="B63" i="2"/>
  <c r="G63" i="2" s="1"/>
  <c r="F62" i="2"/>
  <c r="E62" i="2"/>
  <c r="D62" i="2"/>
  <c r="C62" i="2"/>
  <c r="B62" i="2"/>
  <c r="G62" i="2" s="1"/>
  <c r="F61" i="2"/>
  <c r="E61" i="2"/>
  <c r="D61" i="2"/>
  <c r="C61" i="2"/>
  <c r="B61" i="2"/>
  <c r="G61" i="2" s="1"/>
  <c r="F60" i="2"/>
  <c r="E60" i="2"/>
  <c r="D60" i="2"/>
  <c r="C60" i="2"/>
  <c r="B60" i="2"/>
  <c r="G60" i="2" s="1"/>
  <c r="F54" i="2"/>
  <c r="D54" i="2"/>
  <c r="C54" i="2"/>
  <c r="B54" i="2"/>
  <c r="F52" i="2"/>
  <c r="D52" i="2"/>
  <c r="C52" i="2"/>
  <c r="B52" i="2"/>
  <c r="F51" i="2"/>
  <c r="D51" i="2"/>
  <c r="C51" i="2"/>
  <c r="B51" i="2"/>
  <c r="F50" i="2"/>
  <c r="D50" i="2"/>
  <c r="C50" i="2"/>
  <c r="B50" i="2"/>
  <c r="F48" i="2"/>
  <c r="D48" i="2"/>
  <c r="C48" i="2"/>
  <c r="B48" i="2"/>
  <c r="F47" i="2"/>
  <c r="D47" i="2"/>
  <c r="C47" i="2"/>
  <c r="B47" i="2"/>
  <c r="F45" i="2"/>
  <c r="D45" i="2"/>
  <c r="C45" i="2"/>
  <c r="B45" i="2"/>
  <c r="F44" i="2"/>
  <c r="D44" i="2"/>
  <c r="C44" i="2"/>
  <c r="B44" i="2"/>
  <c r="F42" i="2"/>
  <c r="D42" i="2"/>
  <c r="C42" i="2"/>
  <c r="B42" i="2"/>
  <c r="F41" i="2"/>
  <c r="D41" i="2"/>
  <c r="C41" i="2"/>
  <c r="B41" i="2"/>
  <c r="F40" i="2"/>
  <c r="D40" i="2"/>
  <c r="C40" i="2"/>
  <c r="B40" i="2"/>
  <c r="F38" i="2"/>
  <c r="D38" i="2"/>
  <c r="C38" i="2"/>
  <c r="B38" i="2"/>
  <c r="F37" i="2"/>
  <c r="D37" i="2"/>
  <c r="C37" i="2"/>
  <c r="B37" i="2"/>
  <c r="F36" i="2"/>
  <c r="D36" i="2"/>
  <c r="C36" i="2"/>
  <c r="B36" i="2"/>
  <c r="F34" i="2"/>
  <c r="B34" i="2"/>
  <c r="F33" i="2"/>
  <c r="B33" i="2"/>
  <c r="F32" i="2"/>
  <c r="B32" i="2"/>
  <c r="F31" i="2"/>
  <c r="B31" i="2"/>
  <c r="F30" i="2"/>
  <c r="B30" i="2"/>
  <c r="F29" i="2"/>
  <c r="B29" i="2"/>
  <c r="F28" i="2"/>
  <c r="B28" i="2"/>
  <c r="F27" i="2"/>
  <c r="B27" i="2"/>
  <c r="F26" i="2"/>
  <c r="B26" i="2"/>
  <c r="F25" i="2"/>
  <c r="D25" i="2"/>
  <c r="C25" i="2"/>
  <c r="B25" i="2"/>
  <c r="F24" i="2"/>
  <c r="D24" i="2"/>
  <c r="C24" i="2"/>
  <c r="B24" i="2"/>
  <c r="F23" i="2"/>
  <c r="D23" i="2"/>
  <c r="C23" i="2"/>
  <c r="B23" i="2"/>
  <c r="F22" i="2"/>
  <c r="D22" i="2"/>
  <c r="C22" i="2"/>
  <c r="B22" i="2"/>
  <c r="F21" i="2"/>
  <c r="D21" i="2"/>
  <c r="C21" i="2"/>
  <c r="B21" i="2"/>
  <c r="F20" i="2"/>
  <c r="D20" i="2"/>
  <c r="C20" i="2"/>
  <c r="B20" i="2"/>
  <c r="F19" i="2"/>
  <c r="D19" i="2"/>
  <c r="C19" i="2"/>
  <c r="B19" i="2"/>
  <c r="F18" i="2"/>
  <c r="D18" i="2"/>
  <c r="C18" i="2"/>
  <c r="B18" i="2"/>
  <c r="F17" i="2"/>
  <c r="D17" i="2"/>
  <c r="C17" i="2"/>
  <c r="B17" i="2"/>
  <c r="A133" i="1"/>
  <c r="B133" i="1" s="1"/>
  <c r="A131" i="1"/>
  <c r="B131" i="1" s="1"/>
  <c r="A130" i="1"/>
  <c r="B130" i="1" s="1"/>
  <c r="A129" i="1"/>
  <c r="B129" i="1" s="1"/>
  <c r="A127" i="1"/>
  <c r="B127" i="1" s="1"/>
  <c r="A126" i="1"/>
  <c r="B126" i="1" s="1"/>
  <c r="A124" i="1"/>
  <c r="B124" i="1" s="1"/>
  <c r="A123" i="1"/>
  <c r="B123" i="1" s="1"/>
  <c r="A121" i="1"/>
  <c r="B121" i="1" s="1"/>
  <c r="A120" i="1"/>
  <c r="B120" i="1" s="1"/>
  <c r="A119" i="1"/>
  <c r="B119" i="1" s="1"/>
  <c r="A117" i="1"/>
  <c r="B117" i="1" s="1"/>
  <c r="A116" i="1"/>
  <c r="B116" i="1" s="1"/>
  <c r="A115" i="1"/>
  <c r="B115" i="1" s="1"/>
  <c r="A113" i="1"/>
  <c r="B113" i="1" s="1"/>
  <c r="A112" i="1"/>
  <c r="B112" i="1" s="1"/>
  <c r="A111" i="1"/>
  <c r="B111" i="1" s="1"/>
  <c r="G110" i="1"/>
  <c r="H110" i="1" s="1"/>
  <c r="A110" i="1"/>
  <c r="B110" i="1" s="1"/>
  <c r="G109" i="1"/>
  <c r="H109" i="1" s="1"/>
  <c r="A109" i="1"/>
  <c r="B109" i="1" s="1"/>
  <c r="G108" i="1"/>
  <c r="H108" i="1" s="1"/>
  <c r="A108" i="1"/>
  <c r="B108" i="1" s="1"/>
  <c r="A107" i="1"/>
  <c r="B107" i="1" s="1"/>
  <c r="G106" i="1"/>
  <c r="H106" i="1" s="1"/>
  <c r="A106" i="1"/>
  <c r="B106" i="1" s="1"/>
  <c r="G105" i="1"/>
  <c r="H105" i="1" s="1"/>
  <c r="A105" i="1"/>
  <c r="B105" i="1" s="1"/>
  <c r="G104" i="1"/>
  <c r="H104" i="1" s="1"/>
  <c r="A104" i="1"/>
  <c r="B104" i="1" s="1"/>
  <c r="G103" i="1"/>
  <c r="H103" i="1" s="1"/>
  <c r="A103" i="1"/>
  <c r="B103" i="1" s="1"/>
  <c r="G102" i="1"/>
  <c r="H102" i="1" s="1"/>
  <c r="A102" i="1"/>
  <c r="B102" i="1" s="1"/>
  <c r="G101" i="1"/>
  <c r="H101" i="1" s="1"/>
  <c r="A101" i="1"/>
  <c r="B101" i="1" s="1"/>
  <c r="G100" i="1"/>
  <c r="H100" i="1" s="1"/>
  <c r="A100" i="1"/>
  <c r="B100" i="1" s="1"/>
  <c r="G99" i="1"/>
  <c r="H99" i="1" s="1"/>
  <c r="A99" i="1"/>
  <c r="B99" i="1" s="1"/>
  <c r="G98" i="1"/>
  <c r="H98" i="1" s="1"/>
  <c r="A98" i="1"/>
  <c r="B98" i="1" s="1"/>
  <c r="G97" i="1"/>
  <c r="H97" i="1" s="1"/>
  <c r="A97" i="1"/>
  <c r="B97" i="1" s="1"/>
  <c r="G96" i="1"/>
  <c r="H96" i="1" s="1"/>
  <c r="A96" i="1"/>
  <c r="B96" i="1" s="1"/>
  <c r="G95" i="1"/>
  <c r="H95" i="1" s="1"/>
  <c r="G90" i="1"/>
  <c r="E90" i="1"/>
  <c r="A90" i="1"/>
  <c r="I89" i="1"/>
  <c r="G89" i="1"/>
  <c r="E89" i="1"/>
  <c r="C89" i="1"/>
  <c r="A89" i="1"/>
  <c r="B85" i="1"/>
  <c r="B84" i="1"/>
  <c r="B83" i="1"/>
  <c r="B82" i="1"/>
  <c r="B81" i="1"/>
  <c r="B80" i="1"/>
  <c r="B79" i="1"/>
  <c r="B78" i="1"/>
  <c r="B77" i="1"/>
  <c r="B76" i="1"/>
  <c r="B75" i="1"/>
  <c r="B74" i="1"/>
  <c r="H70" i="1"/>
  <c r="G70" i="1"/>
  <c r="F70" i="1"/>
  <c r="E70" i="1"/>
  <c r="D70" i="1"/>
  <c r="C70" i="1"/>
  <c r="B70" i="1"/>
  <c r="H69" i="1"/>
  <c r="G69" i="1"/>
  <c r="F69" i="1"/>
  <c r="E69" i="1"/>
  <c r="D69" i="1"/>
  <c r="C69" i="1"/>
  <c r="B69" i="1"/>
  <c r="H68" i="1"/>
  <c r="G68" i="1"/>
  <c r="F68" i="1"/>
  <c r="E68" i="1"/>
  <c r="D68" i="1"/>
  <c r="C68" i="1"/>
  <c r="B68" i="1"/>
  <c r="H67" i="1"/>
  <c r="G67" i="1"/>
  <c r="F67" i="1"/>
  <c r="E67" i="1"/>
  <c r="D67" i="1"/>
  <c r="C67" i="1"/>
  <c r="B67" i="1"/>
  <c r="G60" i="1"/>
  <c r="F60" i="1"/>
  <c r="G58" i="1"/>
  <c r="F58" i="1"/>
  <c r="G57" i="1"/>
  <c r="F57" i="1"/>
  <c r="I56" i="1"/>
  <c r="G56" i="1"/>
  <c r="F56" i="1"/>
  <c r="B39" i="1"/>
  <c r="B24" i="1"/>
  <c r="D24" i="1" s="1"/>
  <c r="B23" i="1"/>
  <c r="D23" i="1" s="1"/>
  <c r="B22" i="1"/>
  <c r="D22" i="1" s="1"/>
  <c r="B21" i="1"/>
  <c r="D21" i="1" s="1"/>
  <c r="B20" i="1"/>
  <c r="D20" i="1" s="1"/>
  <c r="B19" i="1"/>
  <c r="D19" i="1" s="1"/>
  <c r="B18" i="1"/>
  <c r="D18" i="1" s="1"/>
  <c r="B17" i="1"/>
  <c r="D17" i="1" s="1"/>
  <c r="B16" i="1"/>
  <c r="D16" i="1" s="1"/>
  <c r="B15" i="1"/>
  <c r="D15" i="1" s="1"/>
  <c r="B14" i="1"/>
  <c r="D14" i="1" s="1"/>
  <c r="B13" i="1"/>
  <c r="A8" i="1"/>
  <c r="E17" i="2" l="1"/>
  <c r="H14" i="1"/>
  <c r="J14" i="1" s="1"/>
  <c r="G17" i="2"/>
  <c r="E54" i="2"/>
  <c r="G54" i="2" s="1"/>
  <c r="H51" i="1"/>
  <c r="J51" i="1" s="1"/>
  <c r="E52" i="2"/>
  <c r="G52" i="2" s="1"/>
  <c r="H49" i="1"/>
  <c r="J49" i="1" s="1"/>
  <c r="E51" i="2"/>
  <c r="G51" i="2" s="1"/>
  <c r="H48" i="1"/>
  <c r="J48" i="1" s="1"/>
  <c r="E50" i="2"/>
  <c r="G50" i="2" s="1"/>
  <c r="H47" i="1"/>
  <c r="J47" i="1" s="1"/>
  <c r="E48" i="2"/>
  <c r="G48" i="2" s="1"/>
  <c r="H45" i="1"/>
  <c r="J45" i="1" s="1"/>
  <c r="H44" i="1"/>
  <c r="J44" i="1" s="1"/>
  <c r="E47" i="2"/>
  <c r="G47" i="2" s="1"/>
  <c r="E45" i="2"/>
  <c r="G45" i="2" s="1"/>
  <c r="H42" i="1"/>
  <c r="J42" i="1" s="1"/>
  <c r="E44" i="2"/>
  <c r="G44" i="2" s="1"/>
  <c r="H41" i="1"/>
  <c r="J41" i="1" s="1"/>
  <c r="E42" i="2"/>
  <c r="G42" i="2" s="1"/>
  <c r="H39" i="1"/>
  <c r="J39" i="1" s="1"/>
  <c r="E41" i="2"/>
  <c r="G41" i="2" s="1"/>
  <c r="H38" i="1"/>
  <c r="J38" i="1" s="1"/>
  <c r="E40" i="2"/>
  <c r="G40" i="2" s="1"/>
  <c r="H37" i="1"/>
  <c r="J37" i="1" s="1"/>
  <c r="E38" i="2"/>
  <c r="G38" i="2" s="1"/>
  <c r="H35" i="1"/>
  <c r="J35" i="1" s="1"/>
  <c r="E37" i="2"/>
  <c r="G37" i="2" s="1"/>
  <c r="H34" i="1"/>
  <c r="J34" i="1" s="1"/>
  <c r="E36" i="2"/>
  <c r="G36" i="2" s="1"/>
  <c r="H33" i="1"/>
  <c r="J33" i="1" s="1"/>
  <c r="E34" i="2"/>
  <c r="H31" i="1"/>
  <c r="J31" i="1" s="1"/>
  <c r="E33" i="2"/>
  <c r="H30" i="1"/>
  <c r="J30" i="1" s="1"/>
  <c r="E32" i="2"/>
  <c r="H29" i="1"/>
  <c r="J29" i="1" s="1"/>
  <c r="E31" i="2"/>
  <c r="H28" i="1"/>
  <c r="J28" i="1" s="1"/>
  <c r="E30" i="2"/>
  <c r="H27" i="1"/>
  <c r="J27" i="1" s="1"/>
  <c r="E29" i="2"/>
  <c r="H26" i="1"/>
  <c r="J26" i="1" s="1"/>
  <c r="E28" i="2"/>
  <c r="H25" i="1"/>
  <c r="J25" i="1" s="1"/>
  <c r="E27" i="2"/>
  <c r="H24" i="1"/>
  <c r="J24" i="1" s="1"/>
  <c r="E26" i="2"/>
  <c r="H23" i="1"/>
  <c r="J23" i="1" s="1"/>
  <c r="J9" i="1"/>
  <c r="C48" i="1"/>
  <c r="G79" i="8"/>
  <c r="G59" i="1" s="1"/>
  <c r="C42" i="1"/>
  <c r="F79" i="8"/>
  <c r="F59" i="1" s="1"/>
  <c r="C41" i="1"/>
  <c r="D9" i="1"/>
  <c r="E13" i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D13" i="1"/>
  <c r="I68" i="1"/>
  <c r="I69" i="1"/>
  <c r="I70" i="1"/>
  <c r="E74" i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D74" i="1"/>
  <c r="C74" i="1"/>
  <c r="D75" i="1"/>
  <c r="C75" i="1"/>
  <c r="D76" i="1"/>
  <c r="C76" i="1"/>
  <c r="D77" i="1"/>
  <c r="C77" i="1"/>
  <c r="D78" i="1"/>
  <c r="C78" i="1"/>
  <c r="D79" i="1"/>
  <c r="C79" i="1"/>
  <c r="D80" i="1"/>
  <c r="C80" i="1"/>
  <c r="D81" i="1"/>
  <c r="C81" i="1"/>
  <c r="D82" i="1"/>
  <c r="C82" i="1"/>
  <c r="D83" i="1"/>
  <c r="C83" i="1"/>
  <c r="D84" i="1"/>
  <c r="C84" i="1"/>
  <c r="D85" i="1"/>
  <c r="C85" i="1"/>
  <c r="D96" i="1"/>
  <c r="C96" i="1"/>
  <c r="D97" i="1"/>
  <c r="C97" i="1"/>
  <c r="D98" i="1"/>
  <c r="C98" i="1"/>
  <c r="D99" i="1"/>
  <c r="C99" i="1"/>
  <c r="D100" i="1"/>
  <c r="C100" i="1"/>
  <c r="D101" i="1"/>
  <c r="C101" i="1"/>
  <c r="D102" i="1"/>
  <c r="C102" i="1"/>
  <c r="D103" i="1"/>
  <c r="C103" i="1"/>
  <c r="D104" i="1"/>
  <c r="C104" i="1"/>
  <c r="D105" i="1"/>
  <c r="C105" i="1"/>
  <c r="D106" i="1"/>
  <c r="C106" i="1"/>
  <c r="D107" i="1"/>
  <c r="C107" i="1"/>
  <c r="D108" i="1"/>
  <c r="C108" i="1"/>
  <c r="D109" i="1"/>
  <c r="C109" i="1"/>
  <c r="D110" i="1"/>
  <c r="C110" i="1"/>
  <c r="D111" i="1"/>
  <c r="C111" i="1"/>
  <c r="D112" i="1"/>
  <c r="C112" i="1"/>
  <c r="D113" i="1"/>
  <c r="C113" i="1"/>
  <c r="D115" i="1"/>
  <c r="C115" i="1"/>
  <c r="D116" i="1"/>
  <c r="C116" i="1"/>
  <c r="D117" i="1"/>
  <c r="C117" i="1"/>
  <c r="D119" i="1"/>
  <c r="C119" i="1"/>
  <c r="D120" i="1"/>
  <c r="C120" i="1"/>
  <c r="D121" i="1"/>
  <c r="C121" i="1"/>
  <c r="D123" i="1"/>
  <c r="C123" i="1"/>
  <c r="D124" i="1"/>
  <c r="C124" i="1"/>
  <c r="D126" i="1"/>
  <c r="C126" i="1"/>
  <c r="D127" i="1"/>
  <c r="C127" i="1"/>
  <c r="D129" i="1"/>
  <c r="C129" i="1"/>
  <c r="D130" i="1"/>
  <c r="C130" i="1"/>
  <c r="D131" i="1"/>
  <c r="C131" i="1"/>
  <c r="D133" i="1"/>
  <c r="C133" i="1"/>
  <c r="C6" i="8"/>
  <c r="H5" i="3"/>
  <c r="C5" i="8"/>
  <c r="H5" i="4"/>
  <c r="E29" i="8"/>
  <c r="E28" i="8"/>
  <c r="E27" i="8"/>
  <c r="E26" i="8"/>
  <c r="E25" i="8"/>
  <c r="E24" i="8"/>
  <c r="E23" i="8"/>
  <c r="E22" i="8"/>
  <c r="C4" i="8"/>
  <c r="H5" i="5"/>
  <c r="D38" i="8"/>
  <c r="D34" i="2" s="1"/>
  <c r="D37" i="8"/>
  <c r="D33" i="2" s="1"/>
  <c r="D36" i="8"/>
  <c r="D32" i="2" s="1"/>
  <c r="D35" i="8"/>
  <c r="D31" i="2" s="1"/>
  <c r="D34" i="8"/>
  <c r="D30" i="2" s="1"/>
  <c r="D33" i="8"/>
  <c r="D29" i="2" s="1"/>
  <c r="D32" i="8"/>
  <c r="D28" i="2" s="1"/>
  <c r="D31" i="8"/>
  <c r="D27" i="2" s="1"/>
  <c r="D30" i="8"/>
  <c r="D26" i="2" s="1"/>
  <c r="C3" i="8"/>
  <c r="H5" i="6"/>
  <c r="C38" i="8"/>
  <c r="C34" i="2" s="1"/>
  <c r="C37" i="8"/>
  <c r="C33" i="2" s="1"/>
  <c r="C36" i="8"/>
  <c r="C32" i="2" s="1"/>
  <c r="C35" i="8"/>
  <c r="C31" i="2" s="1"/>
  <c r="C34" i="8"/>
  <c r="C30" i="2" s="1"/>
  <c r="C33" i="8"/>
  <c r="C29" i="2" s="1"/>
  <c r="C32" i="8"/>
  <c r="C28" i="2" s="1"/>
  <c r="C31" i="8"/>
  <c r="C27" i="2" s="1"/>
  <c r="C30" i="8"/>
  <c r="C26" i="2" s="1"/>
  <c r="C2" i="8"/>
  <c r="H5" i="7"/>
  <c r="B76" i="8"/>
  <c r="B56" i="1" s="1"/>
  <c r="D2" i="8"/>
  <c r="B77" i="8"/>
  <c r="B57" i="1" s="1"/>
  <c r="D3" i="8"/>
  <c r="B78" i="8"/>
  <c r="B58" i="1" s="1"/>
  <c r="D4" i="8"/>
  <c r="B79" i="8"/>
  <c r="B59" i="1" s="1"/>
  <c r="D5" i="8"/>
  <c r="B80" i="8"/>
  <c r="B60" i="1" s="1"/>
  <c r="D6" i="8"/>
  <c r="G29" i="2" l="1"/>
  <c r="G34" i="2"/>
  <c r="G33" i="2"/>
  <c r="G32" i="2"/>
  <c r="G31" i="2"/>
  <c r="G30" i="2"/>
  <c r="G28" i="2"/>
  <c r="G27" i="2"/>
  <c r="G26" i="2"/>
  <c r="I80" i="8"/>
  <c r="I60" i="1" s="1"/>
  <c r="D80" i="8"/>
  <c r="D60" i="1" s="1"/>
  <c r="F8" i="2"/>
  <c r="I79" i="8"/>
  <c r="I59" i="1" s="1"/>
  <c r="D79" i="8"/>
  <c r="D59" i="1" s="1"/>
  <c r="E8" i="2"/>
  <c r="G8" i="1"/>
  <c r="I78" i="8"/>
  <c r="I58" i="1" s="1"/>
  <c r="D78" i="8"/>
  <c r="D58" i="1" s="1"/>
  <c r="D8" i="2"/>
  <c r="I77" i="8"/>
  <c r="I57" i="1" s="1"/>
  <c r="D77" i="8"/>
  <c r="D57" i="1" s="1"/>
  <c r="C8" i="2"/>
  <c r="D76" i="8"/>
  <c r="D56" i="1" s="1"/>
  <c r="D62" i="1" s="1"/>
  <c r="B8" i="2"/>
  <c r="G8" i="2" s="1"/>
  <c r="B62" i="1"/>
  <c r="C76" i="8"/>
  <c r="C56" i="1" s="1"/>
  <c r="K2" i="8"/>
  <c r="I2" i="8"/>
  <c r="H2" i="8"/>
  <c r="E2" i="8"/>
  <c r="B9" i="2"/>
  <c r="C77" i="8"/>
  <c r="C57" i="1" s="1"/>
  <c r="K3" i="8"/>
  <c r="I3" i="8"/>
  <c r="H3" i="8"/>
  <c r="E3" i="8"/>
  <c r="C9" i="2"/>
  <c r="C78" i="8"/>
  <c r="C58" i="1" s="1"/>
  <c r="K4" i="8"/>
  <c r="I4" i="8"/>
  <c r="H4" i="8"/>
  <c r="E4" i="8"/>
  <c r="D9" i="2"/>
  <c r="E18" i="2"/>
  <c r="G18" i="2" s="1"/>
  <c r="H15" i="1"/>
  <c r="E19" i="2"/>
  <c r="G19" i="2" s="1"/>
  <c r="H16" i="1"/>
  <c r="J16" i="1" s="1"/>
  <c r="E20" i="2"/>
  <c r="G20" i="2" s="1"/>
  <c r="H17" i="1"/>
  <c r="J17" i="1" s="1"/>
  <c r="E21" i="2"/>
  <c r="G21" i="2" s="1"/>
  <c r="H18" i="1"/>
  <c r="J18" i="1" s="1"/>
  <c r="E22" i="2"/>
  <c r="G22" i="2" s="1"/>
  <c r="H19" i="1"/>
  <c r="J19" i="1" s="1"/>
  <c r="E23" i="2"/>
  <c r="G23" i="2" s="1"/>
  <c r="H20" i="1"/>
  <c r="E24" i="2"/>
  <c r="G24" i="2" s="1"/>
  <c r="H21" i="1"/>
  <c r="E25" i="2"/>
  <c r="G25" i="2" s="1"/>
  <c r="H22" i="1"/>
  <c r="J22" i="1" s="1"/>
  <c r="C79" i="8"/>
  <c r="C59" i="1" s="1"/>
  <c r="K5" i="8"/>
  <c r="C49" i="1" s="1"/>
  <c r="I5" i="8"/>
  <c r="H5" i="8"/>
  <c r="C43" i="1" s="1"/>
  <c r="D43" i="1" s="1"/>
  <c r="E5" i="8"/>
  <c r="E9" i="2"/>
  <c r="I51" i="1"/>
  <c r="I49" i="1"/>
  <c r="I48" i="1"/>
  <c r="I47" i="1"/>
  <c r="I45" i="1"/>
  <c r="I44" i="1"/>
  <c r="I42" i="1"/>
  <c r="D42" i="1"/>
  <c r="I41" i="1"/>
  <c r="D41" i="1"/>
  <c r="I39" i="1"/>
  <c r="C39" i="1"/>
  <c r="I38" i="1"/>
  <c r="C38" i="1"/>
  <c r="I37" i="1"/>
  <c r="C37" i="1"/>
  <c r="C36" i="1"/>
  <c r="I35" i="1"/>
  <c r="C35" i="1"/>
  <c r="I34" i="1"/>
  <c r="C34" i="1"/>
  <c r="I33" i="1"/>
  <c r="C33" i="1"/>
  <c r="C32" i="1"/>
  <c r="I31" i="1"/>
  <c r="C31" i="1"/>
  <c r="I30" i="1"/>
  <c r="C30" i="1"/>
  <c r="I29" i="1"/>
  <c r="C29" i="1"/>
  <c r="I28" i="1"/>
  <c r="C28" i="1"/>
  <c r="I27" i="1"/>
  <c r="I26" i="1"/>
  <c r="I25" i="1"/>
  <c r="I24" i="1"/>
  <c r="C24" i="1"/>
  <c r="I23" i="1"/>
  <c r="C23" i="1"/>
  <c r="I22" i="1"/>
  <c r="C22" i="1"/>
  <c r="C21" i="1"/>
  <c r="C20" i="1"/>
  <c r="I19" i="1"/>
  <c r="C19" i="1"/>
  <c r="I18" i="1"/>
  <c r="C18" i="1"/>
  <c r="I17" i="1"/>
  <c r="C17" i="1"/>
  <c r="I16" i="1"/>
  <c r="C16" i="1"/>
  <c r="C15" i="1"/>
  <c r="I14" i="1"/>
  <c r="C14" i="1"/>
  <c r="C13" i="1"/>
  <c r="D8" i="1"/>
  <c r="C80" i="8"/>
  <c r="C60" i="1" s="1"/>
  <c r="K6" i="8"/>
  <c r="I6" i="8"/>
  <c r="H6" i="8"/>
  <c r="E6" i="8"/>
  <c r="F9" i="2"/>
  <c r="H9" i="2" s="1"/>
  <c r="J15" i="1" l="1"/>
  <c r="I15" i="1"/>
  <c r="J20" i="1"/>
  <c r="I20" i="1"/>
  <c r="J21" i="1"/>
  <c r="I21" i="1"/>
  <c r="E80" i="8"/>
  <c r="E60" i="1" s="1"/>
  <c r="F11" i="2"/>
  <c r="H80" i="8"/>
  <c r="H60" i="1" s="1"/>
  <c r="F10" i="2"/>
  <c r="E79" i="8"/>
  <c r="E59" i="1" s="1"/>
  <c r="E11" i="2"/>
  <c r="G9" i="1"/>
  <c r="H79" i="8"/>
  <c r="H59" i="1" s="1"/>
  <c r="E10" i="2"/>
  <c r="J8" i="1"/>
  <c r="E78" i="8"/>
  <c r="E58" i="1" s="1"/>
  <c r="D11" i="2"/>
  <c r="H78" i="8"/>
  <c r="H58" i="1" s="1"/>
  <c r="D10" i="2"/>
  <c r="E77" i="8"/>
  <c r="E57" i="1" s="1"/>
  <c r="C11" i="2"/>
  <c r="H77" i="8"/>
  <c r="H57" i="1" s="1"/>
  <c r="C10" i="2"/>
  <c r="G9" i="2"/>
  <c r="E76" i="8"/>
  <c r="E56" i="1" s="1"/>
  <c r="E62" i="1" s="1"/>
  <c r="B11" i="2"/>
  <c r="G11" i="2" s="1"/>
  <c r="H76" i="8"/>
  <c r="H56" i="1" s="1"/>
  <c r="B10" i="2"/>
  <c r="G10" i="2" s="1"/>
  <c r="C62" i="1"/>
  <c r="H8" i="2"/>
  <c r="H62" i="1" l="1"/>
  <c r="H10" i="2"/>
  <c r="H11" i="2"/>
</calcChain>
</file>

<file path=xl/sharedStrings.xml><?xml version="1.0" encoding="utf-8"?>
<sst xmlns="http://schemas.openxmlformats.org/spreadsheetml/2006/main" count="5085" uniqueCount="1054">
  <si>
    <t>EMPLOYEE SEPARATION ANALYTICS DASHBOARD</t>
  </si>
  <si>
    <t>Emory Valley Center</t>
  </si>
  <si>
    <t>CALENDAR YEAR:</t>
  </si>
  <si>
    <t>FY 2026</t>
  </si>
  <si>
    <t>JAN 1 — DEC 31</t>
  </si>
  <si>
    <t>EVC FISCAL YEAR:</t>
  </si>
  <si>
    <t>FY EVC 2025</t>
  </si>
  <si>
    <t>JUL 1 — JUN 30</t>
  </si>
  <si>
    <t>TOTAL ACTIVE EMPLOYEES</t>
  </si>
  <si>
    <t>YTD SEPARATIONS</t>
  </si>
  <si>
    <t>TURNOVER RATE</t>
  </si>
  <si>
    <t>VOLUNTARY %</t>
  </si>
  <si>
    <t>as of FY start</t>
  </si>
  <si>
    <t xml:space="preserve">  MONTHLY SEPARATIONS</t>
  </si>
  <si>
    <t xml:space="preserve">  SEPARATIONS BY JOB</t>
  </si>
  <si>
    <t>Month</t>
  </si>
  <si>
    <t>Separations</t>
  </si>
  <si>
    <t>% of YTD</t>
  </si>
  <si>
    <t>TOR %</t>
  </si>
  <si>
    <t>Cumulative</t>
  </si>
  <si>
    <t>Job Title</t>
  </si>
  <si>
    <t>Count</t>
  </si>
  <si>
    <t>% of Total</t>
  </si>
  <si>
    <t>January</t>
  </si>
  <si>
    <t>LEADERSHIP</t>
  </si>
  <si>
    <t>February</t>
  </si>
  <si>
    <t>President</t>
  </si>
  <si>
    <t>March</t>
  </si>
  <si>
    <t>VP of Operations</t>
  </si>
  <si>
    <t>April</t>
  </si>
  <si>
    <t>VP of Children Services</t>
  </si>
  <si>
    <t>May</t>
  </si>
  <si>
    <t>VP of Professional Services</t>
  </si>
  <si>
    <t>June</t>
  </si>
  <si>
    <t>VP of Behavioral Health</t>
  </si>
  <si>
    <t>July</t>
  </si>
  <si>
    <t>VP of Human Resources</t>
  </si>
  <si>
    <t>August</t>
  </si>
  <si>
    <t>VP of Employment Services</t>
  </si>
  <si>
    <t>September</t>
  </si>
  <si>
    <t>VP of Family Support</t>
  </si>
  <si>
    <t>October</t>
  </si>
  <si>
    <t>VP of Finance</t>
  </si>
  <si>
    <t>November</t>
  </si>
  <si>
    <t>Director of Operations</t>
  </si>
  <si>
    <t>December</t>
  </si>
  <si>
    <t>Director of Children Services</t>
  </si>
  <si>
    <t>Director of Professional Services</t>
  </si>
  <si>
    <t xml:space="preserve">  SEPARATIONS BY REASON</t>
  </si>
  <si>
    <t>Director of Behavioral Health</t>
  </si>
  <si>
    <t>Reason</t>
  </si>
  <si>
    <t>Category</t>
  </si>
  <si>
    <t>Director of Human Resources</t>
  </si>
  <si>
    <t>Resignation</t>
  </si>
  <si>
    <t>Voluntary</t>
  </si>
  <si>
    <t>Director of Finance</t>
  </si>
  <si>
    <t>Better Opportunity</t>
  </si>
  <si>
    <t>Director of Employment Services</t>
  </si>
  <si>
    <t>Personal Reasons</t>
  </si>
  <si>
    <t>Director of Family Support</t>
  </si>
  <si>
    <t>Relocation</t>
  </si>
  <si>
    <t>Director of QA</t>
  </si>
  <si>
    <t>Retirement</t>
  </si>
  <si>
    <t>DIRECT CARE</t>
  </si>
  <si>
    <t>Termination</t>
  </si>
  <si>
    <t>Involuntary</t>
  </si>
  <si>
    <t>DSP</t>
  </si>
  <si>
    <t>Layoff</t>
  </si>
  <si>
    <t>HM</t>
  </si>
  <si>
    <t>Job Abandonment</t>
  </si>
  <si>
    <t>Other</t>
  </si>
  <si>
    <t>RM</t>
  </si>
  <si>
    <t>End of Contract</t>
  </si>
  <si>
    <t>CLINICAL / PROGRAM</t>
  </si>
  <si>
    <t>CM</t>
  </si>
  <si>
    <t>Performance Issues</t>
  </si>
  <si>
    <t>EI</t>
  </si>
  <si>
    <t>Attendance Issues</t>
  </si>
  <si>
    <t>Family Support</t>
  </si>
  <si>
    <t>EDUCATION</t>
  </si>
  <si>
    <t>Teacher</t>
  </si>
  <si>
    <t>Assistant Teacher</t>
  </si>
  <si>
    <t>SUPPORT</t>
  </si>
  <si>
    <t>Sub/Floater</t>
  </si>
  <si>
    <t>Job Coach/WI</t>
  </si>
  <si>
    <t xml:space="preserve">  ADDITIONAL STATISTICS</t>
  </si>
  <si>
    <t>ADMINISTRATIVE</t>
  </si>
  <si>
    <t>Finance</t>
  </si>
  <si>
    <t>Eligible for Rehire Rate:</t>
  </si>
  <si>
    <t>HR</t>
  </si>
  <si>
    <t>Exit Interview Completion Rate:</t>
  </si>
  <si>
    <t>QA</t>
  </si>
  <si>
    <t>OTHER</t>
  </si>
  <si>
    <t xml:space="preserve">  ▼  MULTI-YEAR COMPARISON &amp; TRENDS</t>
  </si>
  <si>
    <t>Calendar Year &amp; EVC Fiscal Year</t>
  </si>
  <si>
    <t xml:space="preserve">  CALENDAR YEAR COMPARISON (January 1 — December 31)</t>
  </si>
  <si>
    <t>Fiscal Year</t>
  </si>
  <si>
    <t>Active Emp</t>
  </si>
  <si>
    <t>Total Sep</t>
  </si>
  <si>
    <t>Avg Monthly</t>
  </si>
  <si>
    <t>Vol</t>
  </si>
  <si>
    <t>Vol %</t>
  </si>
  <si>
    <t>YoY Change</t>
  </si>
  <si>
    <t>FY 2023</t>
  </si>
  <si>
    <t>FY 2024</t>
  </si>
  <si>
    <t>FY 2025</t>
  </si>
  <si>
    <t>FY 2027</t>
  </si>
  <si>
    <t>5-YEAR AVERAGE</t>
  </si>
  <si>
    <t xml:space="preserve">  EVC FISCAL YEAR COMPARISON (July 1 — June 30)</t>
  </si>
  <si>
    <t>FY EVC 2024</t>
  </si>
  <si>
    <t>N/A</t>
  </si>
  <si>
    <t>FY EVC 2026</t>
  </si>
  <si>
    <t>FY EVC 2027</t>
  </si>
  <si>
    <t xml:space="preserve">  EVC FISCAL YEAR MONTHLY SEPARATIONS</t>
  </si>
  <si>
    <t xml:space="preserve">  EVC FISCAL YEAR SNAPSHOT</t>
  </si>
  <si>
    <t>TOTAL SEPARATIONS</t>
  </si>
  <si>
    <t>AVG MONTHLY</t>
  </si>
  <si>
    <t>REHIRE RATE</t>
  </si>
  <si>
    <t xml:space="preserve">  EVC FY: SEPARATIONS BY JOB</t>
  </si>
  <si>
    <t xml:space="preserve">  EVC FY: SEPARATIONS BY REASON</t>
  </si>
  <si>
    <t>Voluntary Total</t>
  </si>
  <si>
    <t>Involuntary Total</t>
  </si>
  <si>
    <t>Other Total</t>
  </si>
  <si>
    <t>MULTI-YEAR TURNOVER ANALYTICS &amp; TRENDS</t>
  </si>
  <si>
    <t>Comparative Analysis Across Calendar Years  |  January 1 — December 31</t>
  </si>
  <si>
    <t>YEAR-OVER-YEAR TURNOVER COMPARISON</t>
  </si>
  <si>
    <t>Metric</t>
  </si>
  <si>
    <t>Avg</t>
  </si>
  <si>
    <t>Trend</t>
  </si>
  <si>
    <t>Turnover Rate %</t>
  </si>
  <si>
    <t>Total Separations</t>
  </si>
  <si>
    <t>Voluntary %</t>
  </si>
  <si>
    <t>Avg Monthly Separations</t>
  </si>
  <si>
    <t>JOB/DEPARTMENT TURNOVER ACROSS YEARS</t>
  </si>
  <si>
    <t>Job</t>
  </si>
  <si>
    <t>Total</t>
  </si>
  <si>
    <t>SEASONAL TURNOVER PATTERNS (Average Across Years)</t>
  </si>
  <si>
    <t xml:space="preserve">  FISCAL YEAR ANALYSIS (July 1 — June 30)</t>
  </si>
  <si>
    <t>FISCAL YEAR OVERVIEW</t>
  </si>
  <si>
    <t>↓</t>
  </si>
  <si>
    <t>FISCAL YEAR MONTHLY PATTERNS</t>
  </si>
  <si>
    <t>FISCAL YEAR HALF COMPARISON</t>
  </si>
  <si>
    <t>Period</t>
  </si>
  <si>
    <t>H1 (Jul - Dec)</t>
  </si>
  <si>
    <t>H2 (Jan - Jun)</t>
  </si>
  <si>
    <t>EMPLOYEE SEPARATION SUMMARY — FY 2027</t>
  </si>
  <si>
    <t>January 2027 — December 2027  |  Emory Valley Center</t>
  </si>
  <si>
    <t>Active Employees:</t>
  </si>
  <si>
    <t>YTD Separations:</t>
  </si>
  <si>
    <t>TOR %:</t>
  </si>
  <si>
    <t>JANUARY 2027</t>
  </si>
  <si>
    <t>Name</t>
  </si>
  <si>
    <t>Date of Separation</t>
  </si>
  <si>
    <t>DOH</t>
  </si>
  <si>
    <t>Length of Service</t>
  </si>
  <si>
    <t>Eligible for Rehire</t>
  </si>
  <si>
    <t>Status</t>
  </si>
  <si>
    <t>Location</t>
  </si>
  <si>
    <t>Reason for Leaving</t>
  </si>
  <si>
    <t>Supervisor</t>
  </si>
  <si>
    <t>Exit Interview Date</t>
  </si>
  <si>
    <t>Comments</t>
  </si>
  <si>
    <t>Department</t>
  </si>
  <si>
    <t>SUBTOTAL:</t>
  </si>
  <si>
    <t>FEBRUARY 2027</t>
  </si>
  <si>
    <t>MARCH 2027</t>
  </si>
  <si>
    <t>APRIL 2027</t>
  </si>
  <si>
    <t>MAY 2027</t>
  </si>
  <si>
    <t>JUNE 2027</t>
  </si>
  <si>
    <t>JULY 2027</t>
  </si>
  <si>
    <t>AUGUST 2027</t>
  </si>
  <si>
    <t>SEPTEMBER 2027</t>
  </si>
  <si>
    <t>OCTOBER 2027</t>
  </si>
  <si>
    <t>NOVEMBER 2027</t>
  </si>
  <si>
    <t>DECEMBER 2027</t>
  </si>
  <si>
    <t>EMPLOYEE SEPARATION SUMMARY — FY 2026</t>
  </si>
  <si>
    <t>January 2026 — December 2026  |  Emory Valley Center</t>
  </si>
  <si>
    <t>JANUARY 2026</t>
  </si>
  <si>
    <t>Jackie Ross</t>
  </si>
  <si>
    <t>No</t>
  </si>
  <si>
    <t>D</t>
  </si>
  <si>
    <t>Livingston</t>
  </si>
  <si>
    <t>Kasey Foster</t>
  </si>
  <si>
    <t>Elizabeth Hawkins</t>
  </si>
  <si>
    <t>Yes</t>
  </si>
  <si>
    <t>Quality Assurance</t>
  </si>
  <si>
    <t>Kristen Otto</t>
  </si>
  <si>
    <t>Michaela Smith</t>
  </si>
  <si>
    <t>Hamiltons</t>
  </si>
  <si>
    <t>Catie Robinson</t>
  </si>
  <si>
    <t>Beverly Hines</t>
  </si>
  <si>
    <t>U</t>
  </si>
  <si>
    <t>Case Management</t>
  </si>
  <si>
    <t>Amanda Tackett</t>
  </si>
  <si>
    <t>No Response</t>
  </si>
  <si>
    <t>Michael Hurd</t>
  </si>
  <si>
    <t>2292 Turnpike</t>
  </si>
  <si>
    <t>Sarah Allen</t>
  </si>
  <si>
    <t>Baylee Stewart</t>
  </si>
  <si>
    <t>200 Latimer</t>
  </si>
  <si>
    <t>Craig Varner</t>
  </si>
  <si>
    <t>122 E. Newkirk Lane</t>
  </si>
  <si>
    <t>Kaelyn Sibley</t>
  </si>
  <si>
    <t>Aaron McCarty</t>
  </si>
  <si>
    <t>Residential Services</t>
  </si>
  <si>
    <t>Sheri McMahan</t>
  </si>
  <si>
    <t>FEBRUARY 2026</t>
  </si>
  <si>
    <t>TaKeiah Biddix</t>
  </si>
  <si>
    <t>119 Lawton Rd</t>
  </si>
  <si>
    <t>Braylea Wright</t>
  </si>
  <si>
    <t>Ryta Manning</t>
  </si>
  <si>
    <t>107 Ulena Lane</t>
  </si>
  <si>
    <t>Patreese Poore</t>
  </si>
  <si>
    <t>Yes - Turned in Notice - Not Eligible for rehire</t>
  </si>
  <si>
    <t>429 W Outer Dr</t>
  </si>
  <si>
    <t>Katlynn Frerichs</t>
  </si>
  <si>
    <t>TBD</t>
  </si>
  <si>
    <t>Robert Price</t>
  </si>
  <si>
    <t>131 Atlanta</t>
  </si>
  <si>
    <t>Esther Olatoye</t>
  </si>
  <si>
    <t>Heather Lumpkin</t>
  </si>
  <si>
    <t>Katie Jeffers</t>
  </si>
  <si>
    <t>Trinity West</t>
  </si>
  <si>
    <t>2290 Turnpike</t>
  </si>
  <si>
    <t>Bryan Taylor</t>
  </si>
  <si>
    <t>Jennifer Enderson</t>
  </si>
  <si>
    <t>VP</t>
  </si>
  <si>
    <t>Greta Fair</t>
  </si>
  <si>
    <t>Elyse Vanlandingham</t>
  </si>
  <si>
    <t>Finance Clerk</t>
  </si>
  <si>
    <t>Amara Madtes</t>
  </si>
  <si>
    <t>Acreditation Specialist</t>
  </si>
  <si>
    <t>MARCH 2026</t>
  </si>
  <si>
    <t>Ethan Reynolds</t>
  </si>
  <si>
    <t>1111 McAdoo</t>
  </si>
  <si>
    <t>Rebecca Smith</t>
  </si>
  <si>
    <t>Rex</t>
  </si>
  <si>
    <t>Frederick Osborne</t>
  </si>
  <si>
    <t>Hunter Davis</t>
  </si>
  <si>
    <t>Kelly Dustan</t>
  </si>
  <si>
    <t xml:space="preserve">Tanthya Bigham </t>
  </si>
  <si>
    <t>813 NW Sapphire</t>
  </si>
  <si>
    <t>Resignation without Notice</t>
  </si>
  <si>
    <t>Dustan Kelley</t>
  </si>
  <si>
    <t>Tyreese Langston</t>
  </si>
  <si>
    <t>Dallas Russel</t>
  </si>
  <si>
    <t>Tiffin</t>
  </si>
  <si>
    <t>Marilyn Drake</t>
  </si>
  <si>
    <t>100 Thelma Road</t>
  </si>
  <si>
    <t>Justin Williams</t>
  </si>
  <si>
    <t>345 W Outer</t>
  </si>
  <si>
    <t>Andria Cassel</t>
  </si>
  <si>
    <t>Emily Ralston</t>
  </si>
  <si>
    <t>Robert Bunch Road</t>
  </si>
  <si>
    <t>Jennie England</t>
  </si>
  <si>
    <t>Robert Jordan</t>
  </si>
  <si>
    <t>Was not included in numbers so do not count below...let's discuss</t>
  </si>
  <si>
    <t>APRIL 2026</t>
  </si>
  <si>
    <t>Tiffany DeBoer</t>
  </si>
  <si>
    <t>Behavioral Health</t>
  </si>
  <si>
    <t>Megan Miller</t>
  </si>
  <si>
    <t>Alexandra Jones</t>
  </si>
  <si>
    <t>Selah Waterhouse</t>
  </si>
  <si>
    <t>Monica Phillips</t>
  </si>
  <si>
    <t>James Bolden</t>
  </si>
  <si>
    <t>Brittany Boone</t>
  </si>
  <si>
    <t>Hope Lane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</si>
  <si>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</si>
  <si>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</si>
  <si>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</si>
  <si>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</si>
  <si>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</si>
  <si>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</si>
  <si>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</si>
  <si>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</si>
  <si>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EMPLOYEE SEPARATION SUMMARY — FY 2025</t>
  </si>
  <si>
    <t>January 2025 — December 2025  |  Emory Valley Center</t>
  </si>
  <si>
    <t>JANUARY 2025</t>
  </si>
  <si>
    <t>Tiffany Rose</t>
  </si>
  <si>
    <t>9 years 11 months</t>
  </si>
  <si>
    <t xml:space="preserve">D </t>
  </si>
  <si>
    <t>723 Emory Valley</t>
  </si>
  <si>
    <t>Kim Jeffers-Whitaker</t>
  </si>
  <si>
    <t>Juliane Rendall</t>
  </si>
  <si>
    <t>4 years 11 months</t>
  </si>
  <si>
    <t>ELC</t>
  </si>
  <si>
    <t>Kiersten Wilkerson</t>
  </si>
  <si>
    <t>Jon Lomax</t>
  </si>
  <si>
    <t>7 days</t>
  </si>
  <si>
    <t>Wadsworth</t>
  </si>
  <si>
    <t>Kendray Loy-Coon</t>
  </si>
  <si>
    <t>Kendra Loy-Coon</t>
  </si>
  <si>
    <t>7 years 11 months</t>
  </si>
  <si>
    <t>Four Mile</t>
  </si>
  <si>
    <t>Gabriella Kennedy</t>
  </si>
  <si>
    <t>11 days</t>
  </si>
  <si>
    <t>McAdoo</t>
  </si>
  <si>
    <t>Jillina Rogers</t>
  </si>
  <si>
    <t>7 months</t>
  </si>
  <si>
    <t>Thelma</t>
  </si>
  <si>
    <t>Bethany Quiggle</t>
  </si>
  <si>
    <t>Kelci Wiggins</t>
  </si>
  <si>
    <t>5 months</t>
  </si>
  <si>
    <t>LLL</t>
  </si>
  <si>
    <t>Brittany Webb</t>
  </si>
  <si>
    <t>Abby Morlock</t>
  </si>
  <si>
    <t>1 year &amp; 1 month</t>
  </si>
  <si>
    <t>Dalton</t>
  </si>
  <si>
    <t>Orian Miller</t>
  </si>
  <si>
    <t>Kayla Sullivan</t>
  </si>
  <si>
    <t>Sapphire</t>
  </si>
  <si>
    <t>Melissa Jackson</t>
  </si>
  <si>
    <t>Emily West</t>
  </si>
  <si>
    <t>1 month</t>
  </si>
  <si>
    <t>Abigail Donald</t>
  </si>
  <si>
    <t>Jill Battersby</t>
  </si>
  <si>
    <t>2 years</t>
  </si>
  <si>
    <t>Paula Winn</t>
  </si>
  <si>
    <t>1 year</t>
  </si>
  <si>
    <t>Robert Bunch</t>
  </si>
  <si>
    <t xml:space="preserve">Fred Terry </t>
  </si>
  <si>
    <t>114 Herbert Heidel</t>
  </si>
  <si>
    <t>Abby Dean</t>
  </si>
  <si>
    <t>3 months</t>
  </si>
  <si>
    <t>FEBRUARY 2025</t>
  </si>
  <si>
    <t>Aaron Rutherford</t>
  </si>
  <si>
    <t>2 years &amp; 10 months</t>
  </si>
  <si>
    <t>Alger</t>
  </si>
  <si>
    <t>Dawn Williams</t>
  </si>
  <si>
    <t>2 years &amp; 5 months</t>
  </si>
  <si>
    <t>Behavioral Health/Clinical Services</t>
  </si>
  <si>
    <t>Crystal Hicks</t>
  </si>
  <si>
    <t>Trixy Huefner</t>
  </si>
  <si>
    <t>3 days</t>
  </si>
  <si>
    <t>Yajaria Herrara</t>
  </si>
  <si>
    <t xml:space="preserve">3 weeks </t>
  </si>
  <si>
    <t>Floater</t>
  </si>
  <si>
    <t>Djuana Reed</t>
  </si>
  <si>
    <t>1 year and 5 months</t>
  </si>
  <si>
    <t>Remote</t>
  </si>
  <si>
    <t>Aaron Price</t>
  </si>
  <si>
    <t>Elizabeth Harris</t>
  </si>
  <si>
    <t>8 months</t>
  </si>
  <si>
    <t>Amber Carrol</t>
  </si>
  <si>
    <t>11 months</t>
  </si>
  <si>
    <t>BP 702</t>
  </si>
  <si>
    <t>Alishia Jones</t>
  </si>
  <si>
    <t>Jessica Solis</t>
  </si>
  <si>
    <t>Regina Wilson</t>
  </si>
  <si>
    <t>Kim Sharp</t>
  </si>
  <si>
    <t>10 Years</t>
  </si>
  <si>
    <t>Lower Valley</t>
  </si>
  <si>
    <t>Misty Mayes</t>
  </si>
  <si>
    <t>13 days</t>
  </si>
  <si>
    <t>Annie McAmis</t>
  </si>
  <si>
    <t>Hamilton B</t>
  </si>
  <si>
    <t>Mackayla Smith</t>
  </si>
  <si>
    <t>Zoey Spencer</t>
  </si>
  <si>
    <t>4 months</t>
  </si>
  <si>
    <t>Sarah Vega</t>
  </si>
  <si>
    <t xml:space="preserve">Livingston/196 Latimer </t>
  </si>
  <si>
    <t>MARCH 2025</t>
  </si>
  <si>
    <t>Christine Bryson</t>
  </si>
  <si>
    <t>1 year and 3 months</t>
  </si>
  <si>
    <t>Ashanti Avila-Ramos</t>
  </si>
  <si>
    <t>Charlsea Burton</t>
  </si>
  <si>
    <t xml:space="preserve">Merari Morales  </t>
  </si>
  <si>
    <t>9 months</t>
  </si>
  <si>
    <t>Savanna Daniels</t>
  </si>
  <si>
    <t>Naseen Safa</t>
  </si>
  <si>
    <t>8 days</t>
  </si>
  <si>
    <t>1113 McAdoo</t>
  </si>
  <si>
    <t>Madison Bourff</t>
  </si>
  <si>
    <t>2 months</t>
  </si>
  <si>
    <t>Becky Godsey</t>
  </si>
  <si>
    <t>13 Years</t>
  </si>
  <si>
    <t>NA</t>
  </si>
  <si>
    <t>Layla Fisher</t>
  </si>
  <si>
    <t>Kaylia Colwell</t>
  </si>
  <si>
    <t xml:space="preserve">1 month </t>
  </si>
  <si>
    <t>Hamilton A</t>
  </si>
  <si>
    <t>Brennan Nicholson</t>
  </si>
  <si>
    <t>10 months</t>
  </si>
  <si>
    <t>Dusty Disney</t>
  </si>
  <si>
    <t>3 years</t>
  </si>
  <si>
    <t xml:space="preserve">Tyler Bouchelle </t>
  </si>
  <si>
    <t>Destiny Kelly</t>
  </si>
  <si>
    <t>1 yr 3 months</t>
  </si>
  <si>
    <t>Workforce Innovation</t>
  </si>
  <si>
    <t>Miranda Kelley</t>
  </si>
  <si>
    <t xml:space="preserve">Kaelynn Godfrey </t>
  </si>
  <si>
    <t>APRIL 2025</t>
  </si>
  <si>
    <t>Wilondia “Benard” Musukwa </t>
  </si>
  <si>
    <t>Less than 2 weeks</t>
  </si>
  <si>
    <t xml:space="preserve">Rebecca Smith </t>
  </si>
  <si>
    <t xml:space="preserve">Melinda Bell </t>
  </si>
  <si>
    <t>Hope Jenkins</t>
  </si>
  <si>
    <t xml:space="preserve">3 months </t>
  </si>
  <si>
    <t xml:space="preserve">Northwestern </t>
  </si>
  <si>
    <t xml:space="preserve">Michelle Shafer </t>
  </si>
  <si>
    <t>Jenny Wagner</t>
  </si>
  <si>
    <t>Joni Hodge</t>
  </si>
  <si>
    <t xml:space="preserve">9 years </t>
  </si>
  <si>
    <t xml:space="preserve">EI </t>
  </si>
  <si>
    <t>Anna Moore</t>
  </si>
  <si>
    <t xml:space="preserve">Kimberly Bowman </t>
  </si>
  <si>
    <t>Human Resources</t>
  </si>
  <si>
    <t>Kim Whitaker</t>
  </si>
  <si>
    <t xml:space="preserve">Kandi Miller </t>
  </si>
  <si>
    <t xml:space="preserve">1yr </t>
  </si>
  <si>
    <t xml:space="preserve">Livingston </t>
  </si>
  <si>
    <t>MAY 2025</t>
  </si>
  <si>
    <t>Caitlin Overholser</t>
  </si>
  <si>
    <t xml:space="preserve">Coogie Pearson </t>
  </si>
  <si>
    <t xml:space="preserve">1111 McAdoo </t>
  </si>
  <si>
    <t>Andrew Ramsey</t>
  </si>
  <si>
    <t xml:space="preserve">2 yrs </t>
  </si>
  <si>
    <t>ECF Services</t>
  </si>
  <si>
    <t>Maranda Kelley</t>
  </si>
  <si>
    <t>Ryan Douglas</t>
  </si>
  <si>
    <t xml:space="preserve">141 Wainwright </t>
  </si>
  <si>
    <t>Cory Depuy</t>
  </si>
  <si>
    <t>Raeann Brink </t>
  </si>
  <si>
    <t>9 years</t>
  </si>
  <si>
    <t xml:space="preserve">George Yost </t>
  </si>
  <si>
    <t>1 yr 11 months</t>
  </si>
  <si>
    <t>Residential</t>
  </si>
  <si>
    <t>Keelie Greene</t>
  </si>
  <si>
    <t xml:space="preserve">Hamilton A </t>
  </si>
  <si>
    <t>Cathy Lackey</t>
  </si>
  <si>
    <t>1 yr 10 months</t>
  </si>
  <si>
    <t xml:space="preserve">On Leave </t>
  </si>
  <si>
    <t xml:space="preserve">Madeline Tackett </t>
  </si>
  <si>
    <t>Allyssa Chadwick</t>
  </si>
  <si>
    <t xml:space="preserve">Ashanti Avila-Ramos </t>
  </si>
  <si>
    <t xml:space="preserve">104 East Dalton </t>
  </si>
  <si>
    <t xml:space="preserve">Jessica Burkhead </t>
  </si>
  <si>
    <t xml:space="preserve">Kiersten Wilkerson </t>
  </si>
  <si>
    <t xml:space="preserve">Heather Terry </t>
  </si>
  <si>
    <t>Chase Davenport</t>
  </si>
  <si>
    <t>Joeusha Soles</t>
  </si>
  <si>
    <t xml:space="preserve">Miranda Kelley </t>
  </si>
  <si>
    <t xml:space="preserve">Amber Brooks </t>
  </si>
  <si>
    <t>1 yr 2 months</t>
  </si>
  <si>
    <t>u</t>
  </si>
  <si>
    <t xml:space="preserve">ELC </t>
  </si>
  <si>
    <t xml:space="preserve">Kirsten Wilkerson </t>
  </si>
  <si>
    <t>Dustin Sizemore</t>
  </si>
  <si>
    <t xml:space="preserve">207 Wadsworth DSP </t>
  </si>
  <si>
    <t xml:space="preserve">Mayra Alvarado </t>
  </si>
  <si>
    <t>1 1/2 month</t>
  </si>
  <si>
    <t xml:space="preserve">Hamilton B </t>
  </si>
  <si>
    <t xml:space="preserve">Michelle LaVechia </t>
  </si>
  <si>
    <t xml:space="preserve">BP 702 </t>
  </si>
  <si>
    <t xml:space="preserve">Sheila Huskey </t>
  </si>
  <si>
    <t xml:space="preserve">Cheryl Overholt </t>
  </si>
  <si>
    <t xml:space="preserve">200 Latimer </t>
  </si>
  <si>
    <t xml:space="preserve">Dustan Kelley </t>
  </si>
  <si>
    <t>JUNE 2025</t>
  </si>
  <si>
    <t xml:space="preserve">Alishia Jones </t>
  </si>
  <si>
    <t xml:space="preserve">2 yrs 11 months </t>
  </si>
  <si>
    <t>723 Emory Valley Rd</t>
  </si>
  <si>
    <t>Jorghette Phanthavong</t>
  </si>
  <si>
    <t xml:space="preserve">8 months </t>
  </si>
  <si>
    <t xml:space="preserve">N </t>
  </si>
  <si>
    <t xml:space="preserve">James Cummings </t>
  </si>
  <si>
    <t>Zy’ona Nelson  </t>
  </si>
  <si>
    <t xml:space="preserve">361 West Outer </t>
  </si>
  <si>
    <t>Viola Wharton</t>
  </si>
  <si>
    <t xml:space="preserve">1 yr </t>
  </si>
  <si>
    <t xml:space="preserve">Human Resources </t>
  </si>
  <si>
    <t>JULY 2025</t>
  </si>
  <si>
    <t xml:space="preserve">Heather Bradburn </t>
  </si>
  <si>
    <t>EI-Pilot Program</t>
  </si>
  <si>
    <t xml:space="preserve">Jessica Oliver </t>
  </si>
  <si>
    <t>131 Wadsworth</t>
  </si>
  <si>
    <t>Michelle Shafer</t>
  </si>
  <si>
    <t xml:space="preserve">Jennifer Cummings </t>
  </si>
  <si>
    <t xml:space="preserve">Natalie Harper </t>
  </si>
  <si>
    <t>SEPARATIONS BY JOB</t>
  </si>
  <si>
    <t>Monica Turner</t>
  </si>
  <si>
    <t>Professional Services</t>
  </si>
  <si>
    <t>Michelle West</t>
  </si>
  <si>
    <t>Director</t>
  </si>
  <si>
    <t>Abbigail Renner</t>
  </si>
  <si>
    <t xml:space="preserve">Julia Nelson </t>
  </si>
  <si>
    <t xml:space="preserve">Residential/Lower Valley </t>
  </si>
  <si>
    <t>Andria Cassell</t>
  </si>
  <si>
    <t>Andrea Jones</t>
  </si>
  <si>
    <t xml:space="preserve">Megan Loy </t>
  </si>
  <si>
    <t xml:space="preserve">2290 Turnpike </t>
  </si>
  <si>
    <t xml:space="preserve">Savanna Harrison </t>
  </si>
  <si>
    <t>Holly Jones</t>
  </si>
  <si>
    <t xml:space="preserve">Residential/Robert Bunch </t>
  </si>
  <si>
    <t xml:space="preserve">Jennie England </t>
  </si>
  <si>
    <t xml:space="preserve">John Rose </t>
  </si>
  <si>
    <t>Annie Carbajal</t>
  </si>
  <si>
    <t xml:space="preserve">Danine Graham </t>
  </si>
  <si>
    <t>Erica Fox</t>
  </si>
  <si>
    <t xml:space="preserve">Superimposed/Residential </t>
  </si>
  <si>
    <t xml:space="preserve">Cara Herrell </t>
  </si>
  <si>
    <t>Michele West</t>
  </si>
  <si>
    <t>AUGUST 2025</t>
  </si>
  <si>
    <t xml:space="preserve">Sharon Hill </t>
  </si>
  <si>
    <t xml:space="preserve">Darcy Johnson </t>
  </si>
  <si>
    <t xml:space="preserve">Micheala Smith </t>
  </si>
  <si>
    <t>John Zerga</t>
  </si>
  <si>
    <t xml:space="preserve">Residential </t>
  </si>
  <si>
    <t>Jessie Miles</t>
  </si>
  <si>
    <t xml:space="preserve">Savanna Daniels Harrison </t>
  </si>
  <si>
    <t xml:space="preserve">Turnpike/ </t>
  </si>
  <si>
    <t>Breanna Hutcheson</t>
  </si>
  <si>
    <t xml:space="preserve">2292 Turnpike </t>
  </si>
  <si>
    <t>Molly Decker</t>
  </si>
  <si>
    <t xml:space="preserve">Brandi Neikirk </t>
  </si>
  <si>
    <t xml:space="preserve">Family Support </t>
  </si>
  <si>
    <t xml:space="preserve">Regina Wilson </t>
  </si>
  <si>
    <t xml:space="preserve">Shelby Bowlin </t>
  </si>
  <si>
    <t>Meagan Peacock</t>
  </si>
  <si>
    <t xml:space="preserve">Brittany Webb </t>
  </si>
  <si>
    <t>Brittany Biggerstaff</t>
  </si>
  <si>
    <t>Cathleen Robinson</t>
  </si>
  <si>
    <t>Hannah Turner</t>
  </si>
  <si>
    <t xml:space="preserve">Heather Cox </t>
  </si>
  <si>
    <t xml:space="preserve">Jennifer Jackson </t>
  </si>
  <si>
    <t xml:space="preserve">Beverly Smith </t>
  </si>
  <si>
    <t>SEPTEMBER 2025</t>
  </si>
  <si>
    <t xml:space="preserve">Jasmine Holsopple </t>
  </si>
  <si>
    <t>Alex Gadd</t>
  </si>
  <si>
    <t>Brittany Cox</t>
  </si>
  <si>
    <t xml:space="preserve">Kayla Lane </t>
  </si>
  <si>
    <t>Nonresponsive</t>
  </si>
  <si>
    <t xml:space="preserve">Alana Jones </t>
  </si>
  <si>
    <t>194 Latimer</t>
  </si>
  <si>
    <t>Marianne King</t>
  </si>
  <si>
    <t>Northwestern</t>
  </si>
  <si>
    <t>John Murray</t>
  </si>
  <si>
    <t>Meghan Flanary</t>
  </si>
  <si>
    <t>Megan Harold</t>
  </si>
  <si>
    <t>Jessica Lewellyn</t>
  </si>
  <si>
    <t>Mayra Alvarado</t>
  </si>
  <si>
    <t>Cory DePuy</t>
  </si>
  <si>
    <t>Emily Kelley</t>
  </si>
  <si>
    <t>OCTOBER 2025</t>
  </si>
  <si>
    <t>Connor Mitchell</t>
  </si>
  <si>
    <t>Joshua Woods</t>
  </si>
  <si>
    <t>Shauwna Gicking</t>
  </si>
  <si>
    <t>Workfoce Innovation</t>
  </si>
  <si>
    <t>Out of the Country for 2 weeks</t>
  </si>
  <si>
    <t>Montana Tatham</t>
  </si>
  <si>
    <t>813 Sapphire Rd</t>
  </si>
  <si>
    <t>Mya Simmons</t>
  </si>
  <si>
    <t>Delia Briceno</t>
  </si>
  <si>
    <t xml:space="preserve">10/10/2025- no answer </t>
  </si>
  <si>
    <t>Detrick Grove</t>
  </si>
  <si>
    <t xml:space="preserve">Emailed, # disconnected </t>
  </si>
  <si>
    <t>Alexandra Bean</t>
  </si>
  <si>
    <t>289 Royce, #207</t>
  </si>
  <si>
    <t xml:space="preserve">Emailed, left vm </t>
  </si>
  <si>
    <t>Hannah Broadus</t>
  </si>
  <si>
    <t>Jordan Mills</t>
  </si>
  <si>
    <t xml:space="preserve">194 Latimer </t>
  </si>
  <si>
    <t xml:space="preserve">Abigail Morlock </t>
  </si>
  <si>
    <t>Jessica Taylor</t>
  </si>
  <si>
    <t>BP 911</t>
  </si>
  <si>
    <t>Calvin Barber</t>
  </si>
  <si>
    <t>Linda Thompson</t>
  </si>
  <si>
    <t>Royce 207</t>
  </si>
  <si>
    <t>NOVEMBER 2025</t>
  </si>
  <si>
    <t>Emilie Damos</t>
  </si>
  <si>
    <t>Emily Comeaux</t>
  </si>
  <si>
    <t>Michelle Whitt</t>
  </si>
  <si>
    <t>723 Emory Valley Road</t>
  </si>
  <si>
    <t>Nichole Brooks</t>
  </si>
  <si>
    <t>Tammy Smiddy</t>
  </si>
  <si>
    <t>Ashely Fee</t>
  </si>
  <si>
    <t>Chandler Glover</t>
  </si>
  <si>
    <t>Pamela Hargis</t>
  </si>
  <si>
    <t>Krista Mayfield</t>
  </si>
  <si>
    <t>Jonni Ravyn Smelcer</t>
  </si>
  <si>
    <t>104 E Dalton</t>
  </si>
  <si>
    <t>Received Text</t>
  </si>
  <si>
    <t>DECEMBER 2025</t>
  </si>
  <si>
    <t>Ashley Knight</t>
  </si>
  <si>
    <t>Charlie Rucker</t>
  </si>
  <si>
    <t>361 W Outer</t>
  </si>
  <si>
    <t>Dustin Kelley</t>
  </si>
  <si>
    <t>Cerra Merrick</t>
  </si>
  <si>
    <t>Corie Reynolds</t>
  </si>
  <si>
    <t>Delio Briceno</t>
  </si>
  <si>
    <t>Sapphire/194 Latimer</t>
  </si>
  <si>
    <t>EMPLOYEE SEPARATION SUMMARY — FY 2024</t>
  </si>
  <si>
    <t>January 2024 — December 2024  |  Emory Valley Center</t>
  </si>
  <si>
    <t>JANUARY 2024</t>
  </si>
  <si>
    <t>Kerri Shelton</t>
  </si>
  <si>
    <t>1 year and 8 months</t>
  </si>
  <si>
    <t>Cade Crowe</t>
  </si>
  <si>
    <t>6 months</t>
  </si>
  <si>
    <t>Paul Nipper</t>
  </si>
  <si>
    <t>1/15/2024 (1year and 1 month)</t>
  </si>
  <si>
    <t>196 Latimer</t>
  </si>
  <si>
    <t>Kayla Birdswell</t>
  </si>
  <si>
    <t xml:space="preserve">James Leighner </t>
  </si>
  <si>
    <t>1/15/2024 (5 months)</t>
  </si>
  <si>
    <t>Atlanta</t>
  </si>
  <si>
    <t>Daisy Pratt</t>
  </si>
  <si>
    <t>23 years</t>
  </si>
  <si>
    <t>Worforce</t>
  </si>
  <si>
    <t>Miranda McClain</t>
  </si>
  <si>
    <t>Fila Munuo</t>
  </si>
  <si>
    <t>5 years and 1 month</t>
  </si>
  <si>
    <t>Sean Green</t>
  </si>
  <si>
    <t>1/29/2024 (8 years and 5 months)</t>
  </si>
  <si>
    <t>162 Wadsworth</t>
  </si>
  <si>
    <t>Cardiana Davis</t>
  </si>
  <si>
    <t>3 years and 7 months</t>
  </si>
  <si>
    <t>Ulena</t>
  </si>
  <si>
    <t>Sherri McMahan</t>
  </si>
  <si>
    <t>Cynthia Gillars</t>
  </si>
  <si>
    <t xml:space="preserve">2 years   </t>
  </si>
  <si>
    <t>Carol Faulkner</t>
  </si>
  <si>
    <t>1 year and 6 months</t>
  </si>
  <si>
    <t>702 Bristol</t>
  </si>
  <si>
    <t>Christina Westernman</t>
  </si>
  <si>
    <t>2 1/2 months</t>
  </si>
  <si>
    <t>Patricia Gordon</t>
  </si>
  <si>
    <t>2 years and 3 months</t>
  </si>
  <si>
    <t>Lesa Alcorn</t>
  </si>
  <si>
    <t>196 Laimter</t>
  </si>
  <si>
    <t>Melissa Lessard</t>
  </si>
  <si>
    <t>Kadie Burke</t>
  </si>
  <si>
    <t>Tuskegee</t>
  </si>
  <si>
    <t>Casey Chumley</t>
  </si>
  <si>
    <t>Maiara Thomas</t>
  </si>
  <si>
    <t>7nmonths</t>
  </si>
  <si>
    <t>Jerr Dantzler</t>
  </si>
  <si>
    <t>5 1/2 months</t>
  </si>
  <si>
    <t>207 Wadsworth</t>
  </si>
  <si>
    <t>Christopher Ouma</t>
  </si>
  <si>
    <t>2 years and 4 months</t>
  </si>
  <si>
    <t>Estabrook</t>
  </si>
  <si>
    <t>Autumn Burton</t>
  </si>
  <si>
    <t>1 year 4 months</t>
  </si>
  <si>
    <t>Brealexandria Bryan</t>
  </si>
  <si>
    <t>6 weeks</t>
  </si>
  <si>
    <t>Salem/Ulena</t>
  </si>
  <si>
    <t>Sasha Russell</t>
  </si>
  <si>
    <t>Tucker/Estabrook</t>
  </si>
  <si>
    <t>Daniel Cobble</t>
  </si>
  <si>
    <t>Brian Taylor</t>
  </si>
  <si>
    <t>Lucas Baker</t>
  </si>
  <si>
    <t>Rebecca Kern</t>
  </si>
  <si>
    <t>FEBRUARY 2024</t>
  </si>
  <si>
    <t>Anthony Lado</t>
  </si>
  <si>
    <t>Angel Schlau</t>
  </si>
  <si>
    <t>2 years and 8 months</t>
  </si>
  <si>
    <t>911 Bristol Park</t>
  </si>
  <si>
    <t>Kayla Birdsell</t>
  </si>
  <si>
    <t>Patrick McDonald</t>
  </si>
  <si>
    <t>10 years and 6 months</t>
  </si>
  <si>
    <t>Employment Services</t>
  </si>
  <si>
    <t>Miranda McLain</t>
  </si>
  <si>
    <t>Felisha Byrd</t>
  </si>
  <si>
    <t>2 years and 2 months</t>
  </si>
  <si>
    <t>Lita Byrd</t>
  </si>
  <si>
    <t>2 years and 5 months</t>
  </si>
  <si>
    <t>Leah Shurden</t>
  </si>
  <si>
    <t>Rosemary Schenck</t>
  </si>
  <si>
    <t>6 years and 9 months</t>
  </si>
  <si>
    <t>Lydia Bowling</t>
  </si>
  <si>
    <t>Lower Valley/Estabrook</t>
  </si>
  <si>
    <t>Pamela Moore</t>
  </si>
  <si>
    <t>4 years and 8 months</t>
  </si>
  <si>
    <t>Kas</t>
  </si>
  <si>
    <t>Donna Vonderalage</t>
  </si>
  <si>
    <t>14 years and 3 months</t>
  </si>
  <si>
    <t>Summer Newport</t>
  </si>
  <si>
    <t>3 weeks</t>
  </si>
  <si>
    <t>MARCH 2024</t>
  </si>
  <si>
    <t>Katie Wood</t>
  </si>
  <si>
    <t>3 years and 9 months</t>
  </si>
  <si>
    <t>Another Job</t>
  </si>
  <si>
    <t>Brittany Smith</t>
  </si>
  <si>
    <t>Kaitlyn Chandler</t>
  </si>
  <si>
    <t>Staff late to shift</t>
  </si>
  <si>
    <t>Erica Webb</t>
  </si>
  <si>
    <t>Superimposed Schedule conflict</t>
  </si>
  <si>
    <t>Halie Campbell</t>
  </si>
  <si>
    <t>Violation of Company Policy</t>
  </si>
  <si>
    <t>Zackary Cordero</t>
  </si>
  <si>
    <t>2.5 months</t>
  </si>
  <si>
    <t>None given</t>
  </si>
  <si>
    <t>Mandy Denton</t>
  </si>
  <si>
    <t>Not enough hours</t>
  </si>
  <si>
    <t>Alexis Morris</t>
  </si>
  <si>
    <t>1 week</t>
  </si>
  <si>
    <t>Stopped training/No Call No Show</t>
  </si>
  <si>
    <t xml:space="preserve">Christina Samples </t>
  </si>
  <si>
    <t>1 year and 6  months</t>
  </si>
  <si>
    <t>Bridget Dalton</t>
  </si>
  <si>
    <t>Going back to school</t>
  </si>
  <si>
    <t>Kathy Hamby</t>
  </si>
  <si>
    <t>Carol Morse</t>
  </si>
  <si>
    <t>Discharged- LOA denied</t>
  </si>
  <si>
    <t>Susan Seber</t>
  </si>
  <si>
    <t>APRIL 2024</t>
  </si>
  <si>
    <t>Renee Deason</t>
  </si>
  <si>
    <t>Kaleb Selvidge</t>
  </si>
  <si>
    <t>5 years and 4 months</t>
  </si>
  <si>
    <t>Jen Johnson</t>
  </si>
  <si>
    <t>Donna Pruitt-Brawner</t>
  </si>
  <si>
    <t>702 BP</t>
  </si>
  <si>
    <t>Anna Holland</t>
  </si>
  <si>
    <t>2 weeks</t>
  </si>
  <si>
    <t>N. Purdue</t>
  </si>
  <si>
    <t>Christina Foster</t>
  </si>
  <si>
    <t>Sierra Rowe</t>
  </si>
  <si>
    <t>Amber Funk</t>
  </si>
  <si>
    <t>Donna Heath</t>
  </si>
  <si>
    <t>427 Outer</t>
  </si>
  <si>
    <t>Fatima Aian</t>
  </si>
  <si>
    <t>Shayla Wright</t>
  </si>
  <si>
    <t>Northestern</t>
  </si>
  <si>
    <t>Cheyenne Stevens</t>
  </si>
  <si>
    <t>April Coffman</t>
  </si>
  <si>
    <t>Trunpike A</t>
  </si>
  <si>
    <t>MAY 2024</t>
  </si>
  <si>
    <t>David Minarik</t>
  </si>
  <si>
    <t>Willow Run</t>
  </si>
  <si>
    <t>Cali Ridings</t>
  </si>
  <si>
    <t>141 Wainwright</t>
  </si>
  <si>
    <t>Sherri McMahon</t>
  </si>
  <si>
    <t>Breanna Baily</t>
  </si>
  <si>
    <t>Jadaya Felton</t>
  </si>
  <si>
    <t>1 year and 11 months</t>
  </si>
  <si>
    <t xml:space="preserve"> Rebecca Smith</t>
  </si>
  <si>
    <t>Shaelynn Wilson</t>
  </si>
  <si>
    <t>1 year and 10months</t>
  </si>
  <si>
    <t>Workforce Development</t>
  </si>
  <si>
    <t>Robin Spencer</t>
  </si>
  <si>
    <t>Dustin Phillips</t>
  </si>
  <si>
    <t>Facilities</t>
  </si>
  <si>
    <t>Kevin Hicks</t>
  </si>
  <si>
    <t>Emily Vega</t>
  </si>
  <si>
    <t>164 Wadsworth</t>
  </si>
  <si>
    <t>Belinda Ferguson</t>
  </si>
  <si>
    <t xml:space="preserve">Tamara Robinson </t>
  </si>
  <si>
    <t>Herbert Heidel</t>
  </si>
  <si>
    <t>Ambriana Arnold</t>
  </si>
  <si>
    <t>Margie Carter</t>
  </si>
  <si>
    <t>911 BP/207 Wadsworth</t>
  </si>
  <si>
    <t>Breenan McMurray</t>
  </si>
  <si>
    <t>Claudia Eastland</t>
  </si>
  <si>
    <t>Jeninne Amburgey</t>
  </si>
  <si>
    <t>Kristen Coley</t>
  </si>
  <si>
    <t>N. Purude</t>
  </si>
  <si>
    <t>Faustin Busane</t>
  </si>
  <si>
    <t>Syble Hester</t>
  </si>
  <si>
    <t>JUNE 2024</t>
  </si>
  <si>
    <t>Erica Peters</t>
  </si>
  <si>
    <t>Gabriela Minor</t>
  </si>
  <si>
    <t>Charisma Nelson</t>
  </si>
  <si>
    <t>Brennan McMurray</t>
  </si>
  <si>
    <t>Sitaly Bailey</t>
  </si>
  <si>
    <t>Kaylynn Willis</t>
  </si>
  <si>
    <t>Chaunoa Austin</t>
  </si>
  <si>
    <t>Robert Damen</t>
  </si>
  <si>
    <t>Maria Gamache</t>
  </si>
  <si>
    <t>Jonah Mesa</t>
  </si>
  <si>
    <t>Rebecca Ford</t>
  </si>
  <si>
    <t>Ieshia Presnell</t>
  </si>
  <si>
    <t>Lindsey Weatherford</t>
  </si>
  <si>
    <t>JULY 2024</t>
  </si>
  <si>
    <t>Antonio Cleveland</t>
  </si>
  <si>
    <t>3 years and 6 months</t>
  </si>
  <si>
    <t>Superimposed</t>
  </si>
  <si>
    <t>Carmen Webb</t>
  </si>
  <si>
    <t>3 and 1/2 months</t>
  </si>
  <si>
    <t>ECF</t>
  </si>
  <si>
    <t>Calleigh Leighner</t>
  </si>
  <si>
    <t>Destiny Crisswell</t>
  </si>
  <si>
    <t>Michelle Vaught</t>
  </si>
  <si>
    <t>11 1/2 months</t>
  </si>
  <si>
    <t>Chris McCoy</t>
  </si>
  <si>
    <t>Jermaine Reynolds</t>
  </si>
  <si>
    <t>2 and 1/2 months</t>
  </si>
  <si>
    <t>Tim Stewart</t>
  </si>
  <si>
    <t>Briana Kirkland</t>
  </si>
  <si>
    <t>Hannah Roberston</t>
  </si>
  <si>
    <t>Markee Scales</t>
  </si>
  <si>
    <t>Miracle Stewart</t>
  </si>
  <si>
    <t>4 weeks</t>
  </si>
  <si>
    <t>Jessica Borsick</t>
  </si>
  <si>
    <t>AUGUST 2024</t>
  </si>
  <si>
    <t>Blasia Lackey</t>
  </si>
  <si>
    <t>Christopher Ouoma</t>
  </si>
  <si>
    <t>2 years and 11 months</t>
  </si>
  <si>
    <t>Cyndey Burris</t>
  </si>
  <si>
    <t>3 years and 10 months</t>
  </si>
  <si>
    <t>George Pace</t>
  </si>
  <si>
    <t>Connie Wright</t>
  </si>
  <si>
    <t>Gari Miller</t>
  </si>
  <si>
    <t>3 years and 2 months</t>
  </si>
  <si>
    <t>Patrese Poore</t>
  </si>
  <si>
    <t>Heather Marian</t>
  </si>
  <si>
    <t>Eddie Godsey</t>
  </si>
  <si>
    <t>Latimer</t>
  </si>
  <si>
    <t>Latisha Welles</t>
  </si>
  <si>
    <t>Jerriah Love</t>
  </si>
  <si>
    <t>Elias Cook</t>
  </si>
  <si>
    <t>1 months</t>
  </si>
  <si>
    <t>Sheila Booker</t>
  </si>
  <si>
    <t>Ryan Spencer</t>
  </si>
  <si>
    <t>5 weeks</t>
  </si>
  <si>
    <t>Joel Crawford</t>
  </si>
  <si>
    <t>8 years and 1 month</t>
  </si>
  <si>
    <t>Amelia Stubbs</t>
  </si>
  <si>
    <t>1 year 6 months</t>
  </si>
  <si>
    <t>207 Royce</t>
  </si>
  <si>
    <t>SEPTEMBER 2024</t>
  </si>
  <si>
    <t>Haylee Potter</t>
  </si>
  <si>
    <t>Lindsey Pruitt</t>
  </si>
  <si>
    <t>361 Outer</t>
  </si>
  <si>
    <t>Brenna Young</t>
  </si>
  <si>
    <t xml:space="preserve">1 year    </t>
  </si>
  <si>
    <t>Sophia Cook</t>
  </si>
  <si>
    <t>Jacob Bergey</t>
  </si>
  <si>
    <t>7 1/2 months</t>
  </si>
  <si>
    <t xml:space="preserve">Dalton </t>
  </si>
  <si>
    <t>James Crawford</t>
  </si>
  <si>
    <t>Meghan Garrett</t>
  </si>
  <si>
    <t>Tyishnia Willis</t>
  </si>
  <si>
    <t>OCTOBER 2024</t>
  </si>
  <si>
    <t>Lucas Daughtery</t>
  </si>
  <si>
    <t>3 months and 3 weeks</t>
  </si>
  <si>
    <t>Anne Hawn</t>
  </si>
  <si>
    <t>2 months and 2 weeks</t>
  </si>
  <si>
    <t>Four Mile Peaks</t>
  </si>
  <si>
    <t>Kendra Lloyd</t>
  </si>
  <si>
    <t>Rayvn Smelcher</t>
  </si>
  <si>
    <t>Dalton and 429 Outer</t>
  </si>
  <si>
    <t>Madison Dalton</t>
  </si>
  <si>
    <t>Amanda Miller</t>
  </si>
  <si>
    <t>Ulena, Estabrook</t>
  </si>
  <si>
    <t>Tara Williams</t>
  </si>
  <si>
    <t>1 year 2 months</t>
  </si>
  <si>
    <t>Julia McCray</t>
  </si>
  <si>
    <t>NOVEMBER 2024</t>
  </si>
  <si>
    <t>Mariam Keita</t>
  </si>
  <si>
    <t>Melissa Timbrouk</t>
  </si>
  <si>
    <t>207 Wadsworth and 141 Wainwright</t>
  </si>
  <si>
    <t>Kimberly Floyd</t>
  </si>
  <si>
    <t>3 months and 2 weeks</t>
  </si>
  <si>
    <t>Ashlyn Nuchols</t>
  </si>
  <si>
    <t>Hamilton</t>
  </si>
  <si>
    <t>Pat Nicholai</t>
  </si>
  <si>
    <t>Jabir Jumanne</t>
  </si>
  <si>
    <t>Susan Henry</t>
  </si>
  <si>
    <t>Peggy Conway</t>
  </si>
  <si>
    <t>8 years</t>
  </si>
  <si>
    <t>Shelby Allen</t>
  </si>
  <si>
    <t>Cherilyn Patterson</t>
  </si>
  <si>
    <t xml:space="preserve">2 months </t>
  </si>
  <si>
    <t>428 West Outer/Northwestern</t>
  </si>
  <si>
    <t>Kasey Foster/Patreese Poore</t>
  </si>
  <si>
    <t>Jolie Gentry</t>
  </si>
  <si>
    <t>Zackary McCulloch</t>
  </si>
  <si>
    <t>1 month and 2 weeks</t>
  </si>
  <si>
    <t>Jessica Oliver</t>
  </si>
  <si>
    <t>Bry Heath</t>
  </si>
  <si>
    <t>2 years and 1 month</t>
  </si>
  <si>
    <t>Kendra Loy</t>
  </si>
  <si>
    <t>Tiffanie Shubert</t>
  </si>
  <si>
    <t>2 years and 10 months</t>
  </si>
  <si>
    <t>DECEMBER 2024</t>
  </si>
  <si>
    <t>Misty Quails</t>
  </si>
  <si>
    <t>Karah Tull</t>
  </si>
  <si>
    <t>Taylor Morton</t>
  </si>
  <si>
    <t>Lisa Bennet</t>
  </si>
  <si>
    <t>3 years 6 months</t>
  </si>
  <si>
    <t>Rebeca Jumanne</t>
  </si>
  <si>
    <t>Jeminat (JJ) Harper</t>
  </si>
  <si>
    <t>1 year 3 months</t>
  </si>
  <si>
    <t>200 Latimer/Livingston</t>
  </si>
  <si>
    <t>Christopher Cuellar</t>
  </si>
  <si>
    <t>Helen Talley</t>
  </si>
  <si>
    <t>4 days</t>
  </si>
  <si>
    <t>Sapphire/Newkirk</t>
  </si>
  <si>
    <t>Regan Yaw</t>
  </si>
  <si>
    <t>Kayla Mead</t>
  </si>
  <si>
    <t>EMPLOYEE SEPARATION SUMMARY — FY 2023</t>
  </si>
  <si>
    <t>January 2023 — December 2023  |  Emory Valley Center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</si>
  <si>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</si>
  <si>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</si>
  <si>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</si>
  <si>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</si>
  <si>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</si>
  <si>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</si>
  <si>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</si>
  <si>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Brooke Love</t>
  </si>
  <si>
    <t>Kailee Owens</t>
  </si>
  <si>
    <t>Andrew Lindsey</t>
  </si>
  <si>
    <t>Sherry McMahan</t>
  </si>
  <si>
    <t>Olivia Watson</t>
  </si>
  <si>
    <t>Babara Blades</t>
  </si>
  <si>
    <t>1 Year</t>
  </si>
  <si>
    <t>Newkirk</t>
  </si>
  <si>
    <t>Nathan Eddelman</t>
  </si>
  <si>
    <t>Joi Cooper</t>
  </si>
  <si>
    <t>PT DSP Estabrook</t>
  </si>
  <si>
    <t>Morgan Belcher</t>
  </si>
  <si>
    <t>Royce Circle, #115</t>
  </si>
  <si>
    <t>Karmen Miller</t>
  </si>
  <si>
    <t>Cassie Higdon</t>
  </si>
  <si>
    <t>813 Sapphire Road</t>
  </si>
  <si>
    <t>AUGUST 2023</t>
  </si>
  <si>
    <t>Tamara Robinson</t>
  </si>
  <si>
    <t>1 year 11 months</t>
  </si>
  <si>
    <t>Malachi Ray</t>
  </si>
  <si>
    <t>Gerald Roberts</t>
  </si>
  <si>
    <t>6 years 6 months</t>
  </si>
  <si>
    <t>Ariel Olson</t>
  </si>
  <si>
    <t>9 years and 3 months</t>
  </si>
  <si>
    <t>Daniel Beals</t>
  </si>
  <si>
    <t>Maria Childress</t>
  </si>
  <si>
    <t>Edgar Baldwin</t>
  </si>
  <si>
    <t>Rachel Castonguay</t>
  </si>
  <si>
    <t>246 Four Mile</t>
  </si>
  <si>
    <t>Quincy Scates</t>
  </si>
  <si>
    <t>SEPTEMBER 2023</t>
  </si>
  <si>
    <t>Elisa Martinez</t>
  </si>
  <si>
    <t>Erika Dilbeck</t>
  </si>
  <si>
    <t>Ashton Dunne</t>
  </si>
  <si>
    <t>1 year 7 months</t>
  </si>
  <si>
    <t>Community Engagement</t>
  </si>
  <si>
    <t>Chris Mwangi</t>
  </si>
  <si>
    <t>150 Algers</t>
  </si>
  <si>
    <t>Mathew McClure</t>
  </si>
  <si>
    <t>7 years and 5 months</t>
  </si>
  <si>
    <t>Miranda Mclain</t>
  </si>
  <si>
    <t>Samantha Godwin</t>
  </si>
  <si>
    <t>Haley Christian</t>
  </si>
  <si>
    <t>Less than two weeks</t>
  </si>
  <si>
    <t>Nikketta Gibson</t>
  </si>
  <si>
    <t>Catherine Young</t>
  </si>
  <si>
    <t>Christy Luallen</t>
  </si>
  <si>
    <t>Libby Leinhart</t>
  </si>
  <si>
    <t>1 month, 2 weeks</t>
  </si>
  <si>
    <t xml:space="preserve">EI - Home Based </t>
  </si>
  <si>
    <t>OCTOBER 2023</t>
  </si>
  <si>
    <t>Karah Hutson</t>
  </si>
  <si>
    <t>Less than 1 week</t>
  </si>
  <si>
    <t>Nikki Walker</t>
  </si>
  <si>
    <t>Allison Lowe</t>
  </si>
  <si>
    <t>One month</t>
  </si>
  <si>
    <t>Naomi Griggs</t>
  </si>
  <si>
    <t>Haven Cooley</t>
  </si>
  <si>
    <t>Dalton/207 Royce/Hamilton A/Lower Valley</t>
  </si>
  <si>
    <t>Jovi McMichael</t>
  </si>
  <si>
    <t>One year</t>
  </si>
  <si>
    <t>Kimberly Harding</t>
  </si>
  <si>
    <t>Megan Hall</t>
  </si>
  <si>
    <t>Hamilton A/145 Latimer</t>
  </si>
  <si>
    <t>Kenda Lawson</t>
  </si>
  <si>
    <t>Kelley Kaufmann</t>
  </si>
  <si>
    <t>Kaylea Wolff</t>
  </si>
  <si>
    <t>y</t>
  </si>
  <si>
    <t>164 W Wadsworth Circle</t>
  </si>
  <si>
    <t>Brianna Barton</t>
  </si>
  <si>
    <t>NOVEMBER 2023</t>
  </si>
  <si>
    <t>Robin Hamrick</t>
  </si>
  <si>
    <t>6 years and 4 months</t>
  </si>
  <si>
    <t>Chris Maney</t>
  </si>
  <si>
    <t>Job Developer</t>
  </si>
  <si>
    <t>Teresa Luke</t>
  </si>
  <si>
    <t>15 years</t>
  </si>
  <si>
    <t>Markeysha Clark</t>
  </si>
  <si>
    <t>Isaac Sulfridge</t>
  </si>
  <si>
    <t>Daniel Sexton</t>
  </si>
  <si>
    <t>200 Latimer/196 Latimer</t>
  </si>
  <si>
    <t>Pat George</t>
  </si>
  <si>
    <t>12 years and 4 months</t>
  </si>
  <si>
    <t>Chereka Truitt</t>
  </si>
  <si>
    <t>104 East Dalton</t>
  </si>
  <si>
    <t>Caitlyn Laway</t>
  </si>
  <si>
    <t>Melissa Hodges</t>
  </si>
  <si>
    <t>112 Salem</t>
  </si>
  <si>
    <t>DECEMBER 2023</t>
  </si>
  <si>
    <t>Rachel Goodwin</t>
  </si>
  <si>
    <t>Laura Stratton</t>
  </si>
  <si>
    <t>27 years and 8 months</t>
  </si>
  <si>
    <t>Angel Martin</t>
  </si>
  <si>
    <t>John Ritner</t>
  </si>
  <si>
    <t>Jaiden McCoy</t>
  </si>
  <si>
    <t>Takiyla Bazel</t>
  </si>
  <si>
    <t>145 Latimer</t>
  </si>
  <si>
    <t>Marshall Springer</t>
  </si>
  <si>
    <t>Lateta Jackson</t>
  </si>
  <si>
    <t>Amber Steinmetz</t>
  </si>
  <si>
    <t>FY Year</t>
  </si>
  <si>
    <t>Rehire Rate</t>
  </si>
  <si>
    <t>Exit Rate</t>
  </si>
  <si>
    <t xml:space="preserve">  FISCAL YEAR MONTHLY SEPARATIONS (July 1 — June 30)</t>
  </si>
  <si>
    <t>FY EVC Year</t>
  </si>
  <si>
    <t>Average</t>
  </si>
  <si>
    <t xml:space="preserve">  FISCAL YEAR SUMMARY (July 1 — June 30)</t>
  </si>
  <si>
    <t>Invol</t>
  </si>
  <si>
    <t>Job Titles</t>
  </si>
  <si>
    <t>Reasons for Leaving</t>
  </si>
  <si>
    <t>Locations</t>
  </si>
  <si>
    <t>Location (Mapping)</t>
  </si>
  <si>
    <t>Departments</t>
  </si>
  <si>
    <t>BCBA</t>
  </si>
  <si>
    <t>Operations</t>
  </si>
  <si>
    <t>Children Services</t>
  </si>
  <si>
    <t>107 Tucker</t>
  </si>
  <si>
    <t>112 Salem Road</t>
  </si>
  <si>
    <t>EI - Home Based</t>
  </si>
  <si>
    <t>115 Brookwood Terrace</t>
  </si>
  <si>
    <t>122 East Newkirk Lane</t>
  </si>
  <si>
    <t>122 Walker</t>
  </si>
  <si>
    <t>Early Learning Center</t>
  </si>
  <si>
    <t>129 W Racoon Valley</t>
  </si>
  <si>
    <t>Little Learning Lab</t>
  </si>
  <si>
    <t>132 Northwestern</t>
  </si>
  <si>
    <t>150 Alger</t>
  </si>
  <si>
    <t>MAPS</t>
  </si>
  <si>
    <t>162 W. WADSWORTH CIRCLE</t>
  </si>
  <si>
    <t>167 Golfcrest</t>
  </si>
  <si>
    <t>198 Latimer</t>
  </si>
  <si>
    <t>207 Wadsworth Place</t>
  </si>
  <si>
    <t>284 Jefferson Circle</t>
  </si>
  <si>
    <t>289 Royce Apt 207</t>
  </si>
  <si>
    <t>341 W OUTER</t>
  </si>
  <si>
    <t>345 West Outer</t>
  </si>
  <si>
    <t>361 W. Outer Dr</t>
  </si>
  <si>
    <t>363 West Outer</t>
  </si>
  <si>
    <t>367 West Outer</t>
  </si>
  <si>
    <t>367 Willow Run</t>
  </si>
  <si>
    <t>427 W Outer Dr</t>
  </si>
  <si>
    <t>503 Estabrook</t>
  </si>
  <si>
    <t>790 Emory Valley Road           Apt 702 Bristol Park</t>
  </si>
  <si>
    <t>Admin</t>
  </si>
  <si>
    <t>Skyview</t>
  </si>
  <si>
    <t>207 Wadsworth DSP</t>
  </si>
  <si>
    <t>Customer Service</t>
  </si>
  <si>
    <t>361 West Outer</t>
  </si>
  <si>
    <t>Livingston/196 Latimer</t>
  </si>
  <si>
    <t>On Leave</t>
  </si>
  <si>
    <t>Residential/Lower Valley</t>
  </si>
  <si>
    <t>Residential/Robert Bunch</t>
  </si>
  <si>
    <t>Superimposed/Residential</t>
  </si>
  <si>
    <t>Turnpike/</t>
  </si>
  <si>
    <t>Amber Potter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</si>
</sst>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mm/dd/yyyy"/>
  </numFmts>
  <fonts count="42" x14ac:knownFonts="1">
    <font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9"/>
      <color theme="1"/>
      <name val="Calibri"/>
      <charset val="1"/>
    </font>
    <font>
      <b/>
      <sz val="14"/>
      <color rgb="FFFFFFFF"/>
      <name val="Arial"/>
      <family val="2"/>
      <charset val="1"/>
    </font>
    <font>
      <sz val="14"/>
      <color rgb="FFB4C6E7"/>
      <name val="Arial"/>
      <family val="2"/>
      <charset val="1"/>
    </font>
    <font>
      <b/>
      <sz val="10"/>
      <color rgb="FF666666"/>
      <name val="Arial"/>
      <family val="2"/>
      <charset val="1"/>
    </font>
    <font>
      <b/>
      <sz val="10"/>
      <color rgb="FF1F3864"/>
      <name val="Arial"/>
      <family val="2"/>
      <charset val="1"/>
    </font>
    <font>
      <sz val="9"/>
      <color rgb="FF999999"/>
      <name val="Calibri"/>
      <charset val="1"/>
    </font>
    <font>
      <sz val="9"/>
      <color rgb="FFCCCCCC"/>
      <name val="Calibri"/>
      <charset val="1"/>
    </font>
    <font>
      <b/>
      <sz val="10"/>
      <color rgb="FFFFFFFF"/>
      <name val="Arial"/>
      <family val="2"/>
      <charset val="1"/>
    </font>
    <font>
      <b/>
      <sz val="10"/>
      <color rgb="FF333333"/>
      <name val="Arial"/>
      <family val="2"/>
      <charset val="1"/>
    </font>
    <font>
      <sz val="9"/>
      <color rgb="FF1A1A1A"/>
      <name val="Calibri"/>
      <charset val="1"/>
    </font>
    <font>
      <sz val="9"/>
      <color rgb="FF2C3E50"/>
      <name val="Calibri"/>
      <charset val="1"/>
    </font>
    <font>
      <sz val="9"/>
      <color rgb="FFFFF2CC"/>
      <name val="Calibri"/>
      <charset val="1"/>
    </font>
    <font>
      <b/>
      <i/>
      <sz val="10"/>
      <color rgb="FF2F5496"/>
      <name val="Arial"/>
      <family val="2"/>
      <charset val="1"/>
    </font>
    <font>
      <sz val="9"/>
      <color rgb="FF666666"/>
      <name val="Calibri"/>
      <charset val="1"/>
    </font>
    <font>
      <sz val="9"/>
      <name val="Calibri"/>
      <charset val="1"/>
    </font>
    <font>
      <b/>
      <sz val="16"/>
      <color rgb="FFFFFFFF"/>
      <name val="Arial"/>
      <charset val="1"/>
    </font>
    <font>
      <sz val="11"/>
      <color rgb="FFBDC3C7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2C3E50"/>
      <name val="Arial"/>
      <charset val="1"/>
    </font>
    <font>
      <b/>
      <sz val="12"/>
      <color rgb="FF2C3E50"/>
      <name val="Arial"/>
      <charset val="1"/>
    </font>
    <font>
      <b/>
      <sz val="9"/>
      <color rgb="FF7F8C8D"/>
      <name val="Arial"/>
      <charset val="1"/>
    </font>
    <font>
      <sz val="9"/>
      <color rgb="FF2E86AB"/>
      <name val="Calibri"/>
      <charset val="1"/>
    </font>
    <font>
      <b/>
      <sz val="10"/>
      <color rgb="FF2E86AB"/>
      <name val="Arial"/>
      <charset val="1"/>
    </font>
    <font>
      <b/>
      <sz val="12"/>
      <color rgb="FFFFFFFF"/>
      <name val="Arial"/>
      <charset val="1"/>
    </font>
    <font>
      <b/>
      <sz val="11"/>
      <color rgb="FF2F5496"/>
      <name val="Arial"/>
      <charset val="1"/>
    </font>
    <font>
      <b/>
      <sz val="10"/>
      <color rgb="FFFFFFFF"/>
      <name val="Arial"/>
      <charset val="1"/>
    </font>
    <font>
      <b/>
      <sz val="10"/>
      <color rgb="FF333333"/>
      <name val="Arial"/>
      <charset val="1"/>
    </font>
    <font>
      <b/>
      <sz val="12"/>
      <color rgb="FF548235"/>
      <name val="Arial"/>
      <charset val="1"/>
    </font>
    <font>
      <b/>
      <sz val="9"/>
      <color rgb="FF95A5A6"/>
      <name val="Arial"/>
      <charset val="1"/>
    </font>
    <font>
      <b/>
      <sz val="12"/>
      <color rgb="FF1B2A4A"/>
      <name val="Arial"/>
      <charset val="1"/>
    </font>
    <font>
      <b/>
      <sz val="12"/>
      <color rgb="FFE74C3C"/>
      <name val="Arial"/>
      <charset val="1"/>
    </font>
    <font>
      <b/>
      <sz val="12"/>
      <color rgb="FFF39C12"/>
      <name val="Arial"/>
      <charset val="1"/>
    </font>
    <font>
      <sz val="9"/>
      <color rgb="FF7F8C8D"/>
      <name val="Calibri"/>
      <charset val="1"/>
    </font>
    <font>
      <b/>
      <sz val="9"/>
      <color rgb="FF2E86AB"/>
      <name val="Arial"/>
      <charset val="1"/>
    </font>
    <font>
      <b/>
      <sz val="9"/>
      <name val="Arial"/>
      <charset val="1"/>
    </font>
    <font>
      <b/>
      <sz val="10"/>
      <name val="Arial"/>
      <charset val="1"/>
    </font>
    <font>
      <b/>
      <i/>
      <sz val="10"/>
      <color rgb="FF2F5496"/>
      <name val="Arial"/>
      <charset val="1"/>
    </font>
    <font>
      <b/>
      <sz val="11"/>
      <name val="Cambria"/>
      <charset val="1"/>
    </font>
    <font>
      <b/>
      <sz val="11"/>
      <name val="Arial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2C3E50"/>
      </patternFill>
    </fill>
    <fill>
      <patternFill patternType="solid">
        <fgColor rgb="FF1B2A4A"/>
        <bgColor rgb="FF1F3864"/>
      </patternFill>
    </fill>
    <fill>
      <patternFill patternType="solid">
        <fgColor rgb="FFF7F9FC"/>
        <bgColor rgb="FFF8F9FA"/>
      </patternFill>
    </fill>
    <fill>
      <patternFill patternType="solid">
        <fgColor rgb="FFDAEEF3"/>
        <bgColor rgb="FFD4EEF7"/>
      </patternFill>
    </fill>
    <fill>
      <patternFill patternType="solid">
        <fgColor rgb="FFFF0000"/>
        <bgColor rgb="FFE74C3C"/>
      </patternFill>
    </fill>
    <fill>
      <patternFill patternType="solid">
        <fgColor rgb="FFF8F9FA"/>
        <bgColor rgb="FFF7F9FC"/>
      </patternFill>
    </fill>
    <fill>
      <patternFill patternType="solid">
        <fgColor rgb="FFFFFFFF"/>
        <bgColor rgb="FFF8F9FA"/>
      </patternFill>
    </fill>
    <fill>
      <patternFill patternType="solid">
        <fgColor rgb="FFEDF2FA"/>
        <bgColor rgb="FFEBF0F5"/>
      </patternFill>
    </fill>
    <fill>
      <patternFill patternType="solid">
        <fgColor rgb="FF2F5496"/>
        <bgColor rgb="FF44546A"/>
      </patternFill>
    </fill>
    <fill>
      <patternFill patternType="solid">
        <fgColor rgb="FF44546A"/>
        <bgColor rgb="FF2F5496"/>
      </patternFill>
    </fill>
    <fill>
      <patternFill patternType="solid">
        <fgColor rgb="FFF2F4F7"/>
        <bgColor rgb="FFF2F2F2"/>
      </patternFill>
    </fill>
    <fill>
      <patternFill patternType="solid">
        <fgColor rgb="FFD6E4F0"/>
        <bgColor rgb="FFD5DDE5"/>
      </patternFill>
    </fill>
    <fill>
      <patternFill patternType="solid">
        <fgColor rgb="FFD4A017"/>
        <bgColor rgb="FFF39C12"/>
      </patternFill>
    </fill>
    <fill>
      <patternFill patternType="solid">
        <fgColor rgb="FF2E86AB"/>
        <bgColor rgb="FF008080"/>
      </patternFill>
    </fill>
    <fill>
      <patternFill patternType="solid">
        <fgColor rgb="FFEBF0F5"/>
        <bgColor rgb="FFE8EEF5"/>
      </patternFill>
    </fill>
    <fill>
      <patternFill patternType="solid">
        <fgColor rgb="FFE8EEF5"/>
        <bgColor rgb="FFEBF0F5"/>
      </patternFill>
    </fill>
    <fill>
      <patternFill patternType="solid">
        <fgColor rgb="FFF2F2F2"/>
        <bgColor rgb="FFF2F4F7"/>
      </patternFill>
    </fill>
    <fill>
      <patternFill patternType="solid">
        <fgColor rgb="FFD4EEF7"/>
        <bgColor rgb="FFDAEEF3"/>
      </patternFill>
    </fill>
    <fill>
      <patternFill patternType="solid">
        <fgColor theme="6" tint="-0.249977111117893"/>
        <bgColor rgb="FF548235"/>
      </patternFill>
    </fill>
    <fill>
      <patternFill patternType="solid">
        <fgColor rgb="FFFFFF00"/>
        <bgColor rgb="FFFFF2CC"/>
      </patternFill>
    </fill>
  </fills>
  <borders count="2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rgb="FF2F5496"/>
      </bottom>
      <diagonal/>
    </border>
    <border>
      <left style="thin">
        <color rgb="FFD5DDE5"/>
      </left>
      <right style="thin">
        <color rgb="FFD5DDE5"/>
      </right>
      <top style="thin">
        <color rgb="FFD5DDE5"/>
      </top>
      <bottom style="thin">
        <color rgb="FFD5DDE5"/>
      </bottom>
      <diagonal/>
    </border>
    <border>
      <left style="thin">
        <color rgb="FFB4C6E7"/>
      </left>
      <right style="thin">
        <color rgb="FFB4C6E7"/>
      </right>
      <top style="medium">
        <color rgb="FF2F5496"/>
      </top>
      <bottom style="medium">
        <color rgb="FF2F5496"/>
      </bottom>
      <diagonal/>
    </border>
    <border>
      <left style="hair">
        <color rgb="FFD0D0D0"/>
      </left>
      <right style="hair">
        <color rgb="FFD0D0D0"/>
      </right>
      <top style="hair">
        <color rgb="FFD0D0D0"/>
      </top>
      <bottom style="hair">
        <color rgb="FFD0D0D0"/>
      </bottom>
      <diagonal/>
    </border>
    <border>
      <left/>
      <right/>
      <top/>
      <bottom style="medium">
        <color rgb="FF2F5496"/>
      </bottom>
      <diagonal/>
    </border>
    <border>
      <left style="thin">
        <color rgb="FFB4C6E7"/>
      </left>
      <right/>
      <top style="medium">
        <color rgb="FF2F5496"/>
      </top>
      <bottom style="medium">
        <color rgb="FF2F5496"/>
      </bottom>
      <diagonal/>
    </border>
    <border>
      <left style="hair">
        <color rgb="FFD0D0D0"/>
      </left>
      <right style="hair">
        <color theme="0" tint="-0.249977111117893"/>
      </right>
      <top style="medium">
        <color rgb="FF2F5496"/>
      </top>
      <bottom style="hair">
        <color rgb="FFD0D0D0"/>
      </bottom>
      <diagonal/>
    </border>
    <border>
      <left style="hair">
        <color rgb="FFD0D0D0"/>
      </left>
      <right style="hair">
        <color theme="0" tint="-0.249977111117893"/>
      </right>
      <top style="hair">
        <color rgb="FFD0D0D0"/>
      </top>
      <bottom style="hair">
        <color rgb="FFD0D0D0"/>
      </bottom>
      <diagonal/>
    </border>
    <border>
      <left/>
      <right/>
      <top style="thick">
        <color rgb="FFB8860B"/>
      </top>
      <bottom style="thick">
        <color rgb="FFB8860B"/>
      </bottom>
      <diagonal/>
    </border>
    <border>
      <left style="hair">
        <color rgb="FFD0D0D0"/>
      </left>
      <right style="hair">
        <color rgb="FFD0D0D0"/>
      </right>
      <top style="medium">
        <color rgb="FF2F5496"/>
      </top>
      <bottom style="hair">
        <color rgb="FFD0D0D0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medium">
        <color rgb="FF2F5496"/>
      </top>
      <bottom style="thin">
        <color rgb="FFB4C6E7"/>
      </bottom>
      <diagonal/>
    </border>
    <border>
      <left/>
      <right/>
      <top/>
      <bottom style="thin">
        <color rgb="FFD5DDE5"/>
      </bottom>
      <diagonal/>
    </border>
    <border>
      <left/>
      <right style="thin">
        <color rgb="FFD5DDE5"/>
      </right>
      <top/>
      <bottom style="thin">
        <color rgb="FFD5DDE5"/>
      </bottom>
      <diagonal/>
    </border>
    <border>
      <left style="thin">
        <color rgb="FFD5DDE5"/>
      </left>
      <right style="thin">
        <color rgb="FFD5DDE5"/>
      </right>
      <top/>
      <bottom style="thin">
        <color rgb="FFD5DDE5"/>
      </bottom>
      <diagonal/>
    </border>
    <border>
      <left style="thin">
        <color rgb="FFD5DDE5"/>
      </left>
      <right/>
      <top/>
      <bottom style="thin">
        <color rgb="FFD5DDE5"/>
      </bottom>
      <diagonal/>
    </border>
    <border>
      <left/>
      <right style="thin">
        <color rgb="FFD5DDE5"/>
      </right>
      <top style="thin">
        <color rgb="FFD5DDE5"/>
      </top>
      <bottom style="thin">
        <color rgb="FFD5DDE5"/>
      </bottom>
      <diagonal/>
    </border>
    <border>
      <left style="thin">
        <color rgb="FFD5DDE5"/>
      </left>
      <right/>
      <top style="thin">
        <color rgb="FFD5DDE5"/>
      </top>
      <bottom style="thin">
        <color rgb="FFD5DDE5"/>
      </bottom>
      <diagonal/>
    </border>
    <border>
      <left/>
      <right style="thin">
        <color rgb="FFD5DDE5"/>
      </right>
      <top style="thin">
        <color rgb="FFD5DDE5"/>
      </top>
      <bottom/>
      <diagonal/>
    </border>
    <border>
      <left style="thin">
        <color rgb="FFD5DDE5"/>
      </left>
      <right style="thin">
        <color rgb="FFD5DDE5"/>
      </right>
      <top style="thin">
        <color rgb="FFD5DDE5"/>
      </top>
      <bottom/>
      <diagonal/>
    </border>
    <border>
      <left style="thin">
        <color rgb="FFD5DDE5"/>
      </left>
      <right/>
      <top style="thin">
        <color rgb="FFD5DDE5"/>
      </top>
      <bottom/>
      <diagonal/>
    </border>
  </borders>
  <cellStyleXfs count="1">
    <xf numFmtId="0" fontId="0" fillId="0" borderId="0"/>
  </cellStyleXfs>
  <cellXfs count="170">
    <xf numFmtId="0" fontId="0" fillId="0" borderId="0" xfId="0"/>
    <xf numFmtId="0" fontId="9" fillId="2" borderId="0" xfId="0" applyFont="1" applyFill="1" applyAlignment="1">
      <alignment horizontal="center" vertical="center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9" fillId="10" borderId="3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164" fontId="11" fillId="8" borderId="4" xfId="0" applyNumberFormat="1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10" fillId="12" borderId="4" xfId="0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164" fontId="11" fillId="12" borderId="4" xfId="0" applyNumberFormat="1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10" borderId="6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0" fontId="11" fillId="13" borderId="4" xfId="0" applyFont="1" applyFill="1" applyBorder="1" applyAlignment="1">
      <alignment horizontal="center" vertical="center"/>
    </xf>
    <xf numFmtId="164" fontId="11" fillId="13" borderId="4" xfId="0" applyNumberFormat="1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4" fontId="6" fillId="4" borderId="4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165" fontId="11" fillId="8" borderId="4" xfId="0" applyNumberFormat="1" applyFont="1" applyFill="1" applyBorder="1" applyAlignment="1">
      <alignment horizontal="center" vertical="center"/>
    </xf>
    <xf numFmtId="165" fontId="11" fillId="12" borderId="4" xfId="0" applyNumberFormat="1" applyFont="1" applyFill="1" applyBorder="1" applyAlignment="1">
      <alignment horizontal="center" vertical="center"/>
    </xf>
    <xf numFmtId="10" fontId="11" fillId="12" borderId="4" xfId="0" applyNumberFormat="1" applyFont="1" applyFill="1" applyBorder="1" applyAlignment="1">
      <alignment horizontal="center" vertical="center"/>
    </xf>
    <xf numFmtId="10" fontId="11" fillId="8" borderId="4" xfId="0" applyNumberFormat="1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vertical="center"/>
    </xf>
    <xf numFmtId="164" fontId="14" fillId="13" borderId="3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164" fontId="6" fillId="8" borderId="0" xfId="0" applyNumberFormat="1" applyFont="1" applyFill="1" applyAlignment="1">
      <alignment horizontal="center" vertical="center"/>
    </xf>
    <xf numFmtId="165" fontId="11" fillId="8" borderId="0" xfId="0" applyNumberFormat="1" applyFont="1" applyFill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164" fontId="11" fillId="8" borderId="10" xfId="0" applyNumberFormat="1" applyFont="1" applyFill="1" applyBorder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164" fontId="6" fillId="9" borderId="0" xfId="0" applyNumberFormat="1" applyFont="1" applyFill="1" applyAlignment="1">
      <alignment horizontal="center" vertical="center"/>
    </xf>
    <xf numFmtId="165" fontId="6" fillId="9" borderId="0" xfId="0" applyNumberFormat="1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164" fontId="16" fillId="9" borderId="0" xfId="0" applyNumberFormat="1" applyFont="1" applyFill="1" applyAlignment="1">
      <alignment horizontal="center" vertical="center"/>
    </xf>
    <xf numFmtId="164" fontId="7" fillId="9" borderId="0" xfId="0" applyNumberFormat="1" applyFont="1" applyFill="1" applyAlignment="1">
      <alignment horizontal="center" vertical="center"/>
    </xf>
    <xf numFmtId="165" fontId="7" fillId="9" borderId="0" xfId="0" applyNumberFormat="1" applyFont="1" applyFill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0" fillId="3" borderId="2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/>
    </xf>
    <xf numFmtId="164" fontId="12" fillId="8" borderId="2" xfId="0" applyNumberFormat="1" applyFont="1" applyFill="1" applyBorder="1" applyAlignment="1">
      <alignment horizontal="center" vertical="center"/>
    </xf>
    <xf numFmtId="164" fontId="21" fillId="8" borderId="2" xfId="0" applyNumberFormat="1" applyFont="1" applyFill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/>
    </xf>
    <xf numFmtId="0" fontId="21" fillId="16" borderId="2" xfId="0" applyFont="1" applyFill="1" applyBorder="1" applyAlignment="1">
      <alignment horizontal="center" vertical="center"/>
    </xf>
    <xf numFmtId="1" fontId="12" fillId="16" borderId="2" xfId="0" applyNumberFormat="1" applyFont="1" applyFill="1" applyBorder="1" applyAlignment="1">
      <alignment horizontal="center" vertical="center"/>
    </xf>
    <xf numFmtId="1" fontId="21" fillId="16" borderId="2" xfId="0" applyNumberFormat="1" applyFont="1" applyFill="1" applyBorder="1" applyAlignment="1">
      <alignment horizontal="center" vertical="center"/>
    </xf>
    <xf numFmtId="0" fontId="22" fillId="16" borderId="2" xfId="0" applyFont="1" applyFill="1" applyBorder="1" applyAlignment="1">
      <alignment horizontal="center" vertical="center"/>
    </xf>
    <xf numFmtId="165" fontId="12" fillId="16" borderId="2" xfId="0" applyNumberFormat="1" applyFont="1" applyFill="1" applyBorder="1" applyAlignment="1">
      <alignment horizontal="center" vertical="center"/>
    </xf>
    <xf numFmtId="165" fontId="21" fillId="16" borderId="2" xfId="0" applyNumberFormat="1" applyFont="1" applyFill="1" applyBorder="1" applyAlignment="1">
      <alignment horizontal="center" vertical="center"/>
    </xf>
    <xf numFmtId="0" fontId="23" fillId="17" borderId="2" xfId="0" applyFont="1" applyFill="1" applyBorder="1" applyAlignment="1">
      <alignment horizontal="center" vertical="center"/>
    </xf>
    <xf numFmtId="0" fontId="24" fillId="8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25" fillId="8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25" fillId="16" borderId="2" xfId="0" applyFont="1" applyFill="1" applyBorder="1" applyAlignment="1">
      <alignment horizontal="center" vertical="center"/>
    </xf>
    <xf numFmtId="0" fontId="28" fillId="10" borderId="3" xfId="0" applyFont="1" applyFill="1" applyBorder="1" applyAlignment="1">
      <alignment horizontal="center" vertical="center" wrapText="1"/>
    </xf>
    <xf numFmtId="0" fontId="29" fillId="8" borderId="11" xfId="0" applyFont="1" applyFill="1" applyBorder="1" applyAlignment="1">
      <alignment horizontal="center" vertical="center"/>
    </xf>
    <xf numFmtId="164" fontId="16" fillId="8" borderId="11" xfId="0" applyNumberFormat="1" applyFont="1" applyFill="1" applyBorder="1" applyAlignment="1">
      <alignment horizontal="center" vertical="center"/>
    </xf>
    <xf numFmtId="0" fontId="30" fillId="8" borderId="11" xfId="0" applyFont="1" applyFill="1" applyBorder="1" applyAlignment="1">
      <alignment horizontal="center" vertical="center"/>
    </xf>
    <xf numFmtId="0" fontId="29" fillId="18" borderId="11" xfId="0" applyFont="1" applyFill="1" applyBorder="1" applyAlignment="1">
      <alignment horizontal="center" vertical="center"/>
    </xf>
    <xf numFmtId="0" fontId="16" fillId="18" borderId="11" xfId="0" applyFont="1" applyFill="1" applyBorder="1" applyAlignment="1">
      <alignment horizontal="center" vertical="center"/>
    </xf>
    <xf numFmtId="165" fontId="16" fillId="18" borderId="11" xfId="0" applyNumberFormat="1" applyFont="1" applyFill="1" applyBorder="1" applyAlignment="1">
      <alignment horizontal="center" vertical="center"/>
    </xf>
    <xf numFmtId="0" fontId="30" fillId="18" borderId="11" xfId="0" applyFont="1" applyFill="1" applyBorder="1" applyAlignment="1">
      <alignment horizontal="center" vertical="center"/>
    </xf>
    <xf numFmtId="0" fontId="16" fillId="8" borderId="11" xfId="0" applyFont="1" applyFill="1" applyBorder="1" applyAlignment="1">
      <alignment horizontal="center" vertical="center"/>
    </xf>
    <xf numFmtId="165" fontId="16" fillId="8" borderId="11" xfId="0" applyNumberFormat="1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/>
    </xf>
    <xf numFmtId="165" fontId="16" fillId="8" borderId="12" xfId="0" applyNumberFormat="1" applyFont="1" applyFill="1" applyBorder="1" applyAlignment="1">
      <alignment horizontal="center" vertical="center"/>
    </xf>
    <xf numFmtId="0" fontId="31" fillId="7" borderId="13" xfId="0" applyFont="1" applyFill="1" applyBorder="1" applyAlignment="1">
      <alignment horizontal="center" vertical="center"/>
    </xf>
    <xf numFmtId="0" fontId="32" fillId="7" borderId="13" xfId="0" applyFont="1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33" fillId="7" borderId="13" xfId="0" applyFont="1" applyFill="1" applyBorder="1" applyAlignment="1">
      <alignment horizontal="center" vertical="center"/>
    </xf>
    <xf numFmtId="164" fontId="34" fillId="7" borderId="13" xfId="0" applyNumberFormat="1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166" fontId="0" fillId="8" borderId="2" xfId="0" applyNumberFormat="1" applyFill="1" applyBorder="1" applyAlignment="1">
      <alignment horizontal="center" vertical="center"/>
    </xf>
    <xf numFmtId="0" fontId="35" fillId="8" borderId="2" xfId="0" applyFont="1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166" fontId="0" fillId="16" borderId="2" xfId="0" applyNumberFormat="1" applyFill="1" applyBorder="1" applyAlignment="1">
      <alignment horizontal="center" vertical="center"/>
    </xf>
    <xf numFmtId="0" fontId="35" fillId="16" borderId="2" xfId="0" applyFont="1" applyFill="1" applyBorder="1" applyAlignment="1">
      <alignment horizontal="center" vertical="center"/>
    </xf>
    <xf numFmtId="0" fontId="36" fillId="19" borderId="2" xfId="0" applyFont="1" applyFill="1" applyBorder="1" applyAlignment="1">
      <alignment horizontal="center" vertical="center"/>
    </xf>
    <xf numFmtId="0" fontId="25" fillId="19" borderId="2" xfId="0" applyFont="1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2" fillId="6" borderId="13" xfId="0" applyFont="1" applyFill="1" applyBorder="1" applyAlignment="1">
      <alignment horizontal="center" vertical="center"/>
    </xf>
    <xf numFmtId="0" fontId="33" fillId="20" borderId="13" xfId="0" applyFont="1" applyFill="1" applyBorder="1" applyAlignment="1">
      <alignment horizontal="center" vertical="center"/>
    </xf>
    <xf numFmtId="166" fontId="12" fillId="8" borderId="2" xfId="0" applyNumberFormat="1" applyFont="1" applyFill="1" applyBorder="1" applyAlignment="1">
      <alignment horizontal="center" vertical="center"/>
    </xf>
    <xf numFmtId="166" fontId="12" fillId="16" borderId="2" xfId="0" applyNumberFormat="1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 wrapText="1"/>
    </xf>
    <xf numFmtId="0" fontId="20" fillId="3" borderId="15" xfId="0" applyFont="1" applyFill="1" applyBorder="1" applyAlignment="1">
      <alignment horizontal="center" vertical="center" wrapText="1"/>
    </xf>
    <xf numFmtId="0" fontId="20" fillId="3" borderId="16" xfId="0" applyFont="1" applyFill="1" applyBorder="1" applyAlignment="1">
      <alignment horizontal="center" vertical="center" wrapText="1"/>
    </xf>
    <xf numFmtId="0" fontId="12" fillId="16" borderId="17" xfId="0" applyFont="1" applyFill="1" applyBorder="1" applyAlignment="1">
      <alignment horizontal="center" vertical="center"/>
    </xf>
    <xf numFmtId="0" fontId="35" fillId="16" borderId="18" xfId="0" applyFont="1" applyFill="1" applyBorder="1" applyAlignment="1">
      <alignment horizontal="center" vertical="center"/>
    </xf>
    <xf numFmtId="0" fontId="12" fillId="8" borderId="17" xfId="0" applyFont="1" applyFill="1" applyBorder="1" applyAlignment="1">
      <alignment horizontal="center" vertical="center"/>
    </xf>
    <xf numFmtId="0" fontId="35" fillId="8" borderId="18" xfId="0" applyFont="1" applyFill="1" applyBorder="1" applyAlignment="1">
      <alignment horizontal="center" vertical="center"/>
    </xf>
    <xf numFmtId="0" fontId="12" fillId="8" borderId="19" xfId="0" applyFont="1" applyFill="1" applyBorder="1" applyAlignment="1">
      <alignment horizontal="center" vertical="center"/>
    </xf>
    <xf numFmtId="166" fontId="12" fillId="8" borderId="20" xfId="0" applyNumberFormat="1" applyFont="1" applyFill="1" applyBorder="1" applyAlignment="1">
      <alignment horizontal="center" vertical="center"/>
    </xf>
    <xf numFmtId="0" fontId="12" fillId="8" borderId="20" xfId="0" applyFont="1" applyFill="1" applyBorder="1" applyAlignment="1">
      <alignment horizontal="center" vertical="center"/>
    </xf>
    <xf numFmtId="0" fontId="35" fillId="8" borderId="21" xfId="0" applyFont="1" applyFill="1" applyBorder="1" applyAlignment="1">
      <alignment horizontal="center" vertical="center"/>
    </xf>
    <xf numFmtId="0" fontId="0" fillId="20" borderId="20" xfId="0" applyFill="1" applyBorder="1" applyAlignment="1">
      <alignment horizontal="center" vertical="center"/>
    </xf>
    <xf numFmtId="166" fontId="0" fillId="20" borderId="20" xfId="0" applyNumberFormat="1" applyFill="1" applyBorder="1" applyAlignment="1">
      <alignment horizontal="center" vertical="center"/>
    </xf>
    <xf numFmtId="166" fontId="0" fillId="8" borderId="20" xfId="0" applyNumberFormat="1" applyFill="1" applyBorder="1" applyAlignment="1">
      <alignment horizontal="center" vertical="center"/>
    </xf>
    <xf numFmtId="0" fontId="0" fillId="21" borderId="20" xfId="0" applyFill="1" applyBorder="1" applyAlignment="1">
      <alignment horizontal="center" vertical="center"/>
    </xf>
    <xf numFmtId="166" fontId="0" fillId="21" borderId="20" xfId="0" applyNumberFormat="1" applyFill="1" applyBorder="1" applyAlignment="1">
      <alignment horizontal="center" vertical="center"/>
    </xf>
    <xf numFmtId="0" fontId="35" fillId="8" borderId="20" xfId="0" applyFont="1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166" fontId="0" fillId="20" borderId="2" xfId="0" applyNumberForma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6" fontId="12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8" borderId="11" xfId="0" applyFont="1" applyFill="1" applyBorder="1" applyAlignment="1">
      <alignment horizontal="center" vertical="center"/>
    </xf>
    <xf numFmtId="0" fontId="38" fillId="18" borderId="11" xfId="0" applyFont="1" applyFill="1" applyBorder="1" applyAlignment="1">
      <alignment horizontal="center" vertical="center"/>
    </xf>
    <xf numFmtId="0" fontId="39" fillId="13" borderId="3" xfId="0" applyFont="1" applyFill="1" applyBorder="1" applyAlignment="1">
      <alignment horizontal="center" vertical="center"/>
    </xf>
    <xf numFmtId="165" fontId="39" fillId="13" borderId="3" xfId="0" applyNumberFormat="1" applyFont="1" applyFill="1" applyBorder="1" applyAlignment="1">
      <alignment horizontal="center" vertical="center"/>
    </xf>
    <xf numFmtId="164" fontId="16" fillId="18" borderId="11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164" fontId="6" fillId="9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7" fillId="6" borderId="5" xfId="0" applyFont="1" applyFill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9" fillId="15" borderId="0" xfId="0" applyFont="1" applyFill="1" applyAlignment="1">
      <alignment horizontal="center" vertical="center"/>
    </xf>
    <xf numFmtId="0" fontId="28" fillId="15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14" fontId="12" fillId="0" borderId="2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14" fontId="12" fillId="16" borderId="2" xfId="0" applyNumberFormat="1" applyFont="1" applyFill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EDF2FA"/>
      <rgbColor rgb="FF800000"/>
      <rgbColor rgb="FF548235"/>
      <rgbColor rgb="FF2C3E50"/>
      <rgbColor rgb="FF77933C"/>
      <rgbColor rgb="FF800080"/>
      <rgbColor rgb="FF44546A"/>
      <rgbColor rgb="FFBFBFBF"/>
      <rgbColor rgb="FF7F8C8D"/>
      <rgbColor rgb="FF95A5A6"/>
      <rgbColor rgb="FF993366"/>
      <rgbColor rgb="FFFFF2CC"/>
      <rgbColor rgb="FFD4EEF7"/>
      <rgbColor rgb="FF660066"/>
      <rgbColor rgb="FFB8860B"/>
      <rgbColor rgb="FF0066CC"/>
      <rgbColor rgb="FFD0D0D0"/>
      <rgbColor rgb="FF000080"/>
      <rgbColor rgb="FFFF00FF"/>
      <rgbColor rgb="FFF2F4F7"/>
      <rgbColor rgb="FFF7F9FC"/>
      <rgbColor rgb="FF800080"/>
      <rgbColor rgb="FF800000"/>
      <rgbColor rgb="FF008080"/>
      <rgbColor rgb="FF0000FF"/>
      <rgbColor rgb="FFF8F9FA"/>
      <rgbColor rgb="FFDAEEF3"/>
      <rgbColor rgb="FFE8EEF5"/>
      <rgbColor rgb="FFF2F2F2"/>
      <rgbColor rgb="FFB4C6E7"/>
      <rgbColor rgb="FFD5DDE5"/>
      <rgbColor rgb="FFBDC3C7"/>
      <rgbColor rgb="FFCCCCCC"/>
      <rgbColor rgb="FF3366FF"/>
      <rgbColor rgb="FFEBF0F5"/>
      <rgbColor rgb="FFD6E4F0"/>
      <rgbColor rgb="FFD4A017"/>
      <rgbColor rgb="FFF39C12"/>
      <rgbColor rgb="FFE74C3C"/>
      <rgbColor rgb="FF666666"/>
      <rgbColor rgb="FF999999"/>
      <rgbColor rgb="FF1F3864"/>
      <rgbColor rgb="FF2E86AB"/>
      <rgbColor rgb="FF1B2A4A"/>
      <rgbColor rgb="FF1A1A1A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6:M47" totalsRowShown="0">
  <autoFilter ref="A36:M47" xr:uid="{00000000-0009-0000-0100-000001000000}"/>
  <tableColumns count="13">
    <tableColumn id="1" xr3:uid="{00000000-0010-0000-0000-000001000000}" name="Name"/>
    <tableColumn id="2" xr3:uid="{00000000-0010-0000-0000-000002000000}" name="Date of Separation"/>
    <tableColumn id="3" xr3:uid="{00000000-0010-0000-0000-000003000000}" name="DOH"/>
    <tableColumn id="4" xr3:uid="{00000000-0010-0000-0000-000004000000}" name="Length of Service"/>
    <tableColumn id="5" xr3:uid="{00000000-0010-0000-0000-000005000000}" name="Eligible for Rehire"/>
    <tableColumn id="6" xr3:uid="{00000000-0010-0000-0000-000006000000}" name="Status"/>
    <tableColumn id="7" xr3:uid="{00000000-0010-0000-0000-000007000000}" name="Location"/>
    <tableColumn id="8" xr3:uid="{00000000-0010-0000-0000-000008000000}" name="Reason for Leaving"/>
    <tableColumn id="9" xr3:uid="{00000000-0010-0000-0000-000009000000}" name="Supervisor"/>
    <tableColumn id="10" xr3:uid="{00000000-0010-0000-0000-00000A000000}" name="Exit Interview Date"/>
    <tableColumn id="11" xr3:uid="{00000000-0010-0000-0000-00000B000000}" name="Job"/>
    <tableColumn id="12" xr3:uid="{00000000-0010-0000-0000-00000C000000}" name="Comments"/>
    <tableColumn id="13" xr3:uid="{00000000-0010-0000-0000-00000D000000}" name="Departm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N133"/>
  <sheetViews>
    <sheetView showGridLines="0" tabSelected="1" zoomScaleNormal="100" workbookViewId="0">
      <pane ySplit="6" topLeftCell="A72" activePane="bottomLeft" state="frozen"/>
      <selection pane="bottomLeft" activeCell="C5" sqref="C5"/>
    </sheetView>
  </sheetViews>
  <sheetFormatPr defaultColWidth="8.7109375" defaultRowHeight="12.75" x14ac:dyDescent="0.2"/>
  <cols>
    <col min="1" max="1" width="57.85546875" style="2" customWidth="1"/>
    <col min="2" max="2" width="11.85546875" style="2" customWidth="1"/>
    <col min="3" max="3" width="16.7109375" style="2" customWidth="1"/>
    <col min="4" max="4" width="18.28515625" style="2" customWidth="1"/>
    <col min="5" max="5" width="20" style="2" customWidth="1"/>
    <col min="6" max="6" width="35.28515625" style="2" customWidth="1"/>
    <col min="7" max="7" width="30" style="2" customWidth="1"/>
    <col min="8" max="8" width="29.7109375" style="2" customWidth="1"/>
    <col min="9" max="9" width="13.28515625" style="2" customWidth="1"/>
    <col min="10" max="10" width="6.85546875" style="2" customWidth="1"/>
    <col min="11" max="11" width="3" style="2" customWidth="1"/>
    <col min="12" max="12" width="12.140625" style="2" customWidth="1"/>
    <col min="13" max="14" width="2" style="2" customWidth="1"/>
    <col min="15" max="16384" width="8.7109375" style="2"/>
  </cols>
  <sheetData>
    <row r="1" spans="1:14" ht="6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</row>
    <row r="2" spans="1:14" ht="33.75" customHeight="1" x14ac:dyDescent="0.2">
      <c r="A2" s="154" t="s">
        <v>0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</row>
    <row r="3" spans="1:14" ht="27.75" customHeight="1" x14ac:dyDescent="0.2">
      <c r="A3" s="155" t="s">
        <v>1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</row>
    <row r="4" spans="1:14" ht="7.5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6"/>
      <c r="L4" s="6"/>
      <c r="M4" s="6"/>
      <c r="N4" s="6"/>
    </row>
    <row r="5" spans="1:14" ht="30" customHeight="1" x14ac:dyDescent="0.2">
      <c r="A5" s="7" t="s">
        <v>2</v>
      </c>
      <c r="B5" s="8" t="s">
        <v>3</v>
      </c>
      <c r="C5" s="9" t="s">
        <v>4</v>
      </c>
      <c r="D5" s="7"/>
      <c r="E5" s="10"/>
      <c r="F5" s="7" t="inlineStr">
        <is>
          <t xml:space="preserve">EVC FISCAL YEAR:</t>
        </is>
      </c>
      <c r="G5" s="8" t="s">
        <v>111</v>
      </c>
      <c r="H5" s="11" t="s">
        <v>7</v>
      </c>
      <c r="I5" s="5"/>
      <c r="J5" s="5"/>
      <c r="K5" s="12"/>
      <c r="L5" s="12"/>
      <c r="M5" s="12"/>
      <c r="N5" s="12"/>
    </row>
    <row r="6" spans="1:14" ht="6" customHeight="1" x14ac:dyDescent="0.2">
      <c r="A6" s="13"/>
      <c r="B6" s="13"/>
      <c r="C6" s="13"/>
      <c r="D6" s="13"/>
      <c r="E6" s="13"/>
      <c r="F6" s="13"/>
      <c r="G6" s="13"/>
      <c r="H6" s="13"/>
      <c r="I6" s="13"/>
      <c r="J6" s="13"/>
      <c r="K6" s="6"/>
      <c r="L6" s="6"/>
      <c r="M6" s="6"/>
      <c r="N6" s="6"/>
    </row>
    <row r="7" spans="1:14" ht="19.5" customHeight="1" x14ac:dyDescent="0.2">
      <c r="A7" s="156" t="s">
        <v>8</v>
      </c>
      <c r="B7" s="156"/>
      <c r="C7" s="156"/>
      <c r="D7" s="156" t="s">
        <v>9</v>
      </c>
      <c r="E7" s="156"/>
      <c r="F7" s="156"/>
      <c r="G7" s="156" t="s">
        <v>10</v>
      </c>
      <c r="H7" s="156"/>
      <c r="I7" s="156"/>
      <c r="J7" s="156" t="s">
        <v>11</v>
      </c>
      <c r="K7" s="156"/>
      <c r="L7" s="156"/>
      <c r="M7" s="6"/>
      <c r="N7" s="6"/>
    </row>
    <row r="8" spans="1:14" ht="36" customHeight="1" x14ac:dyDescent="0.2">
      <c r="A8" s="149">
        <f>VLOOKUP($B$5,Data!$A$2:$K$6,2,FALSE())</f>
        <v>366</v>
      </c>
      <c r="B8" s="149"/>
      <c r="C8" s="149"/>
      <c r="D8" s="150">
        <f>VLOOKUP($B$5,Data!$A$2:$K$6,3,FALSE())</f>
        <v>35</v>
      </c>
      <c r="E8" s="150"/>
      <c r="F8" s="150"/>
      <c r="G8" s="151">
        <f>VLOOKUP($B$5,Data!$A$2:$K$6,4,FALSE())</f>
        <v>9.5628415300546443E-2</v>
      </c>
      <c r="H8" s="151"/>
      <c r="I8" s="151"/>
      <c r="J8" s="151">
        <f>VLOOKUP($B$5,Data!$A$2:$K$6,9,FALSE())</f>
        <v>0.6</v>
      </c>
      <c r="K8" s="151"/>
      <c r="L8" s="151"/>
      <c r="M8" s="6"/>
      <c r="N8" s="6"/>
    </row>
    <row r="9" spans="1:14" ht="15.75" customHeight="1" x14ac:dyDescent="0.2">
      <c r="A9" s="152" t="s">
        <v>12</v>
      </c>
      <c r="B9" s="152"/>
      <c r="C9" s="152"/>
      <c r="D9" s="153" t="str">
        <f>VLOOKUP($B$5,Data!$A$2:$K$6,6,FALSE())&amp;" voluntary / "&amp;VLOOKUP($B$5,Data!$A$2:$K$6,7,FALSE())&amp;" involuntary"</f>
        <v>21 voluntary / 4 involuntary</v>
      </c>
      <c r="E9" s="153"/>
      <c r="F9" s="153"/>
      <c r="G9" s="153" t="str">
        <f>"Avg "&amp;TEXT(VLOOKUP($B$5,Data!$A$2:$K$6,5,FALSE()),"0.0")&amp;"/month"</f>
        <v>Avg 8.8/month</v>
      </c>
      <c r="H9" s="153"/>
      <c r="I9" s="153"/>
      <c r="J9" s="153" t="str">
        <f>"Rehire eligible: "&amp;TEXT(VLOOKUP($B$5,Data!$A$2:$K$6,10,FALSE()),"0%")</f>
        <v>Rehire eligible: 43%</v>
      </c>
      <c r="K9" s="153"/>
      <c r="L9" s="153"/>
      <c r="M9" s="6"/>
      <c r="N9" s="6"/>
    </row>
    <row r="10" spans="1:14" ht="7.5" customHeight="1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6"/>
      <c r="L10" s="6"/>
      <c r="M10" s="6"/>
      <c r="N10" s="6"/>
    </row>
    <row r="11" spans="1:14" ht="27.75" customHeight="1" x14ac:dyDescent="0.2">
      <c r="A11" s="146" t="s">
        <v>13</v>
      </c>
      <c r="B11" s="146"/>
      <c r="C11" s="146"/>
      <c r="D11" s="146"/>
      <c r="E11" s="146"/>
      <c r="F11" s="13"/>
      <c r="G11" s="146" t="s">
        <v>14</v>
      </c>
      <c r="H11" s="146"/>
      <c r="I11" s="146"/>
      <c r="J11" s="146"/>
      <c r="K11" s="6"/>
      <c r="L11" s="6"/>
      <c r="M11" s="6"/>
      <c r="N11" s="6"/>
    </row>
    <row r="12" spans="1:14" ht="24" customHeight="1" x14ac:dyDescent="0.2">
      <c r="A12" s="14" t="s">
        <v>15</v>
      </c>
      <c r="B12" s="14" t="s">
        <v>16</v>
      </c>
      <c r="C12" s="14" t="s">
        <v>17</v>
      </c>
      <c r="D12" s="14" t="s">
        <v>18</v>
      </c>
      <c r="E12" s="14" t="s">
        <v>19</v>
      </c>
      <c r="F12" s="13"/>
      <c r="G12" s="14" t="s">
        <v>20</v>
      </c>
      <c r="H12" s="14" t="s">
        <v>21</v>
      </c>
      <c r="I12" s="14" t="s">
        <v>22</v>
      </c>
      <c r="J12" s="14" t="s">
        <v>18</v>
      </c>
      <c r="K12" s="6"/>
      <c r="L12" s="6"/>
      <c r="M12" s="6"/>
      <c r="N12" s="6"/>
    </row>
    <row r="13" spans="1:14" ht="19.5" customHeight="1" x14ac:dyDescent="0.2">
      <c r="A13" s="15" t="s">
        <v>23</v>
      </c>
      <c r="B13" s="16">
        <f>INDEX(Data!$A$11:$M$15,MATCH($B$5,Data!$A$11:$A$15,0),2)</f>
        <v>8</v>
      </c>
      <c r="C13" s="17">
        <f>IF(VLOOKUP($B$5,Data!$A$2:$K$6,3,FALSE())=0,0,B13/VLOOKUP($B$5,Data!$A$2:$K$6,3,FALSE()))</f>
        <v>0.22857142857142856</v>
      </c>
      <c r="D13" s="17">
        <f>IF(VLOOKUP($B$5,Data!$A$2:$K$6,2,FALSE())=0,0,B13/VLOOKUP($B$5,Data!$A$2:$K$6,2,FALSE()))</f>
        <v>2.185792349726776E-2</v>
      </c>
      <c r="E13" s="16">
        <f>B13</f>
        <v>8</v>
      </c>
      <c r="F13" s="13"/>
      <c r="G13" s="18" t="s">
        <v>24</v>
      </c>
      <c r="H13" s="18"/>
      <c r="I13" s="18"/>
      <c r="J13" s="18"/>
      <c r="K13" s="6"/>
      <c r="L13" s="6"/>
      <c r="M13" s="6"/>
      <c r="N13" s="6"/>
    </row>
    <row r="14" spans="1:14" ht="19.5" customHeight="1" x14ac:dyDescent="0.2">
      <c r="A14" s="19" t="s">
        <v>25</v>
      </c>
      <c r="B14" s="20">
        <f>INDEX(Data!$A$11:$M$15,MATCH($B$5,Data!$A$11:$A$15,0),3)</f>
        <v>10</v>
      </c>
      <c r="C14" s="21">
        <f>IF(VLOOKUP($B$5,Data!$A$2:$K$6,3,FALSE())=0,0,B14/VLOOKUP($B$5,Data!$A$2:$K$6,3,FALSE()))</f>
        <v>0.2857142857142857</v>
      </c>
      <c r="D14" s="21">
        <f>IF(VLOOKUP($B$5,Data!$A$2:$K$6,2,FALSE())=0,0,B14/VLOOKUP($B$5,Data!$A$2:$K$6,2,FALSE()))</f>
        <v>2.7322404371584699E-2</v>
      </c>
      <c r="E14" s="20">
        <f t="shared" ref="E14:E24" si="0">E13+B14</f>
        <v>18</v>
      </c>
      <c r="F14" s="13"/>
      <c r="G14" s="16" t="s">
        <v>26</v>
      </c>
      <c r="H14" s="16">
        <f>INDEX(Data!$A$21:$F$21,1,MATCH($B$5,Data!$B$20:$F$20,0)+1)</f>
        <v>0</v>
      </c>
      <c r="I14" s="17">
        <f>IF(VLOOKUP($B$5,Data!$A$2:$K$6,3,FALSE())=0,0,H14/VLOOKUP($B$5,Data!$A$2:$K$6,3,FALSE()))</f>
        <v>0</v>
      </c>
      <c r="J14" s="17">
        <f>IF(VLOOKUP($B$5,Data!$A$2:$K$6,2,FALSE())=0,0,H14/VLOOKUP($B$5,Data!$A$2:$K$6,2,FALSE()))</f>
        <v>0</v>
      </c>
      <c r="K14" s="6"/>
      <c r="L14" s="6"/>
      <c r="M14" s="6"/>
      <c r="N14" s="6"/>
    </row>
    <row r="15" spans="1:14" ht="19.5" customHeight="1" x14ac:dyDescent="0.2">
      <c r="A15" s="15" t="s">
        <v>27</v>
      </c>
      <c r="B15" s="16">
        <f>INDEX(Data!$A$11:$M$15,MATCH($B$5,Data!$A$11:$A$15,0),4)</f>
        <v>10</v>
      </c>
      <c r="C15" s="17">
        <f>IF(VLOOKUP($B$5,Data!$A$2:$K$6,3,FALSE())=0,0,B15/VLOOKUP($B$5,Data!$A$2:$K$6,3,FALSE()))</f>
        <v>0.2857142857142857</v>
      </c>
      <c r="D15" s="17">
        <f>IF(VLOOKUP($B$5,Data!$A$2:$K$6,2,FALSE())=0,0,B15/VLOOKUP($B$5,Data!$A$2:$K$6,2,FALSE()))</f>
        <v>2.7322404371584699E-2</v>
      </c>
      <c r="E15" s="16">
        <f t="shared" si="0"/>
        <v>28</v>
      </c>
      <c r="F15" s="13"/>
      <c r="G15" s="20" t="s">
        <v>28</v>
      </c>
      <c r="H15" s="20">
        <f>INDEX(Data!$A$22:$F$22,1,MATCH($B$5,Data!$B$20:$F$20,0)+1)</f>
        <v>0</v>
      </c>
      <c r="I15" s="21">
        <f>IF(VLOOKUP($B$5,Data!$A$2:$K$6,3,FALSE())=0,0,H15/VLOOKUP($B$5,Data!$A$2:$K$6,3,FALSE()))</f>
        <v>0</v>
      </c>
      <c r="J15" s="21">
        <f>IF(VLOOKUP($B$5,Data!$A$2:$K$6,2,FALSE())=0,0,H15/VLOOKUP($B$5,Data!$A$2:$K$6,2,FALSE()))</f>
        <v>0</v>
      </c>
      <c r="K15" s="6"/>
      <c r="L15" s="6"/>
      <c r="M15" s="6"/>
      <c r="N15" s="6"/>
    </row>
    <row r="16" spans="1:14" ht="19.5" customHeight="1" x14ac:dyDescent="0.2">
      <c r="A16" s="19" t="s">
        <v>29</v>
      </c>
      <c r="B16" s="20">
        <f>INDEX(Data!$A$11:$M$15,MATCH($B$5,Data!$A$11:$A$15,0),5)</f>
        <v>7</v>
      </c>
      <c r="C16" s="21">
        <f>IF(VLOOKUP($B$5,Data!$A$2:$K$6,3,FALSE())=0,0,B16/VLOOKUP($B$5,Data!$A$2:$K$6,3,FALSE()))</f>
        <v>0.2</v>
      </c>
      <c r="D16" s="21">
        <f>IF(VLOOKUP($B$5,Data!$A$2:$K$6,2,FALSE())=0,0,B16/VLOOKUP($B$5,Data!$A$2:$K$6,2,FALSE()))</f>
        <v>1.912568306010929E-2</v>
      </c>
      <c r="E16" s="20">
        <f t="shared" si="0"/>
        <v>35</v>
      </c>
      <c r="F16" s="13"/>
      <c r="G16" s="16" t="s">
        <v>30</v>
      </c>
      <c r="H16" s="16">
        <f>INDEX(Data!$A$23:$F$23,1,MATCH($B$5,Data!$B$20:$F$20,0)+1)</f>
        <v>0</v>
      </c>
      <c r="I16" s="17">
        <f>IF(VLOOKUP($B$5,Data!$A$2:$K$6,3,FALSE())=0,0,H16/VLOOKUP($B$5,Data!$A$2:$K$6,3,FALSE()))</f>
        <v>0</v>
      </c>
      <c r="J16" s="17">
        <f>IF(VLOOKUP($B$5,Data!$A$2:$K$6,2,FALSE())=0,0,H16/VLOOKUP($B$5,Data!$A$2:$K$6,2,FALSE()))</f>
        <v>0</v>
      </c>
      <c r="K16" s="6"/>
      <c r="L16" s="6"/>
      <c r="M16" s="6"/>
      <c r="N16" s="6"/>
    </row>
    <row r="17" spans="1:14" ht="19.5" customHeight="1" x14ac:dyDescent="0.2">
      <c r="A17" s="15" t="s">
        <v>31</v>
      </c>
      <c r="B17" s="16">
        <f>INDEX(Data!$A$11:$M$15,MATCH($B$5,Data!$A$11:$A$15,0),6)</f>
        <v>0</v>
      </c>
      <c r="C17" s="17">
        <f>IF(VLOOKUP($B$5,Data!$A$2:$K$6,3,FALSE())=0,0,B17/VLOOKUP($B$5,Data!$A$2:$K$6,3,FALSE()))</f>
        <v>0</v>
      </c>
      <c r="D17" s="17">
        <f>IF(VLOOKUP($B$5,Data!$A$2:$K$6,2,FALSE())=0,0,B17/VLOOKUP($B$5,Data!$A$2:$K$6,2,FALSE()))</f>
        <v>0</v>
      </c>
      <c r="E17" s="16">
        <f t="shared" si="0"/>
        <v>35</v>
      </c>
      <c r="F17" s="13"/>
      <c r="G17" s="20" t="s">
        <v>32</v>
      </c>
      <c r="H17" s="20">
        <f>INDEX(Data!$A$24:$F$24,1,MATCH($B$5,Data!$B$20:$F$20,0)+1)</f>
        <v>0</v>
      </c>
      <c r="I17" s="21">
        <f>IF(VLOOKUP($B$5,Data!$A$2:$K$6,3,FALSE())=0,0,H17/VLOOKUP($B$5,Data!$A$2:$K$6,3,FALSE()))</f>
        <v>0</v>
      </c>
      <c r="J17" s="21">
        <f>IF(VLOOKUP($B$5,Data!$A$2:$K$6,2,FALSE())=0,0,H17/VLOOKUP($B$5,Data!$A$2:$K$6,2,FALSE()))</f>
        <v>0</v>
      </c>
      <c r="K17" s="6"/>
      <c r="L17" s="6"/>
      <c r="M17" s="6"/>
      <c r="N17" s="6"/>
    </row>
    <row r="18" spans="1:14" ht="19.5" customHeight="1" x14ac:dyDescent="0.2">
      <c r="A18" s="19" t="s">
        <v>33</v>
      </c>
      <c r="B18" s="20">
        <f>INDEX(Data!$A$11:$M$15,MATCH($B$5,Data!$A$11:$A$15,0),7)</f>
        <v>0</v>
      </c>
      <c r="C18" s="21">
        <f>IF(VLOOKUP($B$5,Data!$A$2:$K$6,3,FALSE())=0,0,B18/VLOOKUP($B$5,Data!$A$2:$K$6,3,FALSE()))</f>
        <v>0</v>
      </c>
      <c r="D18" s="21">
        <f>IF(VLOOKUP($B$5,Data!$A$2:$K$6,2,FALSE())=0,0,B18/VLOOKUP($B$5,Data!$A$2:$K$6,2,FALSE()))</f>
        <v>0</v>
      </c>
      <c r="E18" s="20">
        <f t="shared" si="0"/>
        <v>35</v>
      </c>
      <c r="F18" s="13"/>
      <c r="G18" s="16" t="s">
        <v>34</v>
      </c>
      <c r="H18" s="16">
        <f>INDEX(Data!$A$25:$F$25,1,MATCH($B$5,Data!$B$20:$F$20,0)+1)</f>
        <v>0</v>
      </c>
      <c r="I18" s="17">
        <f>IF(VLOOKUP($B$5,Data!$A$2:$K$6,3,FALSE())=0,0,H18/VLOOKUP($B$5,Data!$A$2:$K$6,3,FALSE()))</f>
        <v>0</v>
      </c>
      <c r="J18" s="17">
        <f>IF(VLOOKUP($B$5,Data!$A$2:$K$6,2,FALSE())=0,0,H18/VLOOKUP($B$5,Data!$A$2:$K$6,2,FALSE()))</f>
        <v>0</v>
      </c>
      <c r="K18" s="6"/>
      <c r="L18" s="6"/>
      <c r="M18" s="6"/>
      <c r="N18" s="6"/>
    </row>
    <row r="19" spans="1:14" ht="19.5" customHeight="1" x14ac:dyDescent="0.2">
      <c r="A19" s="15" t="s">
        <v>35</v>
      </c>
      <c r="B19" s="16">
        <f>INDEX(Data!$A$11:$M$15,MATCH($B$5,Data!$A$11:$A$15,0),8)</f>
        <v>0</v>
      </c>
      <c r="C19" s="17">
        <f>IF(VLOOKUP($B$5,Data!$A$2:$K$6,3,FALSE())=0,0,B19/VLOOKUP($B$5,Data!$A$2:$K$6,3,FALSE()))</f>
        <v>0</v>
      </c>
      <c r="D19" s="17">
        <f>IF(VLOOKUP($B$5,Data!$A$2:$K$6,2,FALSE())=0,0,B19/VLOOKUP($B$5,Data!$A$2:$K$6,2,FALSE()))</f>
        <v>0</v>
      </c>
      <c r="E19" s="16">
        <f t="shared" si="0"/>
        <v>35</v>
      </c>
      <c r="F19" s="13"/>
      <c r="G19" s="20" t="s">
        <v>36</v>
      </c>
      <c r="H19" s="20">
        <f>INDEX(Data!$A$26:$F$26,1,MATCH($B$5,Data!$B$20:$F$20,0)+1)</f>
        <v>0</v>
      </c>
      <c r="I19" s="21">
        <f>IF(VLOOKUP($B$5,Data!$A$2:$K$6,3,FALSE())=0,0,H19/VLOOKUP($B$5,Data!$A$2:$K$6,3,FALSE()))</f>
        <v>0</v>
      </c>
      <c r="J19" s="21">
        <f>IF(VLOOKUP($B$5,Data!$A$2:$K$6,2,FALSE())=0,0,H19/VLOOKUP($B$5,Data!$A$2:$K$6,2,FALSE()))</f>
        <v>0</v>
      </c>
      <c r="K19" s="6"/>
      <c r="L19" s="6"/>
      <c r="M19" s="6"/>
      <c r="N19" s="6"/>
    </row>
    <row r="20" spans="1:14" ht="19.5" customHeight="1" x14ac:dyDescent="0.2">
      <c r="A20" s="19" t="s">
        <v>37</v>
      </c>
      <c r="B20" s="20">
        <f>INDEX(Data!$A$11:$M$15,MATCH($B$5,Data!$A$11:$A$15,0),9)</f>
        <v>0</v>
      </c>
      <c r="C20" s="21">
        <f>IF(VLOOKUP($B$5,Data!$A$2:$K$6,3,FALSE())=0,0,B20/VLOOKUP($B$5,Data!$A$2:$K$6,3,FALSE()))</f>
        <v>0</v>
      </c>
      <c r="D20" s="21">
        <f>IF(VLOOKUP($B$5,Data!$A$2:$K$6,2,FALSE())=0,0,B20/VLOOKUP($B$5,Data!$A$2:$K$6,2,FALSE()))</f>
        <v>0</v>
      </c>
      <c r="E20" s="20">
        <f t="shared" si="0"/>
        <v>35</v>
      </c>
      <c r="F20" s="13"/>
      <c r="G20" s="16" t="s">
        <v>38</v>
      </c>
      <c r="H20" s="16">
        <f>INDEX(Data!$A$27:$F$27,1,MATCH($B$5,Data!$B$20:$F$20,0)+1)</f>
        <v>0</v>
      </c>
      <c r="I20" s="17">
        <f>IF(VLOOKUP($B$5,Data!$A$2:$K$6,3,FALSE())=0,0,H20/VLOOKUP($B$5,Data!$A$2:$K$6,3,FALSE()))</f>
        <v>0</v>
      </c>
      <c r="J20" s="17">
        <f>IF(VLOOKUP($B$5,Data!$A$2:$K$6,2,FALSE())=0,0,H20/VLOOKUP($B$5,Data!$A$2:$K$6,2,FALSE()))</f>
        <v>0</v>
      </c>
      <c r="K20" s="6"/>
      <c r="L20" s="6"/>
      <c r="M20" s="6"/>
      <c r="N20" s="6"/>
    </row>
    <row r="21" spans="1:14" ht="19.5" customHeight="1" x14ac:dyDescent="0.2">
      <c r="A21" s="15" t="s">
        <v>39</v>
      </c>
      <c r="B21" s="16">
        <f>INDEX(Data!$A$11:$M$15,MATCH($B$5,Data!$A$11:$A$15,0),10)</f>
        <v>0</v>
      </c>
      <c r="C21" s="17">
        <f>IF(VLOOKUP($B$5,Data!$A$2:$K$6,3,FALSE())=0,0,B21/VLOOKUP($B$5,Data!$A$2:$K$6,3,FALSE()))</f>
        <v>0</v>
      </c>
      <c r="D21" s="17">
        <f>IF(VLOOKUP($B$5,Data!$A$2:$K$6,2,FALSE())=0,0,B21/VLOOKUP($B$5,Data!$A$2:$K$6,2,FALSE()))</f>
        <v>0</v>
      </c>
      <c r="E21" s="16">
        <f t="shared" si="0"/>
        <v>35</v>
      </c>
      <c r="F21" s="13"/>
      <c r="G21" s="20" t="s">
        <v>40</v>
      </c>
      <c r="H21" s="20">
        <f>INDEX(Data!$A$28:$F$28,1,MATCH($B$5,Data!$B$20:$F$20,0)+1)</f>
        <v>0</v>
      </c>
      <c r="I21" s="21">
        <f>IF(VLOOKUP($B$5,Data!$A$2:$K$6,3,FALSE())=0,0,H21/VLOOKUP($B$5,Data!$A$2:$K$6,3,FALSE()))</f>
        <v>0</v>
      </c>
      <c r="J21" s="21">
        <f>IF(VLOOKUP($B$5,Data!$A$2:$K$6,2,FALSE())=0,0,H21/VLOOKUP($B$5,Data!$A$2:$K$6,2,FALSE()))</f>
        <v>0</v>
      </c>
      <c r="K21" s="6"/>
      <c r="L21" s="6"/>
      <c r="M21" s="6"/>
      <c r="N21" s="6"/>
    </row>
    <row r="22" spans="1:14" ht="19.5" customHeight="1" x14ac:dyDescent="0.2">
      <c r="A22" s="19" t="s">
        <v>41</v>
      </c>
      <c r="B22" s="20">
        <f>INDEX(Data!$A$11:$M$15,MATCH($B$5,Data!$A$11:$A$15,0),11)</f>
        <v>0</v>
      </c>
      <c r="C22" s="21">
        <f>IF(VLOOKUP($B$5,Data!$A$2:$K$6,3,FALSE())=0,0,B22/VLOOKUP($B$5,Data!$A$2:$K$6,3,FALSE()))</f>
        <v>0</v>
      </c>
      <c r="D22" s="21">
        <f>IF(VLOOKUP($B$5,Data!$A$2:$K$6,2,FALSE())=0,0,B22/VLOOKUP($B$5,Data!$A$2:$K$6,2,FALSE()))</f>
        <v>0</v>
      </c>
      <c r="E22" s="20">
        <f t="shared" si="0"/>
        <v>35</v>
      </c>
      <c r="F22" s="13"/>
      <c r="G22" s="16" t="s">
        <v>42</v>
      </c>
      <c r="H22" s="16">
        <f>INDEX(Data!$A$29:$F$29,1,MATCH($B$5,Data!$B$20:$F$20,0)+1)</f>
        <v>1</v>
      </c>
      <c r="I22" s="17">
        <f>IF(VLOOKUP($B$5,Data!$A$2:$K$6,3,FALSE())=0,0,H22/VLOOKUP($B$5,Data!$A$2:$K$6,3,FALSE()))</f>
        <v>2.8571428571428571E-2</v>
      </c>
      <c r="J22" s="17">
        <f>IF(VLOOKUP($B$5,Data!$A$2:$K$6,2,FALSE())=0,0,H22/VLOOKUP($B$5,Data!$A$2:$K$6,2,FALSE()))</f>
        <v>2.7322404371584699E-3</v>
      </c>
      <c r="K22" s="6"/>
      <c r="L22" s="6"/>
      <c r="M22" s="6"/>
      <c r="N22" s="6"/>
    </row>
    <row r="23" spans="1:14" ht="19.5" customHeight="1" x14ac:dyDescent="0.2">
      <c r="A23" s="15" t="s">
        <v>43</v>
      </c>
      <c r="B23" s="16">
        <f>INDEX(Data!$A$11:$M$15,MATCH($B$5,Data!$A$11:$A$15,0),12)</f>
        <v>0</v>
      </c>
      <c r="C23" s="17">
        <f>IF(VLOOKUP($B$5,Data!$A$2:$K$6,3,FALSE())=0,0,B23/VLOOKUP($B$5,Data!$A$2:$K$6,3,FALSE()))</f>
        <v>0</v>
      </c>
      <c r="D23" s="17">
        <f>IF(VLOOKUP($B$5,Data!$A$2:$K$6,2,FALSE())=0,0,B23/VLOOKUP($B$5,Data!$A$2:$K$6,2,FALSE()))</f>
        <v>0</v>
      </c>
      <c r="E23" s="16">
        <f t="shared" si="0"/>
        <v>35</v>
      </c>
      <c r="F23" s="13"/>
      <c r="G23" s="20" t="s">
        <v>44</v>
      </c>
      <c r="H23" s="20">
        <f>INDEX(Data!$A$30:$F$30,1,MATCH($B$5,Data!$B$20:$F$20,0)+1)</f>
        <v>0</v>
      </c>
      <c r="I23" s="21">
        <f>IF(VLOOKUP($B$5,Data!$A$2:$K$6,3,FALSE())=0,0,H23/VLOOKUP($B$5,Data!$A$2:$K$6,3,FALSE()))</f>
        <v>0</v>
      </c>
      <c r="J23" s="21">
        <f>IF(VLOOKUP($B$5,Data!$A$2:$K$6,2,FALSE())=0,0,H23/VLOOKUP($B$5,Data!$A$2:$K$6,2,FALSE()))</f>
        <v>0</v>
      </c>
      <c r="K23" s="6"/>
      <c r="L23" s="6"/>
      <c r="M23" s="6"/>
      <c r="N23" s="6"/>
    </row>
    <row r="24" spans="1:14" ht="19.5" customHeight="1" x14ac:dyDescent="0.2">
      <c r="A24" s="19" t="s">
        <v>45</v>
      </c>
      <c r="B24" s="20">
        <f>INDEX(Data!$A$11:$M$15,MATCH($B$5,Data!$A$11:$A$15,0),13)</f>
        <v>0</v>
      </c>
      <c r="C24" s="21">
        <f>IF(VLOOKUP($B$5,Data!$A$2:$K$6,3,FALSE())=0,0,B24/VLOOKUP($B$5,Data!$A$2:$K$6,3,FALSE()))</f>
        <v>0</v>
      </c>
      <c r="D24" s="21">
        <f>IF(VLOOKUP($B$5,Data!$A$2:$K$6,2,FALSE())=0,0,B24/VLOOKUP($B$5,Data!$A$2:$K$6,2,FALSE()))</f>
        <v>0</v>
      </c>
      <c r="E24" s="20">
        <f t="shared" si="0"/>
        <v>35</v>
      </c>
      <c r="F24" s="13"/>
      <c r="G24" s="16" t="s">
        <v>46</v>
      </c>
      <c r="H24" s="16">
        <f>INDEX(Data!$A$31:$F$31,1,MATCH($B$5,Data!$B$20:$F$20,0)+1)</f>
        <v>0</v>
      </c>
      <c r="I24" s="17">
        <f>IF(VLOOKUP($B$5,Data!$A$2:$K$6,3,FALSE())=0,0,H24/VLOOKUP($B$5,Data!$A$2:$K$6,3,FALSE()))</f>
        <v>0</v>
      </c>
      <c r="J24" s="17">
        <f>IF(VLOOKUP($B$5,Data!$A$2:$K$6,2,FALSE())=0,0,H24/VLOOKUP($B$5,Data!$A$2:$K$6,2,FALSE()))</f>
        <v>0</v>
      </c>
      <c r="K24" s="6"/>
      <c r="L24" s="6"/>
      <c r="M24" s="6"/>
      <c r="N24" s="6"/>
    </row>
    <row r="25" spans="1:14" ht="19.5" customHeight="1" x14ac:dyDescent="0.2">
      <c r="A25" s="6"/>
      <c r="B25" s="6"/>
      <c r="C25" s="6"/>
      <c r="D25" s="6"/>
      <c r="E25" s="6"/>
      <c r="F25" s="13"/>
      <c r="G25" s="20" t="s">
        <v>47</v>
      </c>
      <c r="H25" s="20">
        <f>INDEX(Data!$A$32:$F$32,1,MATCH($B$5,Data!$B$20:$F$20,0)+1)</f>
        <v>0</v>
      </c>
      <c r="I25" s="21">
        <f>IF(VLOOKUP($B$5,Data!$A$2:$K$6,3,FALSE())=0,0,H25/VLOOKUP($B$5,Data!$A$2:$K$6,3,FALSE()))</f>
        <v>0</v>
      </c>
      <c r="J25" s="21">
        <f>IF(VLOOKUP($B$5,Data!$A$2:$K$6,2,FALSE())=0,0,H25/VLOOKUP($B$5,Data!$A$2:$K$6,2,FALSE()))</f>
        <v>0</v>
      </c>
      <c r="K25" s="6"/>
      <c r="L25" s="6"/>
      <c r="M25" s="6"/>
      <c r="N25" s="6"/>
    </row>
    <row r="26" spans="1:14" ht="27.75" customHeight="1" x14ac:dyDescent="0.2">
      <c r="A26" s="147" t="s">
        <v>48</v>
      </c>
      <c r="B26" s="147"/>
      <c r="C26" s="147"/>
      <c r="D26" s="147"/>
      <c r="E26" s="22"/>
      <c r="F26" s="13"/>
      <c r="G26" s="16" t="s">
        <v>49</v>
      </c>
      <c r="H26" s="16">
        <f>INDEX(Data!$A$33:$F$33,1,MATCH($B$5,Data!$B$20:$F$20,0)+1)</f>
        <v>0</v>
      </c>
      <c r="I26" s="17">
        <f>IF(VLOOKUP($B$5,Data!$A$2:$K$6,3,FALSE())=0,0,H26/VLOOKUP($B$5,Data!$A$2:$K$6,3,FALSE()))</f>
        <v>0</v>
      </c>
      <c r="J26" s="17">
        <f>IF(VLOOKUP($B$5,Data!$A$2:$K$6,2,FALSE())=0,0,H26/VLOOKUP($B$5,Data!$A$2:$K$6,2,FALSE()))</f>
        <v>0</v>
      </c>
      <c r="K26" s="6"/>
      <c r="L26" s="6"/>
      <c r="M26" s="6"/>
      <c r="N26" s="6"/>
    </row>
    <row r="27" spans="1:14" ht="24" customHeight="1" x14ac:dyDescent="0.2">
      <c r="A27" s="14" t="s">
        <v>50</v>
      </c>
      <c r="B27" s="14" t="s">
        <v>21</v>
      </c>
      <c r="C27" s="14" t="s">
        <v>22</v>
      </c>
      <c r="D27" s="23" t="s">
        <v>51</v>
      </c>
      <c r="E27" s="24"/>
      <c r="F27" s="13"/>
      <c r="G27" s="20" t="s">
        <v>52</v>
      </c>
      <c r="H27" s="20">
        <f>INDEX(Data!$A$34:$F$34,1,MATCH($B$5,Data!$B$20:$F$20,0)+1)</f>
        <v>0</v>
      </c>
      <c r="I27" s="21">
        <f>IF(VLOOKUP($B$5,Data!$A$2:$K$6,3,FALSE())=0,0,H27/VLOOKUP($B$5,Data!$A$2:$K$6,3,FALSE()))</f>
        <v>0</v>
      </c>
      <c r="J27" s="21">
        <f>IF(VLOOKUP($B$5,Data!$A$2:$K$6,2,FALSE())=0,0,H27/VLOOKUP($B$5,Data!$A$2:$K$6,2,FALSE()))</f>
        <v>0</v>
      </c>
      <c r="K27" s="6"/>
      <c r="L27" s="6"/>
      <c r="M27" s="6"/>
      <c r="N27" s="6"/>
    </row>
    <row r="28" spans="1:14" ht="19.5" customHeight="1" x14ac:dyDescent="0.2">
      <c r="A28" s="15" t="s">
        <v>53</v>
      </c>
      <c r="B28" s="16">
        <f>INDEX(Data!$A$56:$G$56,1,MATCH($B$5,Data!$C$55:$G$55,0)+2)</f>
        <v>15</v>
      </c>
      <c r="C28" s="17">
        <f>IF(VLOOKUP($B$5,Data!$A$2:$K$6,3,FALSE())=0,0,B28/VLOOKUP($B$5,Data!$A$2:$K$6,3,FALSE()))</f>
        <v>0.42857142857142855</v>
      </c>
      <c r="D28" s="25" t="s">
        <v>54</v>
      </c>
      <c r="E28" s="26"/>
      <c r="F28" s="13"/>
      <c r="G28" s="16" t="s">
        <v>55</v>
      </c>
      <c r="H28" s="16">
        <f>INDEX(Data!$A$35:$F$35,1,MATCH($B$5,Data!$B$20:$F$20,0)+1)</f>
        <v>0</v>
      </c>
      <c r="I28" s="17">
        <f>IF(VLOOKUP($B$5,Data!$A$2:$K$6,3,FALSE())=0,0,H28/VLOOKUP($B$5,Data!$A$2:$K$6,3,FALSE()))</f>
        <v>0</v>
      </c>
      <c r="J28" s="17">
        <f>IF(VLOOKUP($B$5,Data!$A$2:$K$6,2,FALSE())=0,0,H28/VLOOKUP($B$5,Data!$A$2:$K$6,2,FALSE()))</f>
        <v>0</v>
      </c>
      <c r="K28" s="6"/>
      <c r="L28" s="6"/>
      <c r="M28" s="6"/>
      <c r="N28" s="6"/>
    </row>
    <row r="29" spans="1:14" ht="19.5" customHeight="1" x14ac:dyDescent="0.2">
      <c r="A29" s="19" t="s">
        <v>56</v>
      </c>
      <c r="B29" s="20">
        <f>INDEX(Data!$A$57:$G$57,1,MATCH($B$5,Data!$C$55:$G$55,0)+2)</f>
        <v>3</v>
      </c>
      <c r="C29" s="21">
        <f>IF(VLOOKUP($B$5,Data!$A$2:$K$6,3,FALSE())=0,0,B29/VLOOKUP($B$5,Data!$A$2:$K$6,3,FALSE()))</f>
        <v>8.5714285714285715E-2</v>
      </c>
      <c r="D29" s="27" t="s">
        <v>54</v>
      </c>
      <c r="E29" s="26"/>
      <c r="F29" s="13"/>
      <c r="G29" s="20" t="s">
        <v>57</v>
      </c>
      <c r="H29" s="20">
        <f>INDEX(Data!$A$36:$F$36,1,MATCH($B$5,Data!$B$20:$F$20,0)+1)</f>
        <v>0</v>
      </c>
      <c r="I29" s="21">
        <f>IF(VLOOKUP($B$5,Data!$A$2:$K$6,3,FALSE())=0,0,H29/VLOOKUP($B$5,Data!$A$2:$K$6,3,FALSE()))</f>
        <v>0</v>
      </c>
      <c r="J29" s="21">
        <f>IF(VLOOKUP($B$5,Data!$A$2:$K$6,2,FALSE())=0,0,H29/VLOOKUP($B$5,Data!$A$2:$K$6,2,FALSE()))</f>
        <v>0</v>
      </c>
      <c r="K29" s="6"/>
      <c r="L29" s="6"/>
      <c r="M29" s="6"/>
      <c r="N29" s="6"/>
    </row>
    <row r="30" spans="1:14" ht="19.5" customHeight="1" x14ac:dyDescent="0.2">
      <c r="A30" s="15" t="s">
        <v>58</v>
      </c>
      <c r="B30" s="16">
        <f>INDEX(Data!$A$58:$G$58,1,MATCH($B$5,Data!$C$55:$G$55,0)+2)</f>
        <v>3</v>
      </c>
      <c r="C30" s="17">
        <f>IF(VLOOKUP($B$5,Data!$A$2:$K$6,3,FALSE())=0,0,B30/VLOOKUP($B$5,Data!$A$2:$K$6,3,FALSE()))</f>
        <v>8.5714285714285715E-2</v>
      </c>
      <c r="D30" s="28" t="s">
        <v>54</v>
      </c>
      <c r="E30" s="26"/>
      <c r="F30" s="13"/>
      <c r="G30" s="16" t="s">
        <v>59</v>
      </c>
      <c r="H30" s="16">
        <f>INDEX(Data!$A$37:$F$37,1,MATCH($B$5,Data!$B$20:$F$20,0)+1)</f>
        <v>0</v>
      </c>
      <c r="I30" s="17">
        <f>IF(VLOOKUP($B$5,Data!$A$2:$K$6,3,FALSE())=0,0,H30/VLOOKUP($B$5,Data!$A$2:$K$6,3,FALSE()))</f>
        <v>0</v>
      </c>
      <c r="J30" s="17">
        <f>IF(VLOOKUP($B$5,Data!$A$2:$K$6,2,FALSE())=0,0,H30/VLOOKUP($B$5,Data!$A$2:$K$6,2,FALSE()))</f>
        <v>0</v>
      </c>
      <c r="K30" s="6"/>
      <c r="L30" s="6"/>
      <c r="M30" s="6"/>
      <c r="N30" s="6"/>
    </row>
    <row r="31" spans="1:14" ht="19.5" customHeight="1" x14ac:dyDescent="0.2">
      <c r="A31" s="19" t="s">
        <v>60</v>
      </c>
      <c r="B31" s="20">
        <f>INDEX(Data!$A$59:$G$59,1,MATCH($B$5,Data!$C$55:$G$55,0)+2)</f>
        <v>0</v>
      </c>
      <c r="C31" s="21">
        <f>IF(VLOOKUP($B$5,Data!$A$2:$K$6,3,FALSE())=0,0,B31/VLOOKUP($B$5,Data!$A$2:$K$6,3,FALSE()))</f>
        <v>0</v>
      </c>
      <c r="D31" s="27" t="s">
        <v>54</v>
      </c>
      <c r="E31" s="26"/>
      <c r="F31" s="13"/>
      <c r="G31" s="20" t="s">
        <v>61</v>
      </c>
      <c r="H31" s="20">
        <f>INDEX(Data!$A$38:$F$38,1,MATCH($B$5,Data!$B$20:$F$20,0)+1)</f>
        <v>0</v>
      </c>
      <c r="I31" s="21">
        <f>IF(VLOOKUP($B$5,Data!$A$2:$K$6,3,FALSE())=0,0,H31/VLOOKUP($B$5,Data!$A$2:$K$6,3,FALSE()))</f>
        <v>0</v>
      </c>
      <c r="J31" s="21">
        <f>IF(VLOOKUP($B$5,Data!$A$2:$K$6,2,FALSE())=0,0,H31/VLOOKUP($B$5,Data!$A$2:$K$6,2,FALSE()))</f>
        <v>0</v>
      </c>
      <c r="K31" s="6"/>
      <c r="L31" s="6"/>
      <c r="M31" s="6"/>
      <c r="N31" s="6"/>
    </row>
    <row r="32" spans="1:14" ht="19.5" customHeight="1" x14ac:dyDescent="0.2">
      <c r="A32" s="15" t="s">
        <v>62</v>
      </c>
      <c r="B32" s="16">
        <f>INDEX(Data!$A$60:$G$60,1,MATCH($B$5,Data!$C$55:$G$55,0)+2)</f>
        <v>0</v>
      </c>
      <c r="C32" s="17">
        <f>IF(VLOOKUP($B$5,Data!$A$2:$K$6,3,FALSE())=0,0,B32/VLOOKUP($B$5,Data!$A$2:$K$6,3,FALSE()))</f>
        <v>0</v>
      </c>
      <c r="D32" s="28" t="s">
        <v>54</v>
      </c>
      <c r="E32" s="26"/>
      <c r="F32" s="13"/>
      <c r="G32" s="18" t="s">
        <v>63</v>
      </c>
      <c r="H32" s="18"/>
      <c r="I32" s="18"/>
      <c r="J32" s="18"/>
      <c r="K32" s="6"/>
      <c r="L32" s="6"/>
      <c r="M32" s="6"/>
      <c r="N32" s="6"/>
    </row>
    <row r="33" spans="1:14" ht="19.5" customHeight="1" x14ac:dyDescent="0.2">
      <c r="A33" s="19" t="s">
        <v>64</v>
      </c>
      <c r="B33" s="20">
        <f>INDEX(Data!$A$61:$G$61,1,MATCH($B$5,Data!$C$55:$G$55,0)+2)</f>
        <v>4</v>
      </c>
      <c r="C33" s="21">
        <f>IF(VLOOKUP($B$5,Data!$A$2:$K$6,3,FALSE())=0,0,B33/VLOOKUP($B$5,Data!$A$2:$K$6,3,FALSE()))</f>
        <v>0.11428571428571428</v>
      </c>
      <c r="D33" s="27" t="s">
        <v>65</v>
      </c>
      <c r="E33" s="26"/>
      <c r="F33" s="13"/>
      <c r="G33" s="16" t="s">
        <v>66</v>
      </c>
      <c r="H33" s="16">
        <f>INDEX(Data!$A$39:$F$39,1,MATCH($B$5,Data!$B$20:$F$20,0)+1)</f>
        <v>25</v>
      </c>
      <c r="I33" s="17">
        <f>IF(VLOOKUP($B$5,Data!$A$2:$K$6,3,FALSE())=0,0,H33/VLOOKUP($B$5,Data!$A$2:$K$6,3,FALSE()))</f>
        <v>0.7142857142857143</v>
      </c>
      <c r="J33" s="17">
        <f>IF(VLOOKUP($B$5,Data!$A$2:$K$6,2,FALSE())=0,0,H33/VLOOKUP($B$5,Data!$A$2:$K$6,2,FALSE()))</f>
        <v>6.8306010928961755E-2</v>
      </c>
      <c r="K33" s="6"/>
      <c r="L33" s="6"/>
      <c r="M33" s="6"/>
      <c r="N33" s="6"/>
    </row>
    <row r="34" spans="1:14" ht="19.5" customHeight="1" x14ac:dyDescent="0.2">
      <c r="A34" s="15" t="s">
        <v>67</v>
      </c>
      <c r="B34" s="16">
        <f>INDEX(Data!$A$62:$G$62,1,MATCH($B$5,Data!$C$55:$G$55,0)+2)</f>
        <v>0</v>
      </c>
      <c r="C34" s="17">
        <f>IF(VLOOKUP($B$5,Data!$A$2:$K$6,3,FALSE())=0,0,B34/VLOOKUP($B$5,Data!$A$2:$K$6,3,FALSE()))</f>
        <v>0</v>
      </c>
      <c r="D34" s="28" t="s">
        <v>65</v>
      </c>
      <c r="E34" s="26"/>
      <c r="F34" s="13"/>
      <c r="G34" s="20" t="s">
        <v>68</v>
      </c>
      <c r="H34" s="20">
        <f>INDEX(Data!$A$40:$F$40,1,MATCH($B$5,Data!$B$20:$F$20,0)+1)</f>
        <v>3</v>
      </c>
      <c r="I34" s="21">
        <f>IF(VLOOKUP($B$5,Data!$A$2:$K$6,3,FALSE())=0,0,H34/VLOOKUP($B$5,Data!$A$2:$K$6,3,FALSE()))</f>
        <v>8.5714285714285715E-2</v>
      </c>
      <c r="J34" s="21">
        <f>IF(VLOOKUP($B$5,Data!$A$2:$K$6,2,FALSE())=0,0,H34/VLOOKUP($B$5,Data!$A$2:$K$6,2,FALSE()))</f>
        <v>8.1967213114754103E-3</v>
      </c>
      <c r="K34" s="6"/>
      <c r="L34" s="6"/>
      <c r="M34" s="6"/>
      <c r="N34" s="6"/>
    </row>
    <row r="35" spans="1:14" ht="19.5" customHeight="1" x14ac:dyDescent="0.2">
      <c r="A35" s="19" t="s">
        <v>69</v>
      </c>
      <c r="B35" s="20">
        <f>INDEX(Data!$A$63:$G$63,1,MATCH($B$5,Data!$C$55:$G$55,0)+2)</f>
        <v>1</v>
      </c>
      <c r="C35" s="21">
        <f>IF(VLOOKUP($B$5,Data!$A$2:$K$6,3,FALSE())=0,0,B35/VLOOKUP($B$5,Data!$A$2:$K$6,3,FALSE()))</f>
        <v>2.8571428571428571E-2</v>
      </c>
      <c r="D35" s="27" t="s">
        <v>70</v>
      </c>
      <c r="E35" s="26"/>
      <c r="F35" s="13"/>
      <c r="G35" s="16" t="s">
        <v>71</v>
      </c>
      <c r="H35" s="16">
        <f>INDEX(Data!$A$41:$F$41,1,MATCH($B$5,Data!$B$20:$F$20,0)+1)</f>
        <v>0</v>
      </c>
      <c r="I35" s="17">
        <f>IF(VLOOKUP($B$5,Data!$A$2:$K$6,3,FALSE())=0,0,H35/VLOOKUP($B$5,Data!$A$2:$K$6,3,FALSE()))</f>
        <v>0</v>
      </c>
      <c r="J35" s="17">
        <f>IF(VLOOKUP($B$5,Data!$A$2:$K$6,2,FALSE())=0,0,H35/VLOOKUP($B$5,Data!$A$2:$K$6,2,FALSE()))</f>
        <v>0</v>
      </c>
      <c r="K35" s="6"/>
      <c r="L35" s="6"/>
      <c r="M35" s="6"/>
      <c r="N35" s="6"/>
    </row>
    <row r="36" spans="1:14" ht="19.5" customHeight="1" x14ac:dyDescent="0.2">
      <c r="A36" s="15" t="s">
        <v>72</v>
      </c>
      <c r="B36" s="16">
        <f>INDEX(Data!$A$64:$G$64,1,MATCH($B$5,Data!$C$55:$G$55,0)+2)</f>
        <v>0</v>
      </c>
      <c r="C36" s="17">
        <f>IF(VLOOKUP($B$5,Data!$A$2:$K$6,3,FALSE())=0,0,B36/VLOOKUP($B$5,Data!$A$2:$K$6,3,FALSE()))</f>
        <v>0</v>
      </c>
      <c r="D36" s="28" t="s">
        <v>70</v>
      </c>
      <c r="E36" s="26"/>
      <c r="F36" s="13"/>
      <c r="G36" s="18" t="s">
        <v>73</v>
      </c>
      <c r="H36" s="18"/>
      <c r="I36" s="18"/>
      <c r="J36" s="18"/>
      <c r="K36" s="6"/>
      <c r="L36" s="6"/>
      <c r="M36" s="6"/>
      <c r="N36" s="6"/>
    </row>
    <row r="37" spans="1:14" ht="19.5" customHeight="1" x14ac:dyDescent="0.2">
      <c r="A37" s="19" t="s">
        <v>70</v>
      </c>
      <c r="B37" s="20">
        <f>INDEX(Data!$A$65:$G$65,1,MATCH($B$5,Data!$C$55:$G$55,0)+2)</f>
        <v>2</v>
      </c>
      <c r="C37" s="21">
        <f>IF(VLOOKUP($B$5,Data!$A$2:$K$6,3,FALSE())=0,0,B37/VLOOKUP($B$5,Data!$A$2:$K$6,3,FALSE()))</f>
        <v>5.7142857142857141E-2</v>
      </c>
      <c r="D37" s="27" t="s">
        <v>70</v>
      </c>
      <c r="E37" s="26"/>
      <c r="F37" s="13"/>
      <c r="G37" s="16" t="s">
        <v>74</v>
      </c>
      <c r="H37" s="16">
        <f>INDEX(Data!$A$42:$F$42,1,MATCH($B$5,Data!$B$20:$F$20,0)+1)</f>
        <v>1</v>
      </c>
      <c r="I37" s="17">
        <f>IF(VLOOKUP($B$5,Data!$A$2:$K$6,3,FALSE())=0,0,H37/VLOOKUP($B$5,Data!$A$2:$K$6,3,FALSE()))</f>
        <v>2.8571428571428571E-2</v>
      </c>
      <c r="J37" s="17">
        <f>IF(VLOOKUP($B$5,Data!$A$2:$K$6,2,FALSE())=0,0,H37/VLOOKUP($B$5,Data!$A$2:$K$6,2,FALSE()))</f>
        <v>2.7322404371584699E-3</v>
      </c>
      <c r="K37" s="6"/>
      <c r="L37" s="6"/>
      <c r="M37" s="6"/>
      <c r="N37" s="6"/>
    </row>
    <row r="38" spans="1:14" ht="19.5" customHeight="1" x14ac:dyDescent="0.2">
      <c r="A38" s="15" t="s">
        <v>75</v>
      </c>
      <c r="B38" s="16">
        <f>INDEX(Data!$A$66:$G$66,1,MATCH($B$5,Data!$C$55:$G$55,0)+2)</f>
        <v>1</v>
      </c>
      <c r="C38" s="17">
        <f>IF(VLOOKUP($B$5,Data!$A$2:$K$6,3,FALSE())=0,0,B38/VLOOKUP($B$5,Data!$A$2:$K$6,3,FALSE()))</f>
        <v>2.8571428571428571E-2</v>
      </c>
      <c r="D38" s="28" t="s">
        <v>70</v>
      </c>
      <c r="E38" s="26"/>
      <c r="F38" s="13"/>
      <c r="G38" s="20" t="s">
        <v>76</v>
      </c>
      <c r="H38" s="20">
        <f>INDEX(Data!$A$43:$F$43,1,MATCH($B$5,Data!$B$20:$F$20,0)+1)</f>
        <v>0</v>
      </c>
      <c r="I38" s="21">
        <f>IF(VLOOKUP($B$5,Data!$A$2:$K$6,3,FALSE())=0,0,H38/VLOOKUP($B$5,Data!$A$2:$K$6,3,FALSE()))</f>
        <v>0</v>
      </c>
      <c r="J38" s="21">
        <f>IF(VLOOKUP($B$5,Data!$A$2:$K$6,2,FALSE())=0,0,H38/VLOOKUP($B$5,Data!$A$2:$K$6,2,FALSE()))</f>
        <v>0</v>
      </c>
      <c r="K38" s="6"/>
      <c r="L38" s="6"/>
      <c r="M38" s="6"/>
      <c r="N38" s="6"/>
    </row>
    <row r="39" spans="1:14" ht="19.5" customHeight="1" x14ac:dyDescent="0.2">
      <c r="A39" s="19" t="s">
        <v>77</v>
      </c>
      <c r="B39" s="20">
        <f>INDEX(Data!$A$67:$G$67,1,MATCH($B$5,Data!$C$55:$G$55,0)+2)</f>
        <v>1</v>
      </c>
      <c r="C39" s="21">
        <f>IF(VLOOKUP($B$5,Data!$A$2:$K$6,3,FALSE())=0,0,B39/VLOOKUP($B$5,Data!$A$2:$K$6,3,FALSE()))</f>
        <v>2.8571428571428571E-2</v>
      </c>
      <c r="D39" s="27" t="s">
        <v>70</v>
      </c>
      <c r="E39" s="26"/>
      <c r="F39" s="13"/>
      <c r="G39" s="16" t="s">
        <v>78</v>
      </c>
      <c r="H39" s="16">
        <f>INDEX(Data!$A$44:$F$44,1,MATCH($B$5,Data!$B$20:$F$20,0)+1)</f>
        <v>0</v>
      </c>
      <c r="I39" s="17">
        <f>IF(VLOOKUP($B$5,Data!$A$2:$K$6,3,FALSE())=0,0,H39/VLOOKUP($B$5,Data!$A$2:$K$6,3,FALSE()))</f>
        <v>0</v>
      </c>
      <c r="J39" s="17">
        <f>IF(VLOOKUP($B$5,Data!$A$2:$K$6,2,FALSE())=0,0,H39/VLOOKUP($B$5,Data!$A$2:$K$6,2,FALSE()))</f>
        <v>0</v>
      </c>
      <c r="K39" s="6"/>
      <c r="L39" s="6"/>
      <c r="M39" s="6"/>
      <c r="N39" s="6"/>
    </row>
    <row r="40" spans="1:14" ht="19.5" customHeight="1" x14ac:dyDescent="0.2">
      <c r="A40" s="6"/>
      <c r="B40" s="6"/>
      <c r="C40" s="6"/>
      <c r="D40" s="6"/>
      <c r="E40" s="6"/>
      <c r="F40" s="13"/>
      <c r="G40" s="18" t="s">
        <v>79</v>
      </c>
      <c r="H40" s="18"/>
      <c r="I40" s="18"/>
      <c r="J40" s="18"/>
      <c r="K40" s="6"/>
      <c r="L40" s="6"/>
      <c r="M40" s="6"/>
      <c r="N40" s="6"/>
    </row>
    <row r="41" spans="1:14" ht="19.5" customHeight="1" x14ac:dyDescent="0.2">
      <c r="A41" s="29"/>
      <c r="B41" s="29" t="s">
        <v>54</v>
      </c>
      <c r="C41" s="30">
        <f>VLOOKUP($B$5,Data!$A$2:$K$6,6,FALSE())</f>
        <v>21</v>
      </c>
      <c r="D41" s="31">
        <f>IF(VLOOKUP($B$5,Data!$A$2:$K$6,3,FALSE())=0,0,C41/VLOOKUP($B$5,Data!$A$2:$K$6,3,FALSE()))</f>
        <v>0.6</v>
      </c>
      <c r="E41" s="6"/>
      <c r="F41" s="13"/>
      <c r="G41" s="16" t="s">
        <v>80</v>
      </c>
      <c r="H41" s="16">
        <f>INDEX(Data!$A$45:$F$45,1,MATCH($B$5,Data!$B$20:$F$20,0)+1)</f>
        <v>0</v>
      </c>
      <c r="I41" s="17">
        <f>IF(VLOOKUP($B$5,Data!$A$2:$K$6,3,FALSE())=0,0,H41/VLOOKUP($B$5,Data!$A$2:$K$6,3,FALSE()))</f>
        <v>0</v>
      </c>
      <c r="J41" s="17">
        <f>IF(VLOOKUP($B$5,Data!$A$2:$K$6,2,FALSE())=0,0,H41/VLOOKUP($B$5,Data!$A$2:$K$6,2,FALSE()))</f>
        <v>0</v>
      </c>
      <c r="K41" s="6"/>
      <c r="L41" s="6"/>
      <c r="M41" s="6"/>
      <c r="N41" s="6"/>
    </row>
    <row r="42" spans="1:14" ht="19.5" customHeight="1" x14ac:dyDescent="0.2">
      <c r="A42" s="29"/>
      <c r="B42" s="29" t="s">
        <v>65</v>
      </c>
      <c r="C42" s="30">
        <f>VLOOKUP($B$5,Data!$A$2:$K$6,7,FALSE())</f>
        <v>4</v>
      </c>
      <c r="D42" s="31">
        <f>IF(VLOOKUP($B$5,Data!$A$2:$K$6,3,FALSE())=0,0,C42/VLOOKUP($B$5,Data!$A$2:$K$6,3,FALSE()))</f>
        <v>0.11428571428571428</v>
      </c>
      <c r="E42" s="6"/>
      <c r="F42" s="13"/>
      <c r="G42" s="20" t="s">
        <v>81</v>
      </c>
      <c r="H42" s="20">
        <f>INDEX(Data!$A$46:$F$46,1,MATCH($B$5,Data!$B$20:$F$20,0)+1)</f>
        <v>0</v>
      </c>
      <c r="I42" s="21">
        <f>IF(VLOOKUP($B$5,Data!$A$2:$K$6,3,FALSE())=0,0,H42/VLOOKUP($B$5,Data!$A$2:$K$6,3,FALSE()))</f>
        <v>0</v>
      </c>
      <c r="J42" s="21">
        <f>IF(VLOOKUP($B$5,Data!$A$2:$K$6,2,FALSE())=0,0,H42/VLOOKUP($B$5,Data!$A$2:$K$6,2,FALSE()))</f>
        <v>0</v>
      </c>
      <c r="K42" s="6"/>
      <c r="L42" s="6"/>
      <c r="M42" s="6"/>
      <c r="N42" s="6"/>
    </row>
    <row r="43" spans="1:14" ht="19.5" customHeight="1" x14ac:dyDescent="0.2">
      <c r="A43" s="29"/>
      <c r="B43" s="29" t="s">
        <v>70</v>
      </c>
      <c r="C43" s="30">
        <f>VLOOKUP($B$5,Data!$A$2:$K$6,8,FALSE())</f>
        <v>10</v>
      </c>
      <c r="D43" s="31">
        <f>IF(VLOOKUP($B$5,Data!$A$2:$K$6,3,FALSE())=0,0,C43/VLOOKUP($B$5,Data!$A$2:$K$6,3,FALSE()))</f>
        <v>0.2857142857142857</v>
      </c>
      <c r="E43" s="6"/>
      <c r="F43" s="13"/>
      <c r="G43" s="18" t="s">
        <v>82</v>
      </c>
      <c r="H43" s="18"/>
      <c r="I43" s="18"/>
      <c r="J43" s="18"/>
      <c r="K43" s="6"/>
      <c r="L43" s="6"/>
      <c r="M43" s="6"/>
      <c r="N43" s="6"/>
    </row>
    <row r="44" spans="1:14" ht="19.5" customHeight="1" x14ac:dyDescent="0.2">
      <c r="A44" s="6"/>
      <c r="B44" s="6"/>
      <c r="C44" s="6"/>
      <c r="D44" s="6"/>
      <c r="E44" s="6"/>
      <c r="F44" s="13"/>
      <c r="G44" s="16" t="s">
        <v>83</v>
      </c>
      <c r="H44" s="16">
        <f>INDEX(Data!$A$47:$F$47,1,MATCH($B$5,Data!$B$20:$F$20,0)+1)</f>
        <v>1</v>
      </c>
      <c r="I44" s="17">
        <f>IF(VLOOKUP($B$5,Data!$A$2:$K$6,3,FALSE())=0,0,H44/VLOOKUP($B$5,Data!$A$2:$K$6,3,FALSE()))</f>
        <v>2.8571428571428571E-2</v>
      </c>
      <c r="J44" s="17">
        <f>IF(VLOOKUP($B$5,Data!$A$2:$K$6,2,FALSE())=0,0,H44/VLOOKUP($B$5,Data!$A$2:$K$6,2,FALSE()))</f>
        <v>2.7322404371584699E-3</v>
      </c>
      <c r="K44" s="6"/>
      <c r="L44" s="6"/>
      <c r="M44" s="6"/>
      <c r="N44" s="6"/>
    </row>
    <row r="45" spans="1:14" ht="19.5" customHeight="1" x14ac:dyDescent="0.2">
      <c r="A45" s="6"/>
      <c r="B45" s="6"/>
      <c r="C45" s="6"/>
      <c r="D45" s="6"/>
      <c r="E45" s="6"/>
      <c r="F45" s="13"/>
      <c r="G45" s="20" t="s">
        <v>84</v>
      </c>
      <c r="H45" s="20">
        <f>INDEX(Data!$A$48:$F$48,1,MATCH($B$5,Data!$B$20:$F$20,0)+1)</f>
        <v>0</v>
      </c>
      <c r="I45" s="21">
        <f>IF(VLOOKUP($B$5,Data!$A$2:$K$6,3,FALSE())=0,0,H45/VLOOKUP($B$5,Data!$A$2:$K$6,3,FALSE()))</f>
        <v>0</v>
      </c>
      <c r="J45" s="21">
        <f>IF(VLOOKUP($B$5,Data!$A$2:$K$6,2,FALSE())=0,0,H45/VLOOKUP($B$5,Data!$A$2:$K$6,2,FALSE()))</f>
        <v>0</v>
      </c>
      <c r="K45" s="6"/>
      <c r="L45" s="6"/>
      <c r="M45" s="6"/>
      <c r="N45" s="6"/>
    </row>
    <row r="46" spans="1:14" ht="27.75" customHeight="1" x14ac:dyDescent="0.2">
      <c r="A46" s="146" t="s">
        <v>85</v>
      </c>
      <c r="B46" s="146"/>
      <c r="C46" s="146"/>
      <c r="D46" s="146"/>
      <c r="E46" s="146"/>
      <c r="F46" s="13"/>
      <c r="G46" s="18" t="s">
        <v>86</v>
      </c>
      <c r="H46" s="18"/>
      <c r="I46" s="18"/>
      <c r="J46" s="18"/>
      <c r="K46" s="6"/>
      <c r="L46" s="6"/>
      <c r="M46" s="6"/>
      <c r="N46" s="6"/>
    </row>
    <row r="47" spans="1:14" ht="19.5" customHeight="1" x14ac:dyDescent="0.2">
      <c r="A47" s="6"/>
      <c r="B47" s="6"/>
      <c r="C47" s="6"/>
      <c r="D47" s="6"/>
      <c r="E47" s="6"/>
      <c r="F47" s="13"/>
      <c r="G47" s="16" t="s">
        <v>87</v>
      </c>
      <c r="H47" s="16">
        <f>INDEX(Data!$A$49:$F$49,1,MATCH($B$5,Data!$B$20:$F$20,0)+1)</f>
        <v>0</v>
      </c>
      <c r="I47" s="17">
        <f>IF(VLOOKUP($B$5,Data!$A$2:$K$6,3,FALSE())=0,0,H47/VLOOKUP($B$5,Data!$A$2:$K$6,3,FALSE()))</f>
        <v>0</v>
      </c>
      <c r="J47" s="17">
        <f>IF(VLOOKUP($B$5,Data!$A$2:$K$6,2,FALSE())=0,0,H47/VLOOKUP($B$5,Data!$A$2:$K$6,2,FALSE()))</f>
        <v>0</v>
      </c>
      <c r="K47" s="6"/>
      <c r="L47" s="6"/>
      <c r="M47" s="6"/>
      <c r="N47" s="6"/>
    </row>
    <row r="48" spans="1:14" ht="21.75" customHeight="1" x14ac:dyDescent="0.2">
      <c r="A48" s="32" t="s">
        <v>88</v>
      </c>
      <c r="B48" s="33"/>
      <c r="C48" s="34">
        <f>VLOOKUP($B$5,Data!$A$2:$K$6,10,FALSE())</f>
        <v>0.43333333333333335</v>
      </c>
      <c r="D48" s="33"/>
      <c r="E48" s="35"/>
      <c r="F48" s="13"/>
      <c r="G48" s="20" t="s">
        <v>89</v>
      </c>
      <c r="H48" s="20">
        <f>INDEX(Data!$A$50:$F$50,1,MATCH($B$5,Data!$B$20:$F$20,0)+1)</f>
        <v>0</v>
      </c>
      <c r="I48" s="21">
        <f>IF(VLOOKUP($B$5,Data!$A$2:$K$6,3,FALSE())=0,0,H48/VLOOKUP($B$5,Data!$A$2:$K$6,3,FALSE()))</f>
        <v>0</v>
      </c>
      <c r="J48" s="21">
        <f>IF(VLOOKUP($B$5,Data!$A$2:$K$6,2,FALSE())=0,0,H48/VLOOKUP($B$5,Data!$A$2:$K$6,2,FALSE()))</f>
        <v>0</v>
      </c>
      <c r="K48" s="6"/>
      <c r="L48" s="6"/>
      <c r="M48" s="6"/>
      <c r="N48" s="6"/>
    </row>
    <row r="49" spans="1:14" ht="21.75" customHeight="1" x14ac:dyDescent="0.2">
      <c r="A49" s="32" t="s">
        <v>90</v>
      </c>
      <c r="B49" s="33"/>
      <c r="C49" s="34">
        <f>VLOOKUP($B$5,Data!$A$2:$K$6,11,FALSE())</f>
        <v>5.7142857142857141E-2</v>
      </c>
      <c r="D49" s="33"/>
      <c r="E49" s="35"/>
      <c r="F49" s="13"/>
      <c r="G49" s="16" t="s">
        <v>91</v>
      </c>
      <c r="H49" s="16">
        <f>INDEX(Data!$A$51:$F$51,1,MATCH($B$5,Data!$B$20:$F$20,0)+1)</f>
        <v>1</v>
      </c>
      <c r="I49" s="17">
        <f>IF(VLOOKUP($B$5,Data!$A$2:$K$6,3,FALSE())=0,0,H49/VLOOKUP($B$5,Data!$A$2:$K$6,3,FALSE()))</f>
        <v>2.8571428571428571E-2</v>
      </c>
      <c r="J49" s="17">
        <f>IF(VLOOKUP($B$5,Data!$A$2:$K$6,2,FALSE())=0,0,H49/VLOOKUP($B$5,Data!$A$2:$K$6,2,FALSE()))</f>
        <v>2.7322404371584699E-3</v>
      </c>
      <c r="K49" s="6"/>
      <c r="L49" s="6"/>
      <c r="M49" s="6"/>
      <c r="N49" s="6"/>
    </row>
    <row r="50" spans="1:14" ht="19.5" customHeight="1" x14ac:dyDescent="0.2">
      <c r="A50" s="32" t="inlineStr">
        <is>
          <t xml:space="preserve">Rolling 12-month Turnover:</t>
        </is>
      </c>
      <c r="B50" s="6"/>
      <c r="C50" s="34">
        <f>IFERROR((SUMPRODUCT((ISNUMBER('FY 2023 (Jan23-Dec23)'!$B$9:$B$412))*(('FY 2023 (Jan23-Dec23)'!$B$9:$B$412&gt;=TODAY()-365)*('FY 2023 (Jan23-Dec23)'!$B$9:$B$412&lt;=TODAY())))+SUMPRODUCT((ISNUMBER('FY 2024 (Jan24-Dec24)'!$B$9:$B$412))*(('FY 2024 (Jan24-Dec24)'!$B$9:$B$412&gt;=TODAY()-365)*('FY 2024 (Jan24-Dec24)'!$B$9:$B$412&lt;=TODAY())))+SUMPRODUCT((ISNUMBER('FY 2025 (Jan25-Dec25)'!$B$9:$B$412))*(('FY 2025 (Jan25-Dec25)'!$B$9:$B$412&gt;=TODAY()-365)*('FY 2025 (Jan25-Dec25)'!$B$9:$B$412&lt;=TODAY())))+SUMPRODUCT((ISNUMBER('FY 2026 (Jan26-Dec26)'!$B$9:$B$412))*(('FY 2026 (Jan26-Dec26)'!$B$9:$B$412&gt;=TODAY()-365)*('FY 2026 (Jan26-Dec26)'!$B$9:$B$412&lt;=TODAY())))+SUMPRODUCT((ISNUMBER('FY 2027 (Jan27-Dec27)'!$B$9:$B$412))*(('FY 2027 (Jan27-Dec27)'!$B$9:$B$412&gt;=TODAY()-365)*('FY 2027 (Jan27-Dec27)'!$B$9:$B$412&lt;=TODAY()))))/VLOOKUP($B$5,Data!$A$2:$K$6,2,FALSE),0)</f>
      </c>
      <c r="D50" s="6"/>
      <c r="E50" s="6"/>
      <c r="F50" s="13"/>
      <c r="G50" s="18" t="s">
        <v>92</v>
      </c>
      <c r="H50" s="18"/>
      <c r="I50" s="18"/>
      <c r="J50" s="18"/>
      <c r="K50" s="6"/>
      <c r="L50" s="6"/>
      <c r="M50" s="6"/>
      <c r="N50" s="6"/>
    </row>
    <row r="51" spans="1:14" ht="19.5" customHeight="1" x14ac:dyDescent="0.2">
      <c r="A51" s="32" t="inlineStr">
        <is>
          <t xml:space="preserve">Avg Tenure at Separation:</t>
        </is>
      </c>
      <c r="B51" s="6"/>
      <c r="C51" s="34">
        <f>IFERROR(IF(SUMPRODUCT((INDIRECT("'"&amp;$B$5&amp;" (Jan"&amp;RIGHT($B$5,2)&amp;"-Dec"&amp;RIGHT($B$5,2)&amp;")'!B9:B412")&lt;&gt;"")*(INDIRECT("'"&amp;$B$5&amp;" (Jan"&amp;RIGHT($B$5,2)&amp;"-Dec"&amp;RIGHT($B$5,2)&amp;")'!C9:C412")&lt;&gt;""))=0,"N/A (no DOH data)",(SUMPRODUCT((INDIRECT("'"&amp;$B$5&amp;" (Jan"&amp;RIGHT($B$5,2)&amp;"-Dec"&amp;RIGHT($B$5,2)&amp;")'!B9:B412")&lt;&gt;"")*(INDIRECT("'"&amp;$B$5&amp;" (Jan"&amp;RIGHT($B$5,2)&amp;"-Dec"&amp;RIGHT($B$5,2)&amp;")'!C9:C412")&lt;&gt;"")*(INDIRECT("'"&amp;$B$5&amp;" (Jan"&amp;RIGHT($B$5,2)&amp;"-Dec"&amp;RIGHT($B$5,2)&amp;")'!B9:B412")-INDIRECT("'"&amp;$B$5&amp;" (Jan"&amp;RIGHT($B$5,2)&amp;"-Dec"&amp;RIGHT($B$5,2)&amp;")'!C9:C412"))))/SUMPRODUCT((INDIRECT("'"&amp;$B$5&amp;" (Jan"&amp;RIGHT($B$5,2)&amp;"-Dec"&amp;RIGHT($B$5,2)&amp;")'!B9:B412")&lt;&gt;"")*(INDIRECT("'"&amp;$B$5&amp;" (Jan"&amp;RIGHT($B$5,2)&amp;"-Dec"&amp;RIGHT($B$5,2)&amp;")'!C9:C412")&lt;&gt;""))/365.25),"N/A (no DOH data)")</f>
      </c>
      <c r="D51" s="6"/>
      <c r="E51" s="6"/>
      <c r="F51" s="13"/>
      <c r="G51" s="16" t="s">
        <v>70</v>
      </c>
      <c r="H51" s="16">
        <f>INDEX(Data!$A$52:$F$52,1,MATCH($B$5,Data!$B$20:$F$20,0)+1)</f>
        <v>2</v>
      </c>
      <c r="I51" s="17">
        <f>IF(VLOOKUP($B$5,Data!$A$2:$K$6,3,FALSE())=0,0,H51/VLOOKUP($B$5,Data!$A$2:$K$6,3,FALSE()))</f>
        <v>5.7142857142857141E-2</v>
      </c>
      <c r="J51" s="17">
        <f>IF(VLOOKUP($B$5,Data!$A$2:$K$6,2,FALSE())=0,0,H51/VLOOKUP($B$5,Data!$A$2:$K$6,2,FALSE()))</f>
        <v>5.4644808743169399E-3</v>
      </c>
      <c r="K51" s="6"/>
      <c r="L51" s="6"/>
      <c r="M51" s="6"/>
      <c r="N51" s="6"/>
    </row>
    <row r="52" spans="1:14" ht="9.75" customHeight="1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6"/>
      <c r="L52" s="6"/>
      <c r="M52" s="6"/>
      <c r="N52" s="6"/>
    </row>
    <row r="53" spans="1:14" ht="36" customHeight="1" x14ac:dyDescent="0.2">
      <c r="A53" s="36" t="s">
        <v>93</v>
      </c>
      <c r="B53" s="37"/>
      <c r="C53" s="37"/>
      <c r="D53" s="148" t="s">
        <v>94</v>
      </c>
      <c r="E53" s="148"/>
      <c r="F53" s="148"/>
      <c r="G53" s="148"/>
      <c r="H53" s="148"/>
      <c r="I53" s="37"/>
      <c r="J53" s="37"/>
      <c r="K53" s="6"/>
      <c r="L53" s="6"/>
      <c r="M53" s="6"/>
      <c r="N53" s="6"/>
    </row>
    <row r="54" spans="1:14" ht="27.75" customHeight="1" x14ac:dyDescent="0.2">
      <c r="A54" s="1" t="s">
        <v>95</v>
      </c>
      <c r="B54" s="1"/>
      <c r="C54" s="1"/>
      <c r="D54" s="1"/>
      <c r="E54" s="1"/>
      <c r="F54" s="1"/>
      <c r="G54" s="1"/>
      <c r="H54" s="1"/>
      <c r="I54" s="1"/>
      <c r="J54" s="6"/>
      <c r="K54" s="6"/>
      <c r="L54" s="6"/>
      <c r="M54" s="6"/>
      <c r="N54" s="6"/>
    </row>
    <row r="55" spans="1:14" ht="24" customHeight="1" x14ac:dyDescent="0.2">
      <c r="A55" s="14" t="s">
        <v>96</v>
      </c>
      <c r="B55" s="14" t="s">
        <v>97</v>
      </c>
      <c r="C55" s="14" t="s">
        <v>98</v>
      </c>
      <c r="D55" s="14" t="s">
        <v>18</v>
      </c>
      <c r="E55" s="14" t="s">
        <v>99</v>
      </c>
      <c r="F55" s="14" t="s">
        <v>100</v>
      </c>
      <c r="G55" s="14" t="s">
        <v>65</v>
      </c>
      <c r="H55" s="14" t="s">
        <v>101</v>
      </c>
      <c r="I55" s="14" t="s">
        <v>102</v>
      </c>
      <c r="J55" s="6"/>
      <c r="K55" s="6"/>
      <c r="L55" s="6"/>
      <c r="M55" s="6"/>
      <c r="N55" s="6"/>
    </row>
    <row r="56" spans="1:14" ht="19.5" customHeight="1" x14ac:dyDescent="0.2">
      <c r="A56" s="15" t="s">
        <v>103</v>
      </c>
      <c r="B56" s="16">
        <f>Data!B76</f>
        <v>339</v>
      </c>
      <c r="C56" s="16">
        <f>Data!C76</f>
        <v>62</v>
      </c>
      <c r="D56" s="17">
        <f>Data!D76</f>
        <v>0.18289085545722714</v>
      </c>
      <c r="E56" s="38">
        <f>Data!E76</f>
        <v>10.333333333333334</v>
      </c>
      <c r="F56" s="16">
        <f>Data!F76</f>
        <v>36</v>
      </c>
      <c r="G56" s="16">
        <f>Data!G76</f>
        <v>4</v>
      </c>
      <c r="H56" s="17">
        <f>Data!H76</f>
        <v>0.58064516129032262</v>
      </c>
      <c r="I56" s="16" t="str">
        <f>Data!I76</f>
        <v>N/A</v>
      </c>
      <c r="J56" s="6"/>
      <c r="K56" s="6"/>
      <c r="L56" s="6"/>
      <c r="M56" s="6"/>
      <c r="N56" s="6"/>
    </row>
    <row r="57" spans="1:14" ht="19.5" customHeight="1" x14ac:dyDescent="0.2">
      <c r="A57" s="19" t="s">
        <v>104</v>
      </c>
      <c r="B57" s="20">
        <f>Data!B77</f>
        <v>339</v>
      </c>
      <c r="C57" s="20">
        <f>Data!C77</f>
        <v>158</v>
      </c>
      <c r="D57" s="21">
        <f>Data!D77</f>
        <v>0.46607669616519176</v>
      </c>
      <c r="E57" s="39">
        <f>Data!E77</f>
        <v>13.166666666666666</v>
      </c>
      <c r="F57" s="20">
        <f>Data!F77</f>
        <v>87</v>
      </c>
      <c r="G57" s="20">
        <f>Data!G77</f>
        <v>13</v>
      </c>
      <c r="H57" s="21">
        <f>Data!H77</f>
        <v>0.55063291139240511</v>
      </c>
      <c r="I57" s="40">
        <f>Data!I77</f>
        <v>0.2831858407079646</v>
      </c>
      <c r="J57" s="6"/>
      <c r="K57" s="6"/>
      <c r="L57" s="6"/>
      <c r="M57" s="6"/>
      <c r="N57" s="6"/>
    </row>
    <row r="58" spans="1:14" ht="19.5" customHeight="1" x14ac:dyDescent="0.2">
      <c r="A58" s="15" t="s">
        <v>105</v>
      </c>
      <c r="B58" s="16">
        <f>Data!B78</f>
        <v>346</v>
      </c>
      <c r="C58" s="16">
        <f>Data!C78</f>
        <v>138</v>
      </c>
      <c r="D58" s="17">
        <f>Data!D78</f>
        <v>0.39884393063583817</v>
      </c>
      <c r="E58" s="38">
        <f>Data!E78</f>
        <v>11.5</v>
      </c>
      <c r="F58" s="16">
        <f>Data!F78</f>
        <v>98</v>
      </c>
      <c r="G58" s="16">
        <f>Data!G78</f>
        <v>5</v>
      </c>
      <c r="H58" s="17">
        <f>Data!H78</f>
        <v>0.71014492753623193</v>
      </c>
      <c r="I58" s="41">
        <f>Data!I78</f>
        <v>-6.7232765529353589E-2</v>
      </c>
      <c r="J58" s="6"/>
      <c r="K58" s="6"/>
      <c r="L58" s="6"/>
      <c r="M58" s="6"/>
      <c r="N58" s="6"/>
    </row>
    <row r="59" spans="1:14" ht="19.5" customHeight="1" x14ac:dyDescent="0.2">
      <c r="A59" s="19" t="s">
        <v>3</v>
      </c>
      <c r="B59" s="20">
        <f>Data!B79</f>
        <v>366</v>
      </c>
      <c r="C59" s="20">
        <f>Data!C79</f>
        <v>35</v>
      </c>
      <c r="D59" s="21">
        <f>Data!D79</f>
        <v>9.5628415300546443E-2</v>
      </c>
      <c r="E59" s="39">
        <f>Data!E79</f>
        <v>8.75</v>
      </c>
      <c r="F59" s="20">
        <f>Data!F79</f>
        <v>21</v>
      </c>
      <c r="G59" s="20">
        <f>Data!G79</f>
        <v>4</v>
      </c>
      <c r="H59" s="21">
        <f>Data!H79</f>
        <v>0.6</v>
      </c>
      <c r="I59" s="40">
        <f>Data!I79</f>
        <v>-0.30321551533529173</v>
      </c>
      <c r="J59" s="6"/>
      <c r="K59" s="6"/>
      <c r="L59" s="6"/>
      <c r="M59" s="6"/>
      <c r="N59" s="6"/>
    </row>
    <row r="60" spans="1:14" ht="19.5" customHeight="1" x14ac:dyDescent="0.2">
      <c r="A60" s="15" t="s">
        <v>106</v>
      </c>
      <c r="B60" s="16">
        <f>Data!B80</f>
        <v>364</v>
      </c>
      <c r="C60" s="16">
        <f>Data!C80</f>
        <v>0</v>
      </c>
      <c r="D60" s="17">
        <f>Data!D80</f>
        <v>0</v>
      </c>
      <c r="E60" s="38">
        <f>Data!E80</f>
        <v>0</v>
      </c>
      <c r="F60" s="16">
        <f>Data!F80</f>
        <v>0</v>
      </c>
      <c r="G60" s="16">
        <f>Data!G80</f>
        <v>0</v>
      </c>
      <c r="H60" s="17">
        <f>Data!H80</f>
        <v>0</v>
      </c>
      <c r="I60" s="41">
        <f>Data!I80</f>
        <v>-9.5628415300546443E-2</v>
      </c>
      <c r="J60" s="6"/>
      <c r="K60" s="6"/>
      <c r="L60" s="6"/>
      <c r="M60" s="6"/>
      <c r="N60" s="6"/>
    </row>
    <row r="61" spans="1:14" ht="15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 ht="21.75" customHeight="1" x14ac:dyDescent="0.2">
      <c r="A62" s="42" t="s">
        <v>107</v>
      </c>
      <c r="B62" s="42">
        <f>AVERAGE(B56:B60)</f>
        <v>350.8</v>
      </c>
      <c r="C62" s="42">
        <f>AVERAGE(C56:C60)</f>
        <v>78.599999999999994</v>
      </c>
      <c r="D62" s="43">
        <f>AVERAGE(D56:D60)</f>
        <v>0.22868797951176073</v>
      </c>
      <c r="E62" s="42">
        <f>AVERAGE(E56:E60)</f>
        <v>8.75</v>
      </c>
      <c r="F62" s="42"/>
      <c r="G62" s="42"/>
      <c r="H62" s="43">
        <f>AVERAGE(H56:H60)</f>
        <v>0.48828460004379198</v>
      </c>
      <c r="I62" s="42"/>
      <c r="J62" s="6"/>
      <c r="K62" s="6"/>
      <c r="L62" s="6"/>
      <c r="M62" s="6"/>
      <c r="N62" s="6"/>
    </row>
    <row r="63" spans="1:14" ht="7.5" customHeight="1" x14ac:dyDescent="0.2">
      <c r="A63" s="13"/>
      <c r="B63" s="13"/>
      <c r="C63" s="13"/>
      <c r="D63" s="13"/>
      <c r="E63" s="13"/>
      <c r="F63" s="44"/>
      <c r="G63" s="13"/>
      <c r="H63" s="13"/>
      <c r="I63" s="13"/>
      <c r="J63" s="13"/>
      <c r="K63" s="6"/>
      <c r="L63" s="6"/>
      <c r="M63" s="6"/>
      <c r="N63" s="6"/>
    </row>
    <row r="64" spans="1:14" ht="15" customHeight="1" x14ac:dyDescent="0.2">
      <c r="A64" s="13"/>
      <c r="B64" s="13"/>
      <c r="C64" s="13"/>
      <c r="D64" s="13"/>
      <c r="E64" s="13"/>
      <c r="F64" s="45"/>
      <c r="G64" s="46"/>
      <c r="H64" s="45"/>
      <c r="I64" s="47"/>
      <c r="J64" s="13"/>
      <c r="K64" s="6"/>
      <c r="L64" s="6"/>
      <c r="M64" s="6"/>
      <c r="N64" s="6"/>
    </row>
    <row r="65" spans="1:14" ht="27.75" customHeight="1" x14ac:dyDescent="0.2">
      <c r="A65" s="1" t="s">
        <v>108</v>
      </c>
      <c r="B65" s="1"/>
      <c r="C65" s="1"/>
      <c r="D65" s="1"/>
      <c r="E65" s="1"/>
      <c r="F65" s="1"/>
      <c r="G65" s="1"/>
      <c r="H65" s="1"/>
      <c r="I65" s="1"/>
      <c r="J65" s="6"/>
      <c r="K65" s="6"/>
      <c r="L65" s="6"/>
      <c r="M65" s="6"/>
      <c r="N65" s="6"/>
    </row>
    <row r="66" spans="1:14" ht="24" customHeight="1" x14ac:dyDescent="0.2">
      <c r="A66" s="14" t="s">
        <v>96</v>
      </c>
      <c r="B66" s="14" t="s">
        <v>97</v>
      </c>
      <c r="C66" s="14" t="s">
        <v>98</v>
      </c>
      <c r="D66" s="14" t="s">
        <v>18</v>
      </c>
      <c r="E66" s="14" t="s">
        <v>99</v>
      </c>
      <c r="F66" s="14" t="s">
        <v>100</v>
      </c>
      <c r="G66" s="14" t="s">
        <v>65</v>
      </c>
      <c r="H66" s="14" t="s">
        <v>101</v>
      </c>
      <c r="I66" s="14" t="s">
        <v>102</v>
      </c>
      <c r="J66" s="6"/>
      <c r="K66" s="6"/>
      <c r="L66" s="6"/>
      <c r="M66" s="6"/>
      <c r="N66" s="6"/>
    </row>
    <row r="67" spans="1:14" ht="19.5" customHeight="1" x14ac:dyDescent="0.2">
      <c r="A67" s="15" t="s">
        <v>109</v>
      </c>
      <c r="B67" s="16">
        <f>Data!B111</f>
        <v>339</v>
      </c>
      <c r="C67" s="16">
        <f>Data!C111</f>
        <v>153</v>
      </c>
      <c r="D67" s="17">
        <f>Data!D111</f>
        <v>0.45132743362831901</v>
      </c>
      <c r="E67" s="38">
        <f>Data!E111</f>
        <v>12.75</v>
      </c>
      <c r="F67" s="16">
        <f>Data!F111</f>
        <v>83</v>
      </c>
      <c r="G67" s="16">
        <f>Data!G111</f>
        <v>13</v>
      </c>
      <c r="H67" s="17">
        <f>Data!I111</f>
        <v>0.54248366013071903</v>
      </c>
      <c r="I67" s="16" t="s">
        <v>110</v>
      </c>
      <c r="J67" s="6"/>
      <c r="K67" s="6"/>
      <c r="L67" s="6"/>
      <c r="M67" s="6"/>
      <c r="N67" s="6"/>
    </row>
    <row r="68" spans="1:14" ht="19.5" customHeight="1" x14ac:dyDescent="0.2">
      <c r="A68" s="19" t="s">
        <v>6</v>
      </c>
      <c r="B68" s="20">
        <f>Data!B112</f>
        <v>339</v>
      </c>
      <c r="C68" s="20">
        <f>Data!C112</f>
        <v>136</v>
      </c>
      <c r="D68" s="21">
        <f>Data!D112</f>
        <v>0.40117994100295001</v>
      </c>
      <c r="E68" s="39">
        <f>Data!E112</f>
        <v>11.3333333333333</v>
      </c>
      <c r="F68" s="20">
        <f>Data!F112</f>
        <v>81</v>
      </c>
      <c r="G68" s="20">
        <f>Data!G112</f>
        <v>9</v>
      </c>
      <c r="H68" s="21">
        <f>Data!I112</f>
        <v>0.59558823529411797</v>
      </c>
      <c r="I68" s="21">
        <f>D68-D67</f>
        <v>-5.0147492625368995E-2</v>
      </c>
      <c r="J68" s="6"/>
      <c r="K68" s="6"/>
      <c r="L68" s="6"/>
      <c r="M68" s="6"/>
      <c r="N68" s="6"/>
    </row>
    <row r="69" spans="1:14" ht="19.5" customHeight="1" x14ac:dyDescent="0.2">
      <c r="A69" s="15" t="s">
        <v>111</v>
      </c>
      <c r="B69" s="16">
        <f>Data!B113</f>
        <v>346</v>
      </c>
      <c r="C69" s="16">
        <f>Data!C113</f>
        <v>99</v>
      </c>
      <c r="D69" s="17">
        <f>Data!D113</f>
        <v>0.28612716763005802</v>
      </c>
      <c r="E69" s="38">
        <f>Data!E113</f>
        <v>8.25</v>
      </c>
      <c r="F69" s="16">
        <f>Data!F113</f>
        <v>78</v>
      </c>
      <c r="G69" s="16">
        <f>Data!G113</f>
        <v>4</v>
      </c>
      <c r="H69" s="17">
        <f>Data!I113</f>
        <v>0.78787878787878796</v>
      </c>
      <c r="I69" s="17">
        <f>D69-D68</f>
        <v>-0.11505277337289199</v>
      </c>
      <c r="J69" s="6"/>
      <c r="K69" s="6"/>
      <c r="L69" s="6"/>
      <c r="M69" s="6"/>
      <c r="N69" s="6"/>
    </row>
    <row r="70" spans="1:14" ht="19.5" customHeight="1" x14ac:dyDescent="0.2">
      <c r="A70" s="19" t="s">
        <v>112</v>
      </c>
      <c r="B70" s="20">
        <f>Data!B114</f>
        <v>364</v>
      </c>
      <c r="C70" s="20">
        <f>Data!C114</f>
        <v>0</v>
      </c>
      <c r="D70" s="21">
        <f>Data!D114</f>
        <v>0</v>
      </c>
      <c r="E70" s="39">
        <f>Data!E114</f>
        <v>0</v>
      </c>
      <c r="F70" s="20">
        <f>Data!F114</f>
        <v>0</v>
      </c>
      <c r="G70" s="20">
        <f>Data!G114</f>
        <v>0</v>
      </c>
      <c r="H70" s="21">
        <f>Data!I114</f>
        <v>0</v>
      </c>
      <c r="I70" s="21">
        <f>D70-D69</f>
        <v>-0.28612716763005802</v>
      </c>
      <c r="J70" s="6"/>
      <c r="K70" s="6"/>
      <c r="L70" s="6"/>
      <c r="M70" s="6"/>
      <c r="N70" s="6"/>
    </row>
    <row r="71" spans="1:14" ht="7.5" customHeight="1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6"/>
      <c r="L71" s="6"/>
      <c r="M71" s="6"/>
      <c r="N71" s="6"/>
    </row>
    <row r="72" spans="1:14" ht="27.75" customHeight="1" x14ac:dyDescent="0.2">
      <c r="A72" s="1" t="s">
        <v>113</v>
      </c>
      <c r="B72" s="1"/>
      <c r="C72" s="1"/>
      <c r="D72" s="1"/>
      <c r="E72" s="1"/>
      <c r="F72" s="13"/>
      <c r="G72" s="6"/>
      <c r="H72" s="6"/>
      <c r="I72" s="6"/>
      <c r="J72" s="6"/>
      <c r="K72" s="6"/>
      <c r="L72" s="6"/>
      <c r="M72" s="6"/>
      <c r="N72" s="6"/>
    </row>
    <row r="73" spans="1:14" ht="24" customHeight="1" x14ac:dyDescent="0.2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24"/>
      <c r="G73" s="6"/>
      <c r="H73" s="6"/>
      <c r="I73" s="6"/>
      <c r="J73" s="6"/>
      <c r="K73" s="6"/>
      <c r="L73" s="6"/>
      <c r="M73" s="6"/>
      <c r="N73" s="6"/>
    </row>
    <row r="74" spans="1:14" ht="19.5" customHeight="1" x14ac:dyDescent="0.2">
      <c r="A74" s="15" t="s">
        <v>35</v>
      </c>
      <c r="B74" s="16">
        <f>INDEX(Data!$A$88:$N$91,MATCH($G$5,Data!$A$88:$A$91,0),2)</f>
        <v>16</v>
      </c>
      <c r="C74" s="17">
        <f>IF(INDEX(Data!$A$111:$J$114,MATCH($G$5,Data!$A$111:$A$114,0),3)=0,0,B74/INDEX(Data!$A$111:$J$114,MATCH($G$5,Data!$A$111:$A$114,0),3))</f>
        <v>0.16161616161616163</v>
      </c>
      <c r="D74" s="17">
        <f>IF(INDEX(Data!$A$111:$J$114,MATCH($G$5,Data!$A$111:$A$114,0),2)=0,0,B74/INDEX(Data!$A$111:$J$114,MATCH($G$5,Data!$A$111:$A$114,0),2))</f>
        <v>4.6242774566473986E-2</v>
      </c>
      <c r="E74" s="16">
        <f>B74</f>
        <v>16</v>
      </c>
      <c r="F74" s="48"/>
      <c r="G74" s="6"/>
      <c r="H74" s="6"/>
      <c r="I74" s="6"/>
      <c r="J74" s="6"/>
      <c r="K74" s="6"/>
      <c r="L74" s="6"/>
      <c r="M74" s="6"/>
      <c r="N74" s="6"/>
    </row>
    <row r="75" spans="1:14" ht="19.5" customHeight="1" x14ac:dyDescent="0.2">
      <c r="A75" s="19" t="s">
        <v>37</v>
      </c>
      <c r="B75" s="20">
        <f>INDEX(Data!$A$88:$N$91,MATCH($G$5,Data!$A$88:$A$91,0),3)</f>
        <v>14</v>
      </c>
      <c r="C75" s="21">
        <f>IF(INDEX(Data!$A$111:$J$114,MATCH($G$5,Data!$A$111:$A$114,0),3)=0,0,B75/INDEX(Data!$A$111:$J$114,MATCH($G$5,Data!$A$111:$A$114,0),3))</f>
        <v>0.14141414141414141</v>
      </c>
      <c r="D75" s="21">
        <f>IF(INDEX(Data!$A$111:$J$114,MATCH($G$5,Data!$A$111:$A$114,0),2)=0,0,B75/INDEX(Data!$A$111:$J$114,MATCH($G$5,Data!$A$111:$A$114,0),2))</f>
        <v>4.046242774566474E-2</v>
      </c>
      <c r="E75" s="20">
        <f t="shared" ref="E75:E85" si="1">E74+B75</f>
        <v>30</v>
      </c>
      <c r="F75" s="48"/>
      <c r="G75" s="6"/>
      <c r="H75" s="6"/>
      <c r="I75" s="6"/>
      <c r="J75" s="6"/>
      <c r="K75" s="6"/>
      <c r="L75" s="6"/>
      <c r="M75" s="6"/>
      <c r="N75" s="6"/>
    </row>
    <row r="76" spans="1:14" ht="19.5" customHeight="1" x14ac:dyDescent="0.2">
      <c r="A76" s="15" t="s">
        <v>39</v>
      </c>
      <c r="B76" s="16">
        <f>INDEX(Data!$A$88:$N$91,MATCH($G$5,Data!$A$88:$A$91,0),4)</f>
        <v>12</v>
      </c>
      <c r="C76" s="17">
        <f>IF(INDEX(Data!$A$111:$J$114,MATCH($G$5,Data!$A$111:$A$114,0),3)=0,0,B76/INDEX(Data!$A$111:$J$114,MATCH($G$5,Data!$A$111:$A$114,0),3))</f>
        <v>0.12121212121212122</v>
      </c>
      <c r="D76" s="17">
        <f>IF(INDEX(Data!$A$111:$J$114,MATCH($G$5,Data!$A$111:$A$114,0),2)=0,0,B76/INDEX(Data!$A$111:$J$114,MATCH($G$5,Data!$A$111:$A$114,0),2))</f>
        <v>3.4682080924855488E-2</v>
      </c>
      <c r="E76" s="16">
        <f t="shared" si="1"/>
        <v>42</v>
      </c>
      <c r="F76" s="48"/>
      <c r="G76" s="6"/>
      <c r="H76" s="6"/>
      <c r="I76" s="6"/>
      <c r="J76" s="6"/>
      <c r="K76" s="6"/>
      <c r="L76" s="6"/>
      <c r="M76" s="6"/>
      <c r="N76" s="6"/>
    </row>
    <row r="77" spans="1:14" ht="19.5" customHeight="1" x14ac:dyDescent="0.2">
      <c r="A77" s="19" t="s">
        <v>41</v>
      </c>
      <c r="B77" s="20">
        <f>INDEX(Data!$A$88:$N$91,MATCH($G$5,Data!$A$88:$A$91,0),5)</f>
        <v>13</v>
      </c>
      <c r="C77" s="21">
        <f>IF(INDEX(Data!$A$111:$J$114,MATCH($G$5,Data!$A$111:$A$114,0),3)=0,0,B77/INDEX(Data!$A$111:$J$114,MATCH($G$5,Data!$A$111:$A$114,0),3))</f>
        <v>0.13131313131313133</v>
      </c>
      <c r="D77" s="21">
        <f>IF(INDEX(Data!$A$111:$J$114,MATCH($G$5,Data!$A$111:$A$114,0),2)=0,0,B77/INDEX(Data!$A$111:$J$114,MATCH($G$5,Data!$A$111:$A$114,0),2))</f>
        <v>3.7572254335260118E-2</v>
      </c>
      <c r="E77" s="20">
        <f t="shared" si="1"/>
        <v>55</v>
      </c>
      <c r="F77" s="48"/>
      <c r="G77" s="6"/>
      <c r="H77" s="6"/>
      <c r="I77" s="6"/>
      <c r="J77" s="6"/>
      <c r="K77" s="6"/>
      <c r="L77" s="6"/>
      <c r="M77" s="6"/>
      <c r="N77" s="6"/>
    </row>
    <row r="78" spans="1:14" ht="19.5" customHeight="1" x14ac:dyDescent="0.2">
      <c r="A78" s="15" t="s">
        <v>43</v>
      </c>
      <c r="B78" s="16">
        <f>INDEX(Data!$A$88:$N$91,MATCH($G$5,Data!$A$88:$A$91,0),6)</f>
        <v>9</v>
      </c>
      <c r="C78" s="17">
        <f>IF(INDEX(Data!$A$111:$J$114,MATCH($G$5,Data!$A$111:$A$114,0),3)=0,0,B78/INDEX(Data!$A$111:$J$114,MATCH($G$5,Data!$A$111:$A$114,0),3))</f>
        <v>9.0909090909090912E-2</v>
      </c>
      <c r="D78" s="17">
        <f>IF(INDEX(Data!$A$111:$J$114,MATCH($G$5,Data!$A$111:$A$114,0),2)=0,0,B78/INDEX(Data!$A$111:$J$114,MATCH($G$5,Data!$A$111:$A$114,0),2))</f>
        <v>2.6011560693641619E-2</v>
      </c>
      <c r="E78" s="16">
        <f t="shared" si="1"/>
        <v>64</v>
      </c>
      <c r="F78" s="48"/>
      <c r="G78" s="6"/>
      <c r="H78" s="6"/>
      <c r="I78" s="6"/>
      <c r="J78" s="6"/>
      <c r="K78" s="6"/>
      <c r="L78" s="6"/>
      <c r="M78" s="6"/>
      <c r="N78" s="6"/>
    </row>
    <row r="79" spans="1:14" ht="19.5" customHeight="1" x14ac:dyDescent="0.2">
      <c r="A79" s="19" t="s">
        <v>45</v>
      </c>
      <c r="B79" s="20">
        <f>INDEX(Data!$A$88:$N$91,MATCH($G$5,Data!$A$88:$A$91,0),7)</f>
        <v>5</v>
      </c>
      <c r="C79" s="21">
        <f>IF(INDEX(Data!$A$111:$J$114,MATCH($G$5,Data!$A$111:$A$114,0),3)=0,0,B79/INDEX(Data!$A$111:$J$114,MATCH($G$5,Data!$A$111:$A$114,0),3))</f>
        <v>5.0505050505050504E-2</v>
      </c>
      <c r="D79" s="21">
        <f>IF(INDEX(Data!$A$111:$J$114,MATCH($G$5,Data!$A$111:$A$114,0),2)=0,0,B79/INDEX(Data!$A$111:$J$114,MATCH($G$5,Data!$A$111:$A$114,0),2))</f>
        <v>1.4450867052023121E-2</v>
      </c>
      <c r="E79" s="20">
        <f t="shared" si="1"/>
        <v>69</v>
      </c>
      <c r="F79" s="48"/>
      <c r="G79" s="6"/>
      <c r="H79" s="6"/>
      <c r="I79" s="6"/>
      <c r="J79" s="6"/>
      <c r="K79" s="6"/>
      <c r="L79" s="6"/>
      <c r="M79" s="6"/>
      <c r="N79" s="6"/>
    </row>
    <row r="80" spans="1:14" ht="19.5" customHeight="1" x14ac:dyDescent="0.2">
      <c r="A80" s="49" t="s">
        <v>23</v>
      </c>
      <c r="B80" s="50">
        <f>INDEX(Data!$A$88:$N$91,MATCH($G$5,Data!$A$88:$A$91,0),8)</f>
        <v>8</v>
      </c>
      <c r="C80" s="51">
        <f>IF(INDEX(Data!$A$111:$J$114,MATCH($G$5,Data!$A$111:$A$114,0),3)=0,0,B80/INDEX(Data!$A$111:$J$114,MATCH($G$5,Data!$A$111:$A$114,0),3))</f>
        <v>8.0808080808080815E-2</v>
      </c>
      <c r="D80" s="51">
        <f>IF(INDEX(Data!$A$111:$J$114,MATCH($G$5,Data!$A$111:$A$114,0),2)=0,0,B80/INDEX(Data!$A$111:$J$114,MATCH($G$5,Data!$A$111:$A$114,0),2))</f>
        <v>2.3121387283236993E-2</v>
      </c>
      <c r="E80" s="50">
        <f t="shared" si="1"/>
        <v>77</v>
      </c>
      <c r="F80" s="48"/>
      <c r="G80" s="6"/>
      <c r="H80" s="6"/>
      <c r="I80" s="6"/>
      <c r="J80" s="6"/>
      <c r="K80" s="6"/>
      <c r="L80" s="6"/>
      <c r="M80" s="6"/>
      <c r="N80" s="6"/>
    </row>
    <row r="81" spans="1:14" ht="19.5" customHeight="1" x14ac:dyDescent="0.2">
      <c r="A81" s="19" t="s">
        <v>25</v>
      </c>
      <c r="B81" s="20">
        <f>INDEX(Data!$A$88:$N$91,MATCH($G$5,Data!$A$88:$A$91,0),9)</f>
        <v>10</v>
      </c>
      <c r="C81" s="21">
        <f>IF(INDEX(Data!$A$111:$J$114,MATCH($G$5,Data!$A$111:$A$114,0),3)=0,0,B81/INDEX(Data!$A$111:$J$114,MATCH($G$5,Data!$A$111:$A$114,0),3))</f>
        <v>0.10101010101010101</v>
      </c>
      <c r="D81" s="21">
        <f>IF(INDEX(Data!$A$111:$J$114,MATCH($G$5,Data!$A$111:$A$114,0),2)=0,0,B81/INDEX(Data!$A$111:$J$114,MATCH($G$5,Data!$A$111:$A$114,0),2))</f>
        <v>2.8901734104046242E-2</v>
      </c>
      <c r="E81" s="20">
        <f t="shared" si="1"/>
        <v>87</v>
      </c>
      <c r="F81" s="48"/>
      <c r="G81" s="6"/>
      <c r="H81" s="6"/>
      <c r="I81" s="6"/>
      <c r="J81" s="6"/>
      <c r="K81" s="6"/>
      <c r="L81" s="6"/>
      <c r="M81" s="6"/>
      <c r="N81" s="6"/>
    </row>
    <row r="82" spans="1:14" ht="19.5" customHeight="1" x14ac:dyDescent="0.2">
      <c r="A82" s="15" t="s">
        <v>27</v>
      </c>
      <c r="B82" s="16">
        <f>INDEX(Data!$A$88:$N$91,MATCH($G$5,Data!$A$88:$A$91,0),10)</f>
        <v>10</v>
      </c>
      <c r="C82" s="17">
        <f>IF(INDEX(Data!$A$111:$J$114,MATCH($G$5,Data!$A$111:$A$114,0),3)=0,0,B82/INDEX(Data!$A$111:$J$114,MATCH($G$5,Data!$A$111:$A$114,0),3))</f>
        <v>0.10101010101010101</v>
      </c>
      <c r="D82" s="17">
        <f>IF(INDEX(Data!$A$111:$J$114,MATCH($G$5,Data!$A$111:$A$114,0),2)=0,0,B82/INDEX(Data!$A$111:$J$114,MATCH($G$5,Data!$A$111:$A$114,0),2))</f>
        <v>2.8901734104046242E-2</v>
      </c>
      <c r="E82" s="16">
        <f t="shared" si="1"/>
        <v>97</v>
      </c>
      <c r="F82" s="48"/>
      <c r="G82" s="6"/>
      <c r="H82" s="6"/>
      <c r="I82" s="6"/>
      <c r="J82" s="6"/>
      <c r="K82" s="6"/>
      <c r="L82" s="6"/>
      <c r="M82" s="6"/>
      <c r="N82" s="6"/>
    </row>
    <row r="83" spans="1:14" ht="19.5" customHeight="1" x14ac:dyDescent="0.2">
      <c r="A83" s="19" t="s">
        <v>29</v>
      </c>
      <c r="B83" s="20">
        <f>INDEX(Data!$A$88:$N$91,MATCH($G$5,Data!$A$88:$A$91,0),11)</f>
        <v>2</v>
      </c>
      <c r="C83" s="21">
        <f>IF(INDEX(Data!$A$111:$J$114,MATCH($G$5,Data!$A$111:$A$114,0),3)=0,0,B83/INDEX(Data!$A$111:$J$114,MATCH($G$5,Data!$A$111:$A$114,0),3))</f>
        <v>2.0202020202020204E-2</v>
      </c>
      <c r="D83" s="21">
        <f>IF(INDEX(Data!$A$111:$J$114,MATCH($G$5,Data!$A$111:$A$114,0),2)=0,0,B83/INDEX(Data!$A$111:$J$114,MATCH($G$5,Data!$A$111:$A$114,0),2))</f>
        <v>5.7803468208092483E-3</v>
      </c>
      <c r="E83" s="20">
        <f t="shared" si="1"/>
        <v>99</v>
      </c>
      <c r="F83" s="48"/>
      <c r="G83" s="6"/>
      <c r="H83" s="6"/>
      <c r="I83" s="6"/>
      <c r="J83" s="6"/>
      <c r="K83" s="6"/>
      <c r="L83" s="6"/>
      <c r="M83" s="6"/>
      <c r="N83" s="6"/>
    </row>
    <row r="84" spans="1:14" ht="19.5" customHeight="1" x14ac:dyDescent="0.2">
      <c r="A84" s="15" t="s">
        <v>31</v>
      </c>
      <c r="B84" s="16">
        <f>INDEX(Data!$A$88:$N$91,MATCH($G$5,Data!$A$88:$A$91,0),12)</f>
        <v>0</v>
      </c>
      <c r="C84" s="17">
        <f>IF(INDEX(Data!$A$111:$J$114,MATCH($G$5,Data!$A$111:$A$114,0),3)=0,0,B84/INDEX(Data!$A$111:$J$114,MATCH($G$5,Data!$A$111:$A$114,0),3))</f>
        <v>0</v>
      </c>
      <c r="D84" s="17">
        <f>IF(INDEX(Data!$A$111:$J$114,MATCH($G$5,Data!$A$111:$A$114,0),2)=0,0,B84/INDEX(Data!$A$111:$J$114,MATCH($G$5,Data!$A$111:$A$114,0),2))</f>
        <v>0</v>
      </c>
      <c r="E84" s="16">
        <f t="shared" si="1"/>
        <v>99</v>
      </c>
      <c r="F84" s="48"/>
      <c r="G84" s="6"/>
      <c r="H84" s="6"/>
      <c r="I84" s="6"/>
      <c r="J84" s="6"/>
      <c r="K84" s="6"/>
      <c r="L84" s="6"/>
      <c r="M84" s="6"/>
      <c r="N84" s="6"/>
    </row>
    <row r="85" spans="1:14" ht="19.5" customHeight="1" x14ac:dyDescent="0.2">
      <c r="A85" s="19" t="s">
        <v>33</v>
      </c>
      <c r="B85" s="20">
        <f>INDEX(Data!$A$88:$N$91,MATCH($G$5,Data!$A$88:$A$91,0),13)</f>
        <v>0</v>
      </c>
      <c r="C85" s="21">
        <f>IF(INDEX(Data!$A$111:$J$114,MATCH($G$5,Data!$A$111:$A$114,0),3)=0,0,B85/INDEX(Data!$A$111:$J$114,MATCH($G$5,Data!$A$111:$A$114,0),3))</f>
        <v>0</v>
      </c>
      <c r="D85" s="21">
        <f>IF(INDEX(Data!$A$111:$J$114,MATCH($G$5,Data!$A$111:$A$114,0),2)=0,0,B85/INDEX(Data!$A$111:$J$114,MATCH($G$5,Data!$A$111:$A$114,0),2))</f>
        <v>0</v>
      </c>
      <c r="E85" s="20">
        <f t="shared" si="1"/>
        <v>99</v>
      </c>
      <c r="F85" s="48"/>
      <c r="G85" s="6"/>
      <c r="H85" s="6"/>
      <c r="I85" s="6"/>
      <c r="J85" s="6"/>
      <c r="K85" s="6"/>
      <c r="L85" s="6"/>
      <c r="M85" s="6"/>
      <c r="N85" s="6"/>
    </row>
    <row r="86" spans="1:14" ht="9.75" customHeight="1" x14ac:dyDescent="0.2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6"/>
      <c r="L86" s="6"/>
      <c r="M86" s="6"/>
      <c r="N86" s="6"/>
    </row>
    <row r="87" spans="1:14" ht="27.75" customHeight="1" x14ac:dyDescent="0.2">
      <c r="A87" s="1" t="s">
        <v>114</v>
      </c>
      <c r="B87" s="1"/>
      <c r="C87" s="1"/>
      <c r="D87" s="1"/>
      <c r="E87" s="1"/>
      <c r="F87" s="1"/>
      <c r="G87" s="1"/>
      <c r="H87" s="1"/>
      <c r="I87" s="1"/>
      <c r="J87" s="1"/>
      <c r="K87" s="6"/>
      <c r="L87" s="6"/>
      <c r="M87" s="6"/>
      <c r="N87" s="6"/>
    </row>
    <row r="88" spans="1:14" ht="19.5" customHeight="1" x14ac:dyDescent="0.2">
      <c r="A88" s="53" t="s">
        <v>115</v>
      </c>
      <c r="B88" s="54"/>
      <c r="C88" s="53" t="s">
        <v>10</v>
      </c>
      <c r="D88" s="54"/>
      <c r="E88" s="53" t="s">
        <v>11</v>
      </c>
      <c r="F88" s="54"/>
      <c r="G88" s="53" t="s">
        <v>116</v>
      </c>
      <c r="H88" s="54"/>
      <c r="I88" s="53" t="s">
        <v>117</v>
      </c>
      <c r="J88" s="54"/>
      <c r="K88" s="6"/>
      <c r="L88" s="6"/>
      <c r="M88" s="6"/>
      <c r="N88" s="6"/>
    </row>
    <row r="89" spans="1:14" ht="36" customHeight="1" x14ac:dyDescent="0.2">
      <c r="A89" s="55">
        <f>INDEX(Data!$A$111:$J$114,MATCH($G$5,Data!$A$111:$A$114,0),3)</f>
        <v>99</v>
      </c>
      <c r="B89" s="54"/>
      <c r="C89" s="56">
        <f>INDEX(Data!$A$111:$J$114,MATCH($G$5,Data!$A$111:$A$114,0),4)</f>
        <v>0.28612716763005802</v>
      </c>
      <c r="D89" s="54"/>
      <c r="E89" s="56">
        <f>INDEX(Data!$A$111:$J$114,MATCH($G$5,Data!$A$111:$A$114,0),9)</f>
        <v>0.78787878787878796</v>
      </c>
      <c r="F89" s="54"/>
      <c r="G89" s="57">
        <f>INDEX(Data!$A$111:$J$114,MATCH($G$5,Data!$A$111:$A$114,0),5)</f>
        <v>8.25</v>
      </c>
      <c r="H89" s="54"/>
      <c r="I89" s="56">
        <f>INDEX(Data!$A$111:$J$114,MATCH($G$5,Data!$A$111:$A$114,0),10)</f>
        <v>0.30612244897959201</v>
      </c>
      <c r="J89" s="54"/>
      <c r="K89" s="6"/>
      <c r="L89" s="6"/>
      <c r="M89" s="6"/>
      <c r="N89" s="6"/>
    </row>
    <row r="90" spans="1:14" ht="15.75" customHeight="1" x14ac:dyDescent="0.2">
      <c r="A90" s="58" t="str">
        <f>INDEX(Data!$A$111:$J$114,MATCH($G$5,Data!$A$111:$A$114,0),6)&amp;" voluntary / "&amp;INDEX(Data!$A$111:$J$114,MATCH($G$5,Data!$A$111:$A$114,0),7)&amp;" involuntary"</f>
        <v>78 voluntary / 4 involuntary</v>
      </c>
      <c r="B90" s="54"/>
      <c r="C90" s="59"/>
      <c r="D90" s="54"/>
      <c r="E90" s="60" t="str">
        <f>"Active employees: "&amp;INDEX(Data!$A$111:$J$114,MATCH($G$5,Data!$A$111:$A$114,0),2)</f>
        <v>Active employees: 346</v>
      </c>
      <c r="F90" s="54"/>
      <c r="G90" s="61" t="str">
        <f>"Avg "&amp;TEXT(INDEX(Data!$A$111:$J$114,MATCH($G$5,Data!$A$111:$A$114,0),5),"0.0")&amp;"/month"</f>
        <v>Avg 8.3/month</v>
      </c>
      <c r="H90" s="54"/>
      <c r="I90" s="59"/>
      <c r="J90" s="54"/>
      <c r="K90" s="6"/>
      <c r="L90" s="6"/>
      <c r="M90" s="6"/>
      <c r="N90" s="6"/>
    </row>
    <row r="91" spans="1:14" ht="7.5" customHeight="1" x14ac:dyDescent="0.2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6"/>
      <c r="L91" s="6"/>
      <c r="M91" s="6"/>
      <c r="N91" s="6"/>
    </row>
    <row r="92" spans="1:14" ht="7.5" customHeight="1" x14ac:dyDescent="0.2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6"/>
      <c r="L92" s="6"/>
      <c r="M92" s="6"/>
      <c r="N92" s="6"/>
    </row>
    <row r="93" spans="1:14" ht="27.75" customHeight="1" x14ac:dyDescent="0.2">
      <c r="A93" s="1" t="s">
        <v>118</v>
      </c>
      <c r="B93" s="1"/>
      <c r="C93" s="1"/>
      <c r="D93" s="1"/>
      <c r="E93" s="13"/>
      <c r="F93" s="1" t="s">
        <v>119</v>
      </c>
      <c r="G93" s="1"/>
      <c r="H93" s="1"/>
      <c r="I93" s="1"/>
      <c r="J93" s="1"/>
      <c r="K93" s="6"/>
      <c r="L93" s="6"/>
      <c r="M93" s="6"/>
      <c r="N93" s="6"/>
    </row>
    <row r="94" spans="1:14" ht="24" customHeight="1" x14ac:dyDescent="0.2">
      <c r="A94" s="14" t="s">
        <v>20</v>
      </c>
      <c r="B94" s="14" t="s">
        <v>21</v>
      </c>
      <c r="C94" s="14" t="s">
        <v>22</v>
      </c>
      <c r="D94" s="14" t="s">
        <v>18</v>
      </c>
      <c r="E94" s="13"/>
      <c r="F94" s="14" t="s">
        <v>50</v>
      </c>
      <c r="G94" s="14" t="s">
        <v>21</v>
      </c>
      <c r="H94" s="14" t="s">
        <v>22</v>
      </c>
      <c r="I94" s="14" t="s">
        <v>51</v>
      </c>
      <c r="J94" s="6"/>
      <c r="K94" s="6"/>
      <c r="L94" s="6"/>
      <c r="M94" s="6"/>
      <c r="N94" s="6"/>
    </row>
    <row r="95" spans="1:14" ht="21.75" customHeight="1" x14ac:dyDescent="0.2">
      <c r="A95" s="18" t="s">
        <v>24</v>
      </c>
      <c r="B95" s="18"/>
      <c r="C95" s="18"/>
      <c r="D95" s="18"/>
      <c r="E95" s="13"/>
      <c r="F95" s="15" t="s">
        <v>53</v>
      </c>
      <c r="G95" s="16">
        <f>INDEX(Data!$A$176:$G$187,MATCH(F95,Data!$A$176:$A$187,0),MATCH($G$5,Data!$C$175:$F$175,0)+2)</f>
        <v>64</v>
      </c>
      <c r="H95" s="17">
        <f>IF(INDEX(Data!$A$111:$J$114,MATCH($G$5,Data!$A$111:$A$114,0),3)=0,0,G95/INDEX(Data!$A$111:$J$114,MATCH($G$5,Data!$A$111:$A$114,0),3))</f>
        <v>0.64646464646464652</v>
      </c>
      <c r="I95" s="16" t="s">
        <v>54</v>
      </c>
      <c r="J95" s="6"/>
      <c r="K95" s="6"/>
      <c r="L95" s="6"/>
      <c r="M95" s="6"/>
      <c r="N95" s="6"/>
    </row>
    <row r="96" spans="1:14" ht="19.5" customHeight="1" x14ac:dyDescent="0.2">
      <c r="A96" s="16" t="str">
        <f>Data!A136</f>
        <v>President</v>
      </c>
      <c r="B96" s="16">
        <f>INDEX(Data!$A$136:$F$167,MATCH(A96,Data!$A$136:$A$167,0),MATCH($G$5,Data!$B$135:$E$135,0)+1)</f>
        <v>0</v>
      </c>
      <c r="C96" s="17">
        <f>IF(INDEX(Data!$A$111:$J$114,MATCH($G$5,Data!$A$111:$A$114,0),3)=0,0,B96/INDEX(Data!$A$111:$J$114,MATCH($G$5,Data!$A$111:$A$114,0),3))</f>
        <v>0</v>
      </c>
      <c r="D96" s="17">
        <f>IF(INDEX(Data!$A$111:$J$114,MATCH($G$5,Data!$A$111:$A$114,0),2)=0,0,B96/INDEX(Data!$A$111:$J$114,MATCH($G$5,Data!$A$111:$A$114,0),2))</f>
        <v>0</v>
      </c>
      <c r="E96" s="13"/>
      <c r="F96" s="19" t="s">
        <v>56</v>
      </c>
      <c r="G96" s="20">
        <f>INDEX(Data!$A$176:$G$187,MATCH(F96,Data!$A$176:$A$187,0),MATCH($G$5,Data!$C$175:$F$175,0)+2)</f>
        <v>6</v>
      </c>
      <c r="H96" s="21">
        <f>IF(INDEX(Data!$A$111:$J$114,MATCH($G$5,Data!$A$111:$A$114,0),3)=0,0,G96/INDEX(Data!$A$111:$J$114,MATCH($G$5,Data!$A$111:$A$114,0),3))</f>
        <v>6.0606060606060608E-2</v>
      </c>
      <c r="I96" s="20" t="s">
        <v>54</v>
      </c>
      <c r="J96" s="6"/>
      <c r="K96" s="6"/>
      <c r="L96" s="6"/>
      <c r="M96" s="6"/>
      <c r="N96" s="6"/>
    </row>
    <row r="97" spans="1:14" ht="19.5" customHeight="1" x14ac:dyDescent="0.2">
      <c r="A97" s="20" t="str">
        <f>Data!A137</f>
        <v>VP of Operations</v>
      </c>
      <c r="B97" s="20">
        <f>INDEX(Data!$A$136:$F$167,MATCH(A97,Data!$A$136:$A$167,0),MATCH($G$5,Data!$B$135:$E$135,0)+1)</f>
        <v>0</v>
      </c>
      <c r="C97" s="21">
        <f>IF(INDEX(Data!$A$111:$J$114,MATCH($G$5,Data!$A$111:$A$114,0),3)=0,0,B97/INDEX(Data!$A$111:$J$114,MATCH($G$5,Data!$A$111:$A$114,0),3))</f>
        <v>0</v>
      </c>
      <c r="D97" s="21">
        <f>IF(INDEX(Data!$A$111:$J$114,MATCH($G$5,Data!$A$111:$A$114,0),2)=0,0,B97/INDEX(Data!$A$111:$J$114,MATCH($G$5,Data!$A$111:$A$114,0),2))</f>
        <v>0</v>
      </c>
      <c r="E97" s="13"/>
      <c r="F97" s="15" t="s">
        <v>58</v>
      </c>
      <c r="G97" s="16">
        <f>INDEX(Data!$A$176:$G$187,MATCH(F97,Data!$A$176:$A$187,0),MATCH($G$5,Data!$C$175:$F$175,0)+2)</f>
        <v>7</v>
      </c>
      <c r="H97" s="17">
        <f>IF(INDEX(Data!$A$111:$J$114,MATCH($G$5,Data!$A$111:$A$114,0),3)=0,0,G97/INDEX(Data!$A$111:$J$114,MATCH($G$5,Data!$A$111:$A$114,0),3))</f>
        <v>7.0707070707070704E-2</v>
      </c>
      <c r="I97" s="16" t="s">
        <v>54</v>
      </c>
      <c r="J97" s="6"/>
      <c r="K97" s="6"/>
      <c r="L97" s="6"/>
      <c r="M97" s="6"/>
      <c r="N97" s="6"/>
    </row>
    <row r="98" spans="1:14" ht="19.5" customHeight="1" x14ac:dyDescent="0.2">
      <c r="A98" s="16" t="str">
        <f>Data!A138</f>
        <v>VP of Children Services</v>
      </c>
      <c r="B98" s="16">
        <f>INDEX(Data!$A$136:$F$167,MATCH(A98,Data!$A$136:$A$167,0),MATCH($G$5,Data!$B$135:$E$135,0)+1)</f>
        <v>0</v>
      </c>
      <c r="C98" s="17">
        <f>IF(INDEX(Data!$A$111:$J$114,MATCH($G$5,Data!$A$111:$A$114,0),3)=0,0,B98/INDEX(Data!$A$111:$J$114,MATCH($G$5,Data!$A$111:$A$114,0),3))</f>
        <v>0</v>
      </c>
      <c r="D98" s="17">
        <f>IF(INDEX(Data!$A$111:$J$114,MATCH($G$5,Data!$A$111:$A$114,0),2)=0,0,B98/INDEX(Data!$A$111:$J$114,MATCH($G$5,Data!$A$111:$A$114,0),2))</f>
        <v>0</v>
      </c>
      <c r="E98" s="13"/>
      <c r="F98" s="19" t="s">
        <v>60</v>
      </c>
      <c r="G98" s="20">
        <f>INDEX(Data!$A$176:$G$187,MATCH(F98,Data!$A$176:$A$187,0),MATCH($G$5,Data!$C$175:$F$175,0)+2)</f>
        <v>1</v>
      </c>
      <c r="H98" s="21">
        <f>IF(INDEX(Data!$A$111:$J$114,MATCH($G$5,Data!$A$111:$A$114,0),3)=0,0,G98/INDEX(Data!$A$111:$J$114,MATCH($G$5,Data!$A$111:$A$114,0),3))</f>
        <v>1.0101010101010102E-2</v>
      </c>
      <c r="I98" s="20" t="s">
        <v>54</v>
      </c>
      <c r="J98" s="6"/>
      <c r="K98" s="6"/>
      <c r="L98" s="6"/>
      <c r="M98" s="6"/>
      <c r="N98" s="6"/>
    </row>
    <row r="99" spans="1:14" ht="19.5" customHeight="1" x14ac:dyDescent="0.2">
      <c r="A99" s="20" t="str">
        <f>Data!A139</f>
        <v>VP of Professional Services</v>
      </c>
      <c r="B99" s="20">
        <f>INDEX(Data!$A$136:$F$167,MATCH(A99,Data!$A$136:$A$167,0),MATCH($G$5,Data!$B$135:$E$135,0)+1)</f>
        <v>0</v>
      </c>
      <c r="C99" s="21">
        <f>IF(INDEX(Data!$A$111:$J$114,MATCH($G$5,Data!$A$111:$A$114,0),3)=0,0,B99/INDEX(Data!$A$111:$J$114,MATCH($G$5,Data!$A$111:$A$114,0),3))</f>
        <v>0</v>
      </c>
      <c r="D99" s="21">
        <f>IF(INDEX(Data!$A$111:$J$114,MATCH($G$5,Data!$A$111:$A$114,0),2)=0,0,B99/INDEX(Data!$A$111:$J$114,MATCH($G$5,Data!$A$111:$A$114,0),2))</f>
        <v>0</v>
      </c>
      <c r="E99" s="13"/>
      <c r="F99" s="15" t="s">
        <v>62</v>
      </c>
      <c r="G99" s="16">
        <f>INDEX(Data!$A$176:$G$187,MATCH(F99,Data!$A$176:$A$187,0),MATCH($G$5,Data!$C$175:$F$175,0)+2)</f>
        <v>0</v>
      </c>
      <c r="H99" s="17">
        <f>IF(INDEX(Data!$A$111:$J$114,MATCH($G$5,Data!$A$111:$A$114,0),3)=0,0,G99/INDEX(Data!$A$111:$J$114,MATCH($G$5,Data!$A$111:$A$114,0),3))</f>
        <v>0</v>
      </c>
      <c r="I99" s="16" t="s">
        <v>54</v>
      </c>
      <c r="J99" s="6"/>
      <c r="K99" s="6"/>
      <c r="L99" s="6"/>
      <c r="M99" s="6"/>
      <c r="N99" s="6"/>
    </row>
    <row r="100" spans="1:14" ht="19.5" customHeight="1" x14ac:dyDescent="0.2">
      <c r="A100" s="16" t="str">
        <f>Data!A140</f>
        <v>VP of Behavioral Health</v>
      </c>
      <c r="B100" s="16">
        <f>INDEX(Data!$A$136:$F$167,MATCH(A100,Data!$A$136:$A$167,0),MATCH($G$5,Data!$B$135:$E$135,0)+1)</f>
        <v>0</v>
      </c>
      <c r="C100" s="17">
        <f>IF(INDEX(Data!$A$111:$J$114,MATCH($G$5,Data!$A$111:$A$114,0),3)=0,0,B100/INDEX(Data!$A$111:$J$114,MATCH($G$5,Data!$A$111:$A$114,0),3))</f>
        <v>0</v>
      </c>
      <c r="D100" s="17">
        <f>IF(INDEX(Data!$A$111:$J$114,MATCH($G$5,Data!$A$111:$A$114,0),2)=0,0,B100/INDEX(Data!$A$111:$J$114,MATCH($G$5,Data!$A$111:$A$114,0),2))</f>
        <v>0</v>
      </c>
      <c r="E100" s="13"/>
      <c r="F100" s="19" t="s">
        <v>64</v>
      </c>
      <c r="G100" s="20">
        <f>INDEX(Data!$A$176:$G$187,MATCH(F100,Data!$A$176:$A$187,0),MATCH($G$5,Data!$C$175:$F$175,0)+2)</f>
        <v>4</v>
      </c>
      <c r="H100" s="21">
        <f>IF(INDEX(Data!$A$111:$J$114,MATCH($G$5,Data!$A$111:$A$114,0),3)=0,0,G100/INDEX(Data!$A$111:$J$114,MATCH($G$5,Data!$A$111:$A$114,0),3))</f>
        <v>4.0404040404040407E-2</v>
      </c>
      <c r="I100" s="20" t="s">
        <v>65</v>
      </c>
      <c r="J100" s="6"/>
      <c r="K100" s="6"/>
      <c r="L100" s="6"/>
      <c r="M100" s="6"/>
      <c r="N100" s="6"/>
    </row>
    <row r="101" spans="1:14" ht="19.5" customHeight="1" x14ac:dyDescent="0.2">
      <c r="A101" s="20" t="str">
        <f>Data!A141</f>
        <v>VP of Human Resources</v>
      </c>
      <c r="B101" s="20">
        <f>INDEX(Data!$A$136:$F$167,MATCH(A101,Data!$A$136:$A$167,0),MATCH($G$5,Data!$B$135:$E$135,0)+1)</f>
        <v>0</v>
      </c>
      <c r="C101" s="21">
        <f>IF(INDEX(Data!$A$111:$J$114,MATCH($G$5,Data!$A$111:$A$114,0),3)=0,0,B101/INDEX(Data!$A$111:$J$114,MATCH($G$5,Data!$A$111:$A$114,0),3))</f>
        <v>0</v>
      </c>
      <c r="D101" s="21">
        <f>IF(INDEX(Data!$A$111:$J$114,MATCH($G$5,Data!$A$111:$A$114,0),2)=0,0,B101/INDEX(Data!$A$111:$J$114,MATCH($G$5,Data!$A$111:$A$114,0),2))</f>
        <v>0</v>
      </c>
      <c r="E101" s="13"/>
      <c r="F101" s="15" t="s">
        <v>67</v>
      </c>
      <c r="G101" s="16">
        <f>INDEX(Data!$A$176:$G$187,MATCH(F101,Data!$A$176:$A$187,0),MATCH($G$5,Data!$C$175:$F$175,0)+2)</f>
        <v>0</v>
      </c>
      <c r="H101" s="17">
        <f>IF(INDEX(Data!$A$111:$J$114,MATCH($G$5,Data!$A$111:$A$114,0),3)=0,0,G101/INDEX(Data!$A$111:$J$114,MATCH($G$5,Data!$A$111:$A$114,0),3))</f>
        <v>0</v>
      </c>
      <c r="I101" s="16" t="s">
        <v>65</v>
      </c>
      <c r="J101" s="6"/>
      <c r="K101" s="6"/>
      <c r="L101" s="6"/>
      <c r="M101" s="6"/>
      <c r="N101" s="6"/>
    </row>
    <row r="102" spans="1:14" ht="19.5" customHeight="1" x14ac:dyDescent="0.2">
      <c r="A102" s="16" t="str">
        <f>Data!A142</f>
        <v>VP of Employment Services</v>
      </c>
      <c r="B102" s="16">
        <f>INDEX(Data!$A$136:$F$167,MATCH(A102,Data!$A$136:$A$167,0),MATCH($G$5,Data!$B$135:$E$135,0)+1)</f>
        <v>0</v>
      </c>
      <c r="C102" s="17">
        <f>IF(INDEX(Data!$A$111:$J$114,MATCH($G$5,Data!$A$111:$A$114,0),3)=0,0,B102/INDEX(Data!$A$111:$J$114,MATCH($G$5,Data!$A$111:$A$114,0),3))</f>
        <v>0</v>
      </c>
      <c r="D102" s="17">
        <f>IF(INDEX(Data!$A$111:$J$114,MATCH($G$5,Data!$A$111:$A$114,0),2)=0,0,B102/INDEX(Data!$A$111:$J$114,MATCH($G$5,Data!$A$111:$A$114,0),2))</f>
        <v>0</v>
      </c>
      <c r="E102" s="13"/>
      <c r="F102" s="19" t="s">
        <v>69</v>
      </c>
      <c r="G102" s="20">
        <f>INDEX(Data!$A$176:$G$187,MATCH(F102,Data!$A$176:$A$187,0),MATCH($G$5,Data!$C$175:$F$175,0)+2)</f>
        <v>8</v>
      </c>
      <c r="H102" s="21">
        <f>IF(INDEX(Data!$A$111:$J$114,MATCH($G$5,Data!$A$111:$A$114,0),3)=0,0,G102/INDEX(Data!$A$111:$J$114,MATCH($G$5,Data!$A$111:$A$114,0),3))</f>
        <v>8.0808080808080815E-2</v>
      </c>
      <c r="I102" s="20" t="s">
        <v>70</v>
      </c>
      <c r="J102" s="6"/>
      <c r="K102" s="6"/>
      <c r="L102" s="6"/>
      <c r="M102" s="6"/>
      <c r="N102" s="6"/>
    </row>
    <row r="103" spans="1:14" ht="19.5" customHeight="1" x14ac:dyDescent="0.2">
      <c r="A103" s="20" t="str">
        <f>Data!A143</f>
        <v>VP of Family Support</v>
      </c>
      <c r="B103" s="20">
        <f>INDEX(Data!$A$136:$F$167,MATCH(A103,Data!$A$136:$A$167,0),MATCH($G$5,Data!$B$135:$E$135,0)+1)</f>
        <v>0</v>
      </c>
      <c r="C103" s="21">
        <f>IF(INDEX(Data!$A$111:$J$114,MATCH($G$5,Data!$A$111:$A$114,0),3)=0,0,B103/INDEX(Data!$A$111:$J$114,MATCH($G$5,Data!$A$111:$A$114,0),3))</f>
        <v>0</v>
      </c>
      <c r="D103" s="21">
        <f>IF(INDEX(Data!$A$111:$J$114,MATCH($G$5,Data!$A$111:$A$114,0),2)=0,0,B103/INDEX(Data!$A$111:$J$114,MATCH($G$5,Data!$A$111:$A$114,0),2))</f>
        <v>0</v>
      </c>
      <c r="E103" s="13"/>
      <c r="F103" s="15" t="s">
        <v>72</v>
      </c>
      <c r="G103" s="16">
        <f>INDEX(Data!$A$176:$G$187,MATCH(F103,Data!$A$176:$A$187,0),MATCH($G$5,Data!$C$175:$F$175,0)+2)</f>
        <v>1</v>
      </c>
      <c r="H103" s="17">
        <f>IF(INDEX(Data!$A$111:$J$114,MATCH($G$5,Data!$A$111:$A$114,0),3)=0,0,G103/INDEX(Data!$A$111:$J$114,MATCH($G$5,Data!$A$111:$A$114,0),3))</f>
        <v>1.0101010101010102E-2</v>
      </c>
      <c r="I103" s="16" t="s">
        <v>70</v>
      </c>
      <c r="J103" s="6"/>
      <c r="K103" s="6"/>
      <c r="L103" s="6"/>
      <c r="M103" s="6"/>
      <c r="N103" s="6"/>
    </row>
    <row r="104" spans="1:14" ht="19.5" customHeight="1" x14ac:dyDescent="0.2">
      <c r="A104" s="16" t="str">
        <f>Data!A144</f>
        <v>VP of Finance</v>
      </c>
      <c r="B104" s="16">
        <f>INDEX(Data!$A$136:$F$167,MATCH(A104,Data!$A$136:$A$167,0),MATCH($G$5,Data!$B$135:$E$135,0)+1)</f>
        <v>1</v>
      </c>
      <c r="C104" s="17">
        <f>IF(INDEX(Data!$A$111:$J$114,MATCH($G$5,Data!$A$111:$A$114,0),3)=0,0,B104/INDEX(Data!$A$111:$J$114,MATCH($G$5,Data!$A$111:$A$114,0),3))</f>
        <v>1.0101010101010102E-2</v>
      </c>
      <c r="D104" s="17">
        <f>IF(INDEX(Data!$A$111:$J$114,MATCH($G$5,Data!$A$111:$A$114,0),2)=0,0,B104/INDEX(Data!$A$111:$J$114,MATCH($G$5,Data!$A$111:$A$114,0),2))</f>
        <v>2.8901734104046241E-3</v>
      </c>
      <c r="E104" s="13"/>
      <c r="F104" s="19" t="s">
        <v>70</v>
      </c>
      <c r="G104" s="20">
        <f>INDEX(Data!$A$176:$G$187,MATCH(F104,Data!$A$176:$A$187,0),MATCH($G$5,Data!$C$175:$F$175,0)+2)</f>
        <v>6</v>
      </c>
      <c r="H104" s="21">
        <f>IF(INDEX(Data!$A$111:$J$114,MATCH($G$5,Data!$A$111:$A$114,0),3)=0,0,G104/INDEX(Data!$A$111:$J$114,MATCH($G$5,Data!$A$111:$A$114,0),3))</f>
        <v>6.0606060606060608E-2</v>
      </c>
      <c r="I104" s="20" t="s">
        <v>70</v>
      </c>
      <c r="J104" s="6"/>
      <c r="K104" s="6"/>
      <c r="L104" s="6"/>
      <c r="M104" s="6"/>
      <c r="N104" s="6"/>
    </row>
    <row r="105" spans="1:14" ht="19.5" customHeight="1" x14ac:dyDescent="0.2">
      <c r="A105" s="20" t="str">
        <f>Data!A145</f>
        <v>Director of Operations</v>
      </c>
      <c r="B105" s="20">
        <f>INDEX(Data!$A$136:$F$167,MATCH(A105,Data!$A$136:$A$167,0),MATCH($G$5,Data!$B$135:$E$135,0)+1)</f>
        <v>0</v>
      </c>
      <c r="C105" s="21">
        <f>IF(INDEX(Data!$A$111:$J$114,MATCH($G$5,Data!$A$111:$A$114,0),3)=0,0,B105/INDEX(Data!$A$111:$J$114,MATCH($G$5,Data!$A$111:$A$114,0),3))</f>
        <v>0</v>
      </c>
      <c r="D105" s="21">
        <f>IF(INDEX(Data!$A$111:$J$114,MATCH($G$5,Data!$A$111:$A$114,0),2)=0,0,B105/INDEX(Data!$A$111:$J$114,MATCH($G$5,Data!$A$111:$A$114,0),2))</f>
        <v>0</v>
      </c>
      <c r="E105" s="13"/>
      <c r="F105" s="15" t="s">
        <v>75</v>
      </c>
      <c r="G105" s="16">
        <f>INDEX(Data!$A$176:$G$187,MATCH(F105,Data!$A$176:$A$187,0),MATCH($G$5,Data!$C$175:$F$175,0)+2)</f>
        <v>1</v>
      </c>
      <c r="H105" s="17">
        <f>IF(INDEX(Data!$A$111:$J$114,MATCH($G$5,Data!$A$111:$A$114,0),3)=0,0,G105/INDEX(Data!$A$111:$J$114,MATCH($G$5,Data!$A$111:$A$114,0),3))</f>
        <v>1.0101010101010102E-2</v>
      </c>
      <c r="I105" s="16" t="s">
        <v>70</v>
      </c>
      <c r="J105" s="6"/>
      <c r="K105" s="6"/>
      <c r="L105" s="6"/>
      <c r="M105" s="6"/>
      <c r="N105" s="6"/>
    </row>
    <row r="106" spans="1:14" ht="19.5" customHeight="1" x14ac:dyDescent="0.2">
      <c r="A106" s="16" t="str">
        <f>Data!A146</f>
        <v>Director of Children Services</v>
      </c>
      <c r="B106" s="16">
        <f>INDEX(Data!$A$136:$F$167,MATCH(A106,Data!$A$136:$A$167,0),MATCH($G$5,Data!$B$135:$E$135,0)+1)</f>
        <v>1</v>
      </c>
      <c r="C106" s="17">
        <f>IF(INDEX(Data!$A$111:$J$114,MATCH($G$5,Data!$A$111:$A$114,0),3)=0,0,B106/INDEX(Data!$A$111:$J$114,MATCH($G$5,Data!$A$111:$A$114,0),3))</f>
        <v>1.0101010101010102E-2</v>
      </c>
      <c r="D106" s="17">
        <f>IF(INDEX(Data!$A$111:$J$114,MATCH($G$5,Data!$A$111:$A$114,0),2)=0,0,B106/INDEX(Data!$A$111:$J$114,MATCH($G$5,Data!$A$111:$A$114,0),2))</f>
        <v>2.8901734104046241E-3</v>
      </c>
      <c r="E106" s="13"/>
      <c r="F106" s="19" t="s">
        <v>77</v>
      </c>
      <c r="G106" s="20">
        <f>INDEX(Data!$A$176:$G$187,MATCH(F106,Data!$A$176:$A$187,0),MATCH($G$5,Data!$C$175:$F$175,0)+2)</f>
        <v>1</v>
      </c>
      <c r="H106" s="21">
        <f>IF(INDEX(Data!$A$111:$J$114,MATCH($G$5,Data!$A$111:$A$114,0),3)=0,0,G106/INDEX(Data!$A$111:$J$114,MATCH($G$5,Data!$A$111:$A$114,0),3))</f>
        <v>1.0101010101010102E-2</v>
      </c>
      <c r="I106" s="20" t="s">
        <v>70</v>
      </c>
      <c r="J106" s="6"/>
      <c r="K106" s="6"/>
      <c r="L106" s="6"/>
      <c r="M106" s="6"/>
      <c r="N106" s="6"/>
    </row>
    <row r="107" spans="1:14" ht="19.5" customHeight="1" x14ac:dyDescent="0.2">
      <c r="A107" s="20" t="str">
        <f>Data!A147</f>
        <v>Director of Professional Services</v>
      </c>
      <c r="B107" s="20">
        <f>INDEX(Data!$A$136:$F$167,MATCH(A107,Data!$A$136:$A$167,0),MATCH($G$5,Data!$B$135:$E$135,0)+1)</f>
        <v>1</v>
      </c>
      <c r="C107" s="21">
        <f>IF(INDEX(Data!$A$111:$J$114,MATCH($G$5,Data!$A$111:$A$114,0),3)=0,0,B107/INDEX(Data!$A$111:$J$114,MATCH($G$5,Data!$A$111:$A$114,0),3))</f>
        <v>1.0101010101010102E-2</v>
      </c>
      <c r="D107" s="21">
        <f>IF(INDEX(Data!$A$111:$J$114,MATCH($G$5,Data!$A$111:$A$114,0),2)=0,0,B107/INDEX(Data!$A$111:$J$114,MATCH($G$5,Data!$A$111:$A$114,0),2))</f>
        <v>2.8901734104046241E-3</v>
      </c>
      <c r="E107" s="13"/>
      <c r="F107" s="6"/>
      <c r="G107" s="6"/>
      <c r="H107" s="6"/>
      <c r="I107" s="6"/>
      <c r="J107" s="6"/>
      <c r="K107" s="6"/>
      <c r="L107" s="6"/>
      <c r="M107" s="6"/>
      <c r="N107" s="6"/>
    </row>
    <row r="108" spans="1:14" ht="19.5" customHeight="1" x14ac:dyDescent="0.2">
      <c r="A108" s="16" t="str">
        <f>Data!A148</f>
        <v>Director of Behavioral Health</v>
      </c>
      <c r="B108" s="16">
        <f>INDEX(Data!$A$136:$F$167,MATCH(A108,Data!$A$136:$A$167,0),MATCH($G$5,Data!$B$135:$E$135,0)+1)</f>
        <v>0</v>
      </c>
      <c r="C108" s="17">
        <f>IF(INDEX(Data!$A$111:$J$114,MATCH($G$5,Data!$A$111:$A$114,0),3)=0,0,B108/INDEX(Data!$A$111:$J$114,MATCH($G$5,Data!$A$111:$A$114,0),3))</f>
        <v>0</v>
      </c>
      <c r="D108" s="17">
        <f>IF(INDEX(Data!$A$111:$J$114,MATCH($G$5,Data!$A$111:$A$114,0),2)=0,0,B108/INDEX(Data!$A$111:$J$114,MATCH($G$5,Data!$A$111:$A$114,0),2))</f>
        <v>0</v>
      </c>
      <c r="E108" s="13"/>
      <c r="F108" s="42" t="s">
        <v>120</v>
      </c>
      <c r="G108" s="42">
        <f>INDEX(Data!$A$111:$J$114,MATCH($G$5,Data!$A$111:$A$114,0),6)</f>
        <v>78</v>
      </c>
      <c r="H108" s="43">
        <f>IF(INDEX(Data!$A$111:$J$114,MATCH($G$5,Data!$A$111:$A$114,0),3)=0,0,G108/INDEX(Data!$A$111:$J$114,MATCH($G$5,Data!$A$111:$A$114,0),3))</f>
        <v>0.78787878787878785</v>
      </c>
      <c r="I108" s="62"/>
      <c r="J108" s="6"/>
      <c r="K108" s="6"/>
      <c r="L108" s="6"/>
      <c r="M108" s="6"/>
      <c r="N108" s="6"/>
    </row>
    <row r="109" spans="1:14" ht="19.5" customHeight="1" x14ac:dyDescent="0.2">
      <c r="A109" s="20" t="str">
        <f>Data!A149</f>
        <v>Director of Human Resources</v>
      </c>
      <c r="B109" s="20">
        <f>INDEX(Data!$A$136:$F$167,MATCH(A109,Data!$A$136:$A$167,0),MATCH($G$5,Data!$B$135:$E$135,0)+1)</f>
        <v>0</v>
      </c>
      <c r="C109" s="21">
        <f>IF(INDEX(Data!$A$111:$J$114,MATCH($G$5,Data!$A$111:$A$114,0),3)=0,0,B109/INDEX(Data!$A$111:$J$114,MATCH($G$5,Data!$A$111:$A$114,0),3))</f>
        <v>0</v>
      </c>
      <c r="D109" s="21">
        <f>IF(INDEX(Data!$A$111:$J$114,MATCH($G$5,Data!$A$111:$A$114,0),2)=0,0,B109/INDEX(Data!$A$111:$J$114,MATCH($G$5,Data!$A$111:$A$114,0),2))</f>
        <v>0</v>
      </c>
      <c r="E109" s="13"/>
      <c r="F109" s="42" t="s">
        <v>121</v>
      </c>
      <c r="G109" s="42">
        <f>INDEX(Data!$A$111:$J$114,MATCH($G$5,Data!$A$111:$A$114,0),7)</f>
        <v>4</v>
      </c>
      <c r="H109" s="43">
        <f>IF(INDEX(Data!$A$111:$J$114,MATCH($G$5,Data!$A$111:$A$114,0),3)=0,0,G109/INDEX(Data!$A$111:$J$114,MATCH($G$5,Data!$A$111:$A$114,0),3))</f>
        <v>4.0404040404040407E-2</v>
      </c>
      <c r="I109" s="62"/>
      <c r="J109" s="6"/>
      <c r="K109" s="6"/>
      <c r="L109" s="6"/>
      <c r="M109" s="6"/>
      <c r="N109" s="6"/>
    </row>
    <row r="110" spans="1:14" ht="19.5" customHeight="1" x14ac:dyDescent="0.2">
      <c r="A110" s="16" t="str">
        <f>Data!A150</f>
        <v>Director of Finance</v>
      </c>
      <c r="B110" s="16">
        <f>INDEX(Data!$A$136:$F$167,MATCH(A110,Data!$A$136:$A$167,0),MATCH($G$5,Data!$B$135:$E$135,0)+1)</f>
        <v>0</v>
      </c>
      <c r="C110" s="17">
        <f>IF(INDEX(Data!$A$111:$J$114,MATCH($G$5,Data!$A$111:$A$114,0),3)=0,0,B110/INDEX(Data!$A$111:$J$114,MATCH($G$5,Data!$A$111:$A$114,0),3))</f>
        <v>0</v>
      </c>
      <c r="D110" s="17">
        <f>IF(INDEX(Data!$A$111:$J$114,MATCH($G$5,Data!$A$111:$A$114,0),2)=0,0,B110/INDEX(Data!$A$111:$J$114,MATCH($G$5,Data!$A$111:$A$114,0),2))</f>
        <v>0</v>
      </c>
      <c r="E110" s="13"/>
      <c r="F110" s="42" t="s">
        <v>122</v>
      </c>
      <c r="G110" s="42">
        <f>INDEX(Data!$A$111:$J$114,MATCH($G$5,Data!$A$111:$A$114,0),8)</f>
        <v>17</v>
      </c>
      <c r="H110" s="43">
        <f>IF(INDEX(Data!$A$111:$J$114,MATCH($G$5,Data!$A$111:$A$114,0),3)=0,0,G110/INDEX(Data!$A$111:$J$114,MATCH($G$5,Data!$A$111:$A$114,0),3))</f>
        <v>0.17171717171717171</v>
      </c>
      <c r="I110" s="62"/>
      <c r="J110" s="6"/>
      <c r="K110" s="6"/>
      <c r="L110" s="6"/>
      <c r="M110" s="6"/>
      <c r="N110" s="6"/>
    </row>
    <row r="111" spans="1:14" ht="19.5" customHeight="1" x14ac:dyDescent="0.2">
      <c r="A111" s="20" t="str">
        <f>Data!A151</f>
        <v>Director of Employment Services</v>
      </c>
      <c r="B111" s="20">
        <f>INDEX(Data!$A$136:$F$167,MATCH(A111,Data!$A$136:$A$167,0),MATCH($G$5,Data!$B$135:$E$135,0)+1)</f>
        <v>0</v>
      </c>
      <c r="C111" s="21">
        <f>IF(INDEX(Data!$A$111:$J$114,MATCH($G$5,Data!$A$111:$A$114,0),3)=0,0,B111/INDEX(Data!$A$111:$J$114,MATCH($G$5,Data!$A$111:$A$114,0),3))</f>
        <v>0</v>
      </c>
      <c r="D111" s="21">
        <f>IF(INDEX(Data!$A$111:$J$114,MATCH($G$5,Data!$A$111:$A$114,0),2)=0,0,B111/INDEX(Data!$A$111:$J$114,MATCH($G$5,Data!$A$111:$A$114,0),2))</f>
        <v>0</v>
      </c>
      <c r="E111" s="13"/>
      <c r="F111" s="6"/>
      <c r="G111" s="6"/>
      <c r="H111" s="6"/>
      <c r="I111" s="6"/>
      <c r="J111" s="6"/>
      <c r="K111" s="6"/>
      <c r="L111" s="6"/>
      <c r="M111" s="6"/>
      <c r="N111" s="6"/>
    </row>
    <row r="112" spans="1:14" ht="19.5" customHeight="1" x14ac:dyDescent="0.2">
      <c r="A112" s="16" t="str">
        <f>Data!A152</f>
        <v>Director of Family Support</v>
      </c>
      <c r="B112" s="16">
        <f>INDEX(Data!$A$136:$F$167,MATCH(A112,Data!$A$136:$A$167,0),MATCH($G$5,Data!$B$135:$E$135,0)+1)</f>
        <v>0</v>
      </c>
      <c r="C112" s="17">
        <f>IF(INDEX(Data!$A$111:$J$114,MATCH($G$5,Data!$A$111:$A$114,0),3)=0,0,B112/INDEX(Data!$A$111:$J$114,MATCH($G$5,Data!$A$111:$A$114,0),3))</f>
        <v>0</v>
      </c>
      <c r="D112" s="17">
        <f>IF(INDEX(Data!$A$111:$J$114,MATCH($G$5,Data!$A$111:$A$114,0),2)=0,0,B112/INDEX(Data!$A$111:$J$114,MATCH($G$5,Data!$A$111:$A$114,0),2))</f>
        <v>0</v>
      </c>
      <c r="E112" s="13"/>
      <c r="F112" s="6"/>
      <c r="G112" s="6"/>
      <c r="H112" s="6"/>
      <c r="I112" s="6"/>
      <c r="J112" s="6"/>
      <c r="K112" s="6"/>
      <c r="L112" s="6"/>
      <c r="M112" s="6"/>
      <c r="N112" s="6"/>
    </row>
    <row r="113" spans="1:14" ht="19.5" customHeight="1" x14ac:dyDescent="0.2">
      <c r="A113" s="20" t="str">
        <f>Data!A153</f>
        <v>Director of QA</v>
      </c>
      <c r="B113" s="20">
        <f>INDEX(Data!$A$136:$F$167,MATCH(A113,Data!$A$136:$A$167,0),MATCH($G$5,Data!$B$135:$E$135,0)+1)</f>
        <v>0</v>
      </c>
      <c r="C113" s="21">
        <f>IF(INDEX(Data!$A$111:$J$114,MATCH($G$5,Data!$A$111:$A$114,0),3)=0,0,B113/INDEX(Data!$A$111:$J$114,MATCH($G$5,Data!$A$111:$A$114,0),3))</f>
        <v>0</v>
      </c>
      <c r="D113" s="21">
        <f>IF(INDEX(Data!$A$111:$J$114,MATCH($G$5,Data!$A$111:$A$114,0),2)=0,0,B113/INDEX(Data!$A$111:$J$114,MATCH($G$5,Data!$A$111:$A$114,0),2))</f>
        <v>0</v>
      </c>
      <c r="E113" s="13"/>
      <c r="F113" s="6"/>
      <c r="G113" s="6"/>
      <c r="H113" s="6"/>
      <c r="I113" s="6"/>
      <c r="J113" s="6"/>
      <c r="K113" s="6"/>
      <c r="L113" s="6"/>
      <c r="M113" s="6"/>
      <c r="N113" s="6"/>
    </row>
    <row r="114" spans="1:14" ht="21.75" customHeight="1" x14ac:dyDescent="0.2">
      <c r="A114" s="18" t="s">
        <v>63</v>
      </c>
      <c r="B114" s="18"/>
      <c r="C114" s="18"/>
      <c r="D114" s="18"/>
      <c r="E114" s="13"/>
      <c r="F114" s="6"/>
      <c r="G114" s="6"/>
      <c r="H114" s="6"/>
      <c r="I114" s="6"/>
      <c r="J114" s="6"/>
      <c r="K114" s="6"/>
      <c r="L114" s="6"/>
      <c r="M114" s="6"/>
      <c r="N114" s="6"/>
    </row>
    <row r="115" spans="1:14" ht="19.5" customHeight="1" x14ac:dyDescent="0.2">
      <c r="A115" s="16" t="str">
        <f>Data!A154</f>
        <v>DSP</v>
      </c>
      <c r="B115" s="16">
        <f>INDEX(Data!$A$136:$F$167,MATCH(A115,Data!$A$136:$A$167,0),MATCH($G$5,Data!$B$135:$E$135,0)+1)</f>
        <v>52</v>
      </c>
      <c r="C115" s="17">
        <f>IF(INDEX(Data!$A$111:$J$114,MATCH($G$5,Data!$A$111:$A$114,0),3)=0,0,B115/INDEX(Data!$A$111:$J$114,MATCH($G$5,Data!$A$111:$A$114,0),3))</f>
        <v>0.5252525252525253</v>
      </c>
      <c r="D115" s="17">
        <f>IF(INDEX(Data!$A$111:$J$114,MATCH($G$5,Data!$A$111:$A$114,0),2)=0,0,B115/INDEX(Data!$A$111:$J$114,MATCH($G$5,Data!$A$111:$A$114,0),2))</f>
        <v>0.15028901734104047</v>
      </c>
      <c r="E115" s="13"/>
      <c r="F115" s="6"/>
      <c r="G115" s="6"/>
      <c r="H115" s="6"/>
      <c r="I115" s="6"/>
      <c r="J115" s="6"/>
      <c r="K115" s="6"/>
      <c r="L115" s="6"/>
      <c r="M115" s="6"/>
      <c r="N115" s="6"/>
    </row>
    <row r="116" spans="1:14" ht="19.5" customHeight="1" x14ac:dyDescent="0.2">
      <c r="A116" s="20" t="str">
        <f>Data!A155</f>
        <v>HM</v>
      </c>
      <c r="B116" s="20">
        <f>INDEX(Data!$A$136:$F$167,MATCH(A116,Data!$A$136:$A$167,0),MATCH($G$5,Data!$B$135:$E$135,0)+1)</f>
        <v>8</v>
      </c>
      <c r="C116" s="21">
        <f>IF(INDEX(Data!$A$111:$J$114,MATCH($G$5,Data!$A$111:$A$114,0),3)=0,0,B116/INDEX(Data!$A$111:$J$114,MATCH($G$5,Data!$A$111:$A$114,0),3))</f>
        <v>8.0808080808080815E-2</v>
      </c>
      <c r="D116" s="21">
        <f>IF(INDEX(Data!$A$111:$J$114,MATCH($G$5,Data!$A$111:$A$114,0),2)=0,0,B116/INDEX(Data!$A$111:$J$114,MATCH($G$5,Data!$A$111:$A$114,0),2))</f>
        <v>2.3121387283236993E-2</v>
      </c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ht="19.5" customHeight="1" x14ac:dyDescent="0.2">
      <c r="A117" s="16" t="str">
        <f>Data!A156</f>
        <v>RM</v>
      </c>
      <c r="B117" s="16">
        <f>INDEX(Data!$A$136:$F$167,MATCH(A117,Data!$A$136:$A$167,0),MATCH($G$5,Data!$B$135:$E$135,0)+1)</f>
        <v>0</v>
      </c>
      <c r="C117" s="17">
        <f>IF(INDEX(Data!$A$111:$J$114,MATCH($G$5,Data!$A$111:$A$114,0),3)=0,0,B117/INDEX(Data!$A$111:$J$114,MATCH($G$5,Data!$A$111:$A$114,0),3))</f>
        <v>0</v>
      </c>
      <c r="D117" s="17">
        <f>IF(INDEX(Data!$A$111:$J$114,MATCH($G$5,Data!$A$111:$A$114,0),2)=0,0,B117/INDEX(Data!$A$111:$J$114,MATCH($G$5,Data!$A$111:$A$114,0),2))</f>
        <v>0</v>
      </c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spans="1:14" ht="21.75" customHeight="1" x14ac:dyDescent="0.2">
      <c r="A118" s="18" t="s">
        <v>73</v>
      </c>
      <c r="B118" s="18"/>
      <c r="C118" s="18"/>
      <c r="D118" s="18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ht="19.5" customHeight="1" x14ac:dyDescent="0.2">
      <c r="A119" s="20" t="str">
        <f>Data!A157</f>
        <v>CM</v>
      </c>
      <c r="B119" s="20">
        <f>INDEX(Data!$A$136:$F$167,MATCH(A119,Data!$A$136:$A$167,0),MATCH($G$5,Data!$B$135:$E$135,0)+1)</f>
        <v>6</v>
      </c>
      <c r="C119" s="21">
        <f>IF(INDEX(Data!$A$111:$J$114,MATCH($G$5,Data!$A$111:$A$114,0),3)=0,0,B119/INDEX(Data!$A$111:$J$114,MATCH($G$5,Data!$A$111:$A$114,0),3))</f>
        <v>6.0606060606060608E-2</v>
      </c>
      <c r="D119" s="21">
        <f>IF(INDEX(Data!$A$111:$J$114,MATCH($G$5,Data!$A$111:$A$114,0),2)=0,0,B119/INDEX(Data!$A$111:$J$114,MATCH($G$5,Data!$A$111:$A$114,0),2))</f>
        <v>1.7341040462427744E-2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spans="1:14" ht="19.5" customHeight="1" x14ac:dyDescent="0.2">
      <c r="A120" s="16" t="str">
        <f>Data!A158</f>
        <v>EI</v>
      </c>
      <c r="B120" s="16">
        <f>INDEX(Data!$A$136:$F$167,MATCH(A120,Data!$A$136:$A$167,0),MATCH($G$5,Data!$B$135:$E$135,0)+1)</f>
        <v>3</v>
      </c>
      <c r="C120" s="17">
        <f>IF(INDEX(Data!$A$111:$J$114,MATCH($G$5,Data!$A$111:$A$114,0),3)=0,0,B120/INDEX(Data!$A$111:$J$114,MATCH($G$5,Data!$A$111:$A$114,0),3))</f>
        <v>3.0303030303030304E-2</v>
      </c>
      <c r="D120" s="17">
        <f>IF(INDEX(Data!$A$111:$J$114,MATCH($G$5,Data!$A$111:$A$114,0),2)=0,0,B120/INDEX(Data!$A$111:$J$114,MATCH($G$5,Data!$A$111:$A$114,0),2))</f>
        <v>8.670520231213872E-3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ht="19.5" customHeight="1" x14ac:dyDescent="0.2">
      <c r="A121" s="20" t="str">
        <f>Data!A159</f>
        <v>Family Support</v>
      </c>
      <c r="B121" s="20">
        <f>INDEX(Data!$A$136:$F$167,MATCH(A121,Data!$A$136:$A$167,0),MATCH($G$5,Data!$B$135:$E$135,0)+1)</f>
        <v>1</v>
      </c>
      <c r="C121" s="21">
        <f>IF(INDEX(Data!$A$111:$J$114,MATCH($G$5,Data!$A$111:$A$114,0),3)=0,0,B121/INDEX(Data!$A$111:$J$114,MATCH($G$5,Data!$A$111:$A$114,0),3))</f>
        <v>1.0101010101010102E-2</v>
      </c>
      <c r="D121" s="21">
        <f>IF(INDEX(Data!$A$111:$J$114,MATCH($G$5,Data!$A$111:$A$114,0),2)=0,0,B121/INDEX(Data!$A$111:$J$114,MATCH($G$5,Data!$A$111:$A$114,0),2))</f>
        <v>2.8901734104046241E-3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spans="1:14" ht="21.75" customHeight="1" x14ac:dyDescent="0.2">
      <c r="A122" s="18" t="s">
        <v>79</v>
      </c>
      <c r="B122" s="18"/>
      <c r="C122" s="18"/>
      <c r="D122" s="18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ht="19.5" customHeight="1" x14ac:dyDescent="0.2">
      <c r="A123" s="16" t="str">
        <f>Data!A160</f>
        <v>Teacher</v>
      </c>
      <c r="B123" s="16">
        <f>INDEX(Data!$A$136:$F$167,MATCH(A123,Data!$A$136:$A$167,0),MATCH($G$5,Data!$B$135:$E$135,0)+1)</f>
        <v>2</v>
      </c>
      <c r="C123" s="17">
        <f>IF(INDEX(Data!$A$111:$J$114,MATCH($G$5,Data!$A$111:$A$114,0),3)=0,0,B123/INDEX(Data!$A$111:$J$114,MATCH($G$5,Data!$A$111:$A$114,0),3))</f>
        <v>2.0202020202020204E-2</v>
      </c>
      <c r="D123" s="17">
        <f>IF(INDEX(Data!$A$111:$J$114,MATCH($G$5,Data!$A$111:$A$114,0),2)=0,0,B123/INDEX(Data!$A$111:$J$114,MATCH($G$5,Data!$A$111:$A$114,0),2))</f>
        <v>5.7803468208092483E-3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1:14" ht="19.5" customHeight="1" x14ac:dyDescent="0.2">
      <c r="A124" s="20" t="str">
        <f>Data!A161</f>
        <v>Assistant Teacher</v>
      </c>
      <c r="B124" s="20">
        <f>INDEX(Data!$A$136:$F$167,MATCH(A124,Data!$A$136:$A$167,0),MATCH($G$5,Data!$B$135:$E$135,0)+1)</f>
        <v>4</v>
      </c>
      <c r="C124" s="21">
        <f>IF(INDEX(Data!$A$111:$J$114,MATCH($G$5,Data!$A$111:$A$114,0),3)=0,0,B124/INDEX(Data!$A$111:$J$114,MATCH($G$5,Data!$A$111:$A$114,0),3))</f>
        <v>4.0404040404040407E-2</v>
      </c>
      <c r="D124" s="21">
        <f>IF(INDEX(Data!$A$111:$J$114,MATCH($G$5,Data!$A$111:$A$114,0),2)=0,0,B124/INDEX(Data!$A$111:$J$114,MATCH($G$5,Data!$A$111:$A$114,0),2))</f>
        <v>1.1560693641618497E-2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ht="21.75" customHeight="1" x14ac:dyDescent="0.2">
      <c r="A125" s="18" t="s">
        <v>82</v>
      </c>
      <c r="B125" s="18"/>
      <c r="C125" s="18"/>
      <c r="D125" s="18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1:14" ht="19.5" customHeight="1" x14ac:dyDescent="0.2">
      <c r="A126" s="16" t="str">
        <f>Data!A162</f>
        <v>Sub/Floater</v>
      </c>
      <c r="B126" s="16">
        <f>INDEX(Data!$A$136:$F$167,MATCH(A126,Data!$A$136:$A$167,0),MATCH($G$5,Data!$B$135:$E$135,0)+1)</f>
        <v>7</v>
      </c>
      <c r="C126" s="17">
        <f>IF(INDEX(Data!$A$111:$J$114,MATCH($G$5,Data!$A$111:$A$114,0),3)=0,0,B126/INDEX(Data!$A$111:$J$114,MATCH($G$5,Data!$A$111:$A$114,0),3))</f>
        <v>7.0707070707070704E-2</v>
      </c>
      <c r="D126" s="17">
        <f>IF(INDEX(Data!$A$111:$J$114,MATCH($G$5,Data!$A$111:$A$114,0),2)=0,0,B126/INDEX(Data!$A$111:$J$114,MATCH($G$5,Data!$A$111:$A$114,0),2))</f>
        <v>2.023121387283237E-2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ht="19.5" customHeight="1" x14ac:dyDescent="0.2">
      <c r="A127" s="20" t="str">
        <f>Data!A163</f>
        <v>Job Coach/WI</v>
      </c>
      <c r="B127" s="20">
        <f>INDEX(Data!$A$136:$F$167,MATCH(A127,Data!$A$136:$A$167,0),MATCH($G$5,Data!$B$135:$E$135,0)+1)</f>
        <v>0</v>
      </c>
      <c r="C127" s="21">
        <f>IF(INDEX(Data!$A$111:$J$114,MATCH($G$5,Data!$A$111:$A$114,0),3)=0,0,B127/INDEX(Data!$A$111:$J$114,MATCH($G$5,Data!$A$111:$A$114,0),3))</f>
        <v>0</v>
      </c>
      <c r="D127" s="21">
        <f>IF(INDEX(Data!$A$111:$J$114,MATCH($G$5,Data!$A$111:$A$114,0),2)=0,0,B127/INDEX(Data!$A$111:$J$114,MATCH($G$5,Data!$A$111:$A$114,0),2))</f>
        <v>0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spans="1:14" ht="21.75" customHeight="1" x14ac:dyDescent="0.2">
      <c r="A128" s="18" t="s">
        <v>86</v>
      </c>
      <c r="B128" s="18"/>
      <c r="C128" s="18"/>
      <c r="D128" s="18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ht="19.5" customHeight="1" x14ac:dyDescent="0.2">
      <c r="A129" s="16" t="str">
        <f>Data!A164</f>
        <v>Finance</v>
      </c>
      <c r="B129" s="16">
        <f>INDEX(Data!$A$136:$F$167,MATCH(A129,Data!$A$136:$A$167,0),MATCH($G$5,Data!$B$135:$E$135,0)+1)</f>
        <v>3</v>
      </c>
      <c r="C129" s="17">
        <f>IF(INDEX(Data!$A$111:$J$114,MATCH($G$5,Data!$A$111:$A$114,0),3)=0,0,B129/INDEX(Data!$A$111:$J$114,MATCH($G$5,Data!$A$111:$A$114,0),3))</f>
        <v>3.0303030303030304E-2</v>
      </c>
      <c r="D129" s="17">
        <f>IF(INDEX(Data!$A$111:$J$114,MATCH($G$5,Data!$A$111:$A$114,0),2)=0,0,B129/INDEX(Data!$A$111:$J$114,MATCH($G$5,Data!$A$111:$A$114,0),2))</f>
        <v>8.670520231213872E-3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1:14" ht="19.5" customHeight="1" x14ac:dyDescent="0.2">
      <c r="A130" s="20" t="str">
        <f>Data!A165</f>
        <v>HR</v>
      </c>
      <c r="B130" s="20">
        <f>INDEX(Data!$A$136:$F$167,MATCH(A130,Data!$A$136:$A$167,0),MATCH($G$5,Data!$B$135:$E$135,0)+1)</f>
        <v>3</v>
      </c>
      <c r="C130" s="21">
        <f>IF(INDEX(Data!$A$111:$J$114,MATCH($G$5,Data!$A$111:$A$114,0),3)=0,0,B130/INDEX(Data!$A$111:$J$114,MATCH($G$5,Data!$A$111:$A$114,0),3))</f>
        <v>3.0303030303030304E-2</v>
      </c>
      <c r="D130" s="21">
        <f>IF(INDEX(Data!$A$111:$J$114,MATCH($G$5,Data!$A$111:$A$114,0),2)=0,0,B130/INDEX(Data!$A$111:$J$114,MATCH($G$5,Data!$A$111:$A$114,0),2))</f>
        <v>8.670520231213872E-3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ht="19.5" customHeight="1" x14ac:dyDescent="0.2">
      <c r="A131" s="16" t="str">
        <f>Data!A166</f>
        <v>QA</v>
      </c>
      <c r="B131" s="16">
        <f>INDEX(Data!$A$136:$F$167,MATCH(A131,Data!$A$136:$A$167,0),MATCH($G$5,Data!$B$135:$E$135,0)+1)</f>
        <v>3</v>
      </c>
      <c r="C131" s="17">
        <f>IF(INDEX(Data!$A$111:$J$114,MATCH($G$5,Data!$A$111:$A$114,0),3)=0,0,B131/INDEX(Data!$A$111:$J$114,MATCH($G$5,Data!$A$111:$A$114,0),3))</f>
        <v>3.0303030303030304E-2</v>
      </c>
      <c r="D131" s="17">
        <f>IF(INDEX(Data!$A$111:$J$114,MATCH($G$5,Data!$A$111:$A$114,0),2)=0,0,B131/INDEX(Data!$A$111:$J$114,MATCH($G$5,Data!$A$111:$A$114,0),2))</f>
        <v>8.670520231213872E-3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spans="1:14" ht="21.75" customHeight="1" x14ac:dyDescent="0.2">
      <c r="A132" s="18" t="s">
        <v>92</v>
      </c>
      <c r="B132" s="18"/>
      <c r="C132" s="18"/>
      <c r="D132" s="18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ht="19.5" customHeight="1" x14ac:dyDescent="0.2">
      <c r="A133" s="20" t="str">
        <f>Data!A167</f>
        <v>Other</v>
      </c>
      <c r="B133" s="20">
        <f>INDEX(Data!$A$136:$F$167,MATCH(A133,Data!$A$136:$A$167,0),MATCH($G$5,Data!$B$135:$E$135,0)+1)</f>
        <v>4</v>
      </c>
      <c r="C133" s="21">
        <f>IF(INDEX(Data!$A$111:$J$114,MATCH($G$5,Data!$A$111:$A$114,0),3)=0,0,B133/INDEX(Data!$A$111:$J$114,MATCH($G$5,Data!$A$111:$A$114,0),3))</f>
        <v>4.0404040404040407E-2</v>
      </c>
      <c r="D133" s="21">
        <f>IF(INDEX(Data!$A$111:$J$114,MATCH($G$5,Data!$A$111:$A$114,0),2)=0,0,B133/INDEX(Data!$A$111:$J$114,MATCH($G$5,Data!$A$111:$A$114,0),2))</f>
        <v>1.1560693641618497E-2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</row>
  </sheetData>
  <mergeCells count="19">
    <mergeCell ref="A2:N2"/>
    <mergeCell ref="A3:N3"/>
    <mergeCell ref="A7:C7"/>
    <mergeCell ref="D7:F7"/>
    <mergeCell ref="G7:I7"/>
    <mergeCell ref="J7:L7"/>
    <mergeCell ref="A8:C8"/>
    <mergeCell ref="D8:F8"/>
    <mergeCell ref="G8:I8"/>
    <mergeCell ref="J8:L8"/>
    <mergeCell ref="A9:C9"/>
    <mergeCell ref="D9:F9"/>
    <mergeCell ref="G9:I9"/>
    <mergeCell ref="J9:L9"/>
    <mergeCell ref="A11:E11"/>
    <mergeCell ref="G11:J11"/>
    <mergeCell ref="A26:D26"/>
    <mergeCell ref="A46:E46"/>
    <mergeCell ref="D53:H53"/>
  </mergeCells>
  <dataValidations count="2">
    <dataValidation type="list" error="Please select a valid calendar year" prompt="Select Calendar Year" sqref="B5" xr:uid="{00000000-0002-0000-0000-000000000000}">
      <formula1>"FY 2023,FY 2024,FY 2025,FY 2026,FY 2027"</formula1>
      <formula2>0</formula2>
    </dataValidation>
    <dataValidation type="list" error="Please select a valid EVC fiscal year" prompt="Select EVC Fiscal Year" sqref="G5" xr:uid="{00000000-0002-0000-0000-000001000000}">
      <formula1>"FY EVC 2024,FY EVC 2025,FY EVC 2026,FY EVC 2027"</formula1>
      <formula2>0</formula2>
    </dataValidation>
  </dataValidations>
  <pageMargins left="0.75" right="0.75" top="1" bottom="1" header="0.511811023622047" footer="0.511811023622047"/>
  <pageSetup orientation="portrait" horizontalDpi="300" verticalDpi="300"/>
  <rowBreaks count="1" manualBreakCount="1">
    <brk id="5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AB"/>
  </sheetPr>
  <dimension ref="A1:H106"/>
  <sheetViews>
    <sheetView showGridLines="0" zoomScaleNormal="100" workbookViewId="0">
      <pane ySplit="4" topLeftCell="A5" activePane="bottomLeft" state="frozen"/>
      <selection pane="bottomLeft" activeCell="C17" sqref="C17"/>
    </sheetView>
  </sheetViews>
  <sheetFormatPr defaultColWidth="8.7109375" defaultRowHeight="15" x14ac:dyDescent="0.25"/>
  <cols>
    <col min="1" max="1" width="28" customWidth="1"/>
    <col min="2" max="9" width="14" customWidth="1"/>
  </cols>
  <sheetData>
    <row r="1" spans="1:8" ht="7.5" customHeight="1" x14ac:dyDescent="0.25">
      <c r="A1" s="63"/>
      <c r="B1" s="63"/>
      <c r="C1" s="63"/>
      <c r="D1" s="63"/>
      <c r="E1" s="63"/>
      <c r="F1" s="63"/>
      <c r="G1" s="63"/>
      <c r="H1" s="63"/>
    </row>
    <row r="2" spans="1:8" ht="31.5" customHeight="1" x14ac:dyDescent="0.25">
      <c r="A2" s="160" t="s">
        <v>123</v>
      </c>
      <c r="B2" s="160"/>
      <c r="C2" s="160"/>
      <c r="D2" s="160"/>
      <c r="E2" s="160"/>
      <c r="F2" s="160"/>
      <c r="G2" s="160"/>
      <c r="H2" s="160"/>
    </row>
    <row r="3" spans="1:8" ht="19.5" customHeight="1" x14ac:dyDescent="0.25">
      <c r="A3" s="161" t="s">
        <v>124</v>
      </c>
      <c r="B3" s="161"/>
      <c r="C3" s="161"/>
      <c r="D3" s="161"/>
      <c r="E3" s="161"/>
      <c r="F3" s="161"/>
      <c r="G3" s="161"/>
      <c r="H3" s="161"/>
    </row>
    <row r="4" spans="1:8" ht="6" customHeight="1" x14ac:dyDescent="0.25">
      <c r="A4" s="6"/>
      <c r="B4" s="6"/>
      <c r="C4" s="6"/>
      <c r="D4" s="6"/>
      <c r="E4" s="6"/>
      <c r="F4" s="6"/>
      <c r="G4" s="6"/>
      <c r="H4" s="6"/>
    </row>
    <row r="5" spans="1:8" ht="21.75" customHeight="1" x14ac:dyDescent="0.25">
      <c r="A5" s="162" t="s">
        <v>125</v>
      </c>
      <c r="B5" s="162"/>
      <c r="C5" s="162"/>
      <c r="D5" s="162"/>
      <c r="E5" s="162"/>
      <c r="F5" s="162"/>
      <c r="G5" s="162"/>
      <c r="H5" s="162"/>
    </row>
    <row r="6" spans="1:8" ht="3.75" customHeight="1" x14ac:dyDescent="0.25">
      <c r="A6" s="6"/>
      <c r="B6" s="6"/>
      <c r="C6" s="6"/>
      <c r="D6" s="6"/>
      <c r="E6" s="6"/>
      <c r="F6" s="6"/>
      <c r="G6" s="6"/>
      <c r="H6" s="6"/>
    </row>
    <row r="7" spans="1:8" ht="15" customHeight="1" x14ac:dyDescent="0.25">
      <c r="A7" s="64" t="s">
        <v>126</v>
      </c>
      <c r="B7" s="64" t="s">
        <v>103</v>
      </c>
      <c r="C7" s="64" t="s">
        <v>104</v>
      </c>
      <c r="D7" s="64" t="s">
        <v>105</v>
      </c>
      <c r="E7" s="64" t="s">
        <v>3</v>
      </c>
      <c r="F7" s="64" t="s">
        <v>106</v>
      </c>
      <c r="G7" s="64" t="s">
        <v>127</v>
      </c>
      <c r="H7" s="64" t="s">
        <v>128</v>
      </c>
    </row>
    <row r="8" spans="1:8" ht="15.75" customHeight="1" x14ac:dyDescent="0.25">
      <c r="A8" s="65" t="s">
        <v>129</v>
      </c>
      <c r="B8" s="66">
        <f>Data!D2</f>
        <v>0.18289085545722714</v>
      </c>
      <c r="C8" s="66">
        <f>Data!D3</f>
        <v>0.46607669616519176</v>
      </c>
      <c r="D8" s="66">
        <f>Data!D4</f>
        <v>0.39884393063583817</v>
      </c>
      <c r="E8" s="66">
        <f>Data!D5</f>
        <v>9.5628415300546443E-2</v>
      </c>
      <c r="F8" s="66">
        <f>Data!D6</f>
        <v>0</v>
      </c>
      <c r="G8" s="67">
        <f>AVERAGE(B8:F8)</f>
        <v>0.22868797951176073</v>
      </c>
      <c r="H8" s="68" t="str">
        <f>IF(F8&gt;E8,"↑",IF(F8&lt;E8,"↓","→"))</f>
        <v>↓</v>
      </c>
    </row>
    <row r="9" spans="1:8" ht="15.75" customHeight="1" x14ac:dyDescent="0.25">
      <c r="A9" s="69" t="s">
        <v>130</v>
      </c>
      <c r="B9" s="70">
        <f>Data!C2</f>
        <v>62</v>
      </c>
      <c r="C9" s="70">
        <f>Data!C3</f>
        <v>158</v>
      </c>
      <c r="D9" s="70">
        <f>Data!C4</f>
        <v>138</v>
      </c>
      <c r="E9" s="70">
        <f>Data!C5</f>
        <v>35</v>
      </c>
      <c r="F9" s="70">
        <f>Data!C6</f>
        <v>0</v>
      </c>
      <c r="G9" s="71">
        <f>AVERAGE(B9:F9)</f>
        <v>78.599999999999994</v>
      </c>
      <c r="H9" s="72" t="str">
        <f>IF(F9&gt;E9,"↑",IF(F9&lt;E9,"↓","→"))</f>
        <v>↓</v>
      </c>
    </row>
    <row r="10" spans="1:8" ht="15.75" customHeight="1" x14ac:dyDescent="0.25">
      <c r="A10" s="65" t="s">
        <v>131</v>
      </c>
      <c r="B10" s="66">
        <f>Data!I2</f>
        <v>0.58064516129032262</v>
      </c>
      <c r="C10" s="66">
        <f>Data!I3</f>
        <v>0.55063291139240511</v>
      </c>
      <c r="D10" s="66">
        <f>Data!I4</f>
        <v>0.71014492753623193</v>
      </c>
      <c r="E10" s="66">
        <f>Data!I5</f>
        <v>0.6</v>
      </c>
      <c r="F10" s="66">
        <f>Data!I6</f>
        <v>0</v>
      </c>
      <c r="G10" s="67">
        <f>AVERAGE(B10:F10)</f>
        <v>0.48828460004379198</v>
      </c>
      <c r="H10" s="68" t="str">
        <f>IF(F10&gt;E10,"↑",IF(F10&lt;E10,"↓","→"))</f>
        <v>↓</v>
      </c>
    </row>
    <row r="11" spans="1:8" ht="15.75" customHeight="1" x14ac:dyDescent="0.25">
      <c r="A11" s="69" t="s">
        <v>132</v>
      </c>
      <c r="B11" s="73">
        <f>Data!E2</f>
        <v>10.333333333333334</v>
      </c>
      <c r="C11" s="73">
        <f>Data!E3</f>
        <v>13.166666666666666</v>
      </c>
      <c r="D11" s="73">
        <f>Data!E4</f>
        <v>11.5</v>
      </c>
      <c r="E11" s="73">
        <f>Data!E5</f>
        <v>8.75</v>
      </c>
      <c r="F11" s="73">
        <f>Data!E6</f>
        <v>0</v>
      </c>
      <c r="G11" s="74">
        <f>AVERAGE(B11:F11)</f>
        <v>8.75</v>
      </c>
      <c r="H11" s="72" t="str">
        <f>IF(F11&gt;E11,"↑",IF(F11&lt;E11,"↓","→"))</f>
        <v>↓</v>
      </c>
    </row>
    <row r="12" spans="1:8" x14ac:dyDescent="0.25">
      <c r="A12" s="6"/>
      <c r="B12" s="6"/>
      <c r="C12" s="6"/>
      <c r="D12" s="6"/>
      <c r="E12" s="6"/>
      <c r="F12" s="6"/>
      <c r="G12" s="6"/>
      <c r="H12" s="6"/>
    </row>
    <row r="13" spans="1:8" ht="21.75" customHeight="1" x14ac:dyDescent="0.25">
      <c r="A13" s="162" t="s">
        <v>133</v>
      </c>
      <c r="B13" s="162"/>
      <c r="C13" s="162"/>
      <c r="D13" s="162"/>
      <c r="E13" s="162"/>
      <c r="F13" s="162"/>
      <c r="G13" s="162"/>
      <c r="H13" s="6"/>
    </row>
    <row r="14" spans="1:8" ht="3.75" customHeight="1" x14ac:dyDescent="0.25">
      <c r="A14" s="6"/>
      <c r="B14" s="6"/>
      <c r="C14" s="6"/>
      <c r="D14" s="6"/>
      <c r="E14" s="6"/>
      <c r="F14" s="6"/>
      <c r="G14" s="6"/>
      <c r="H14" s="6"/>
    </row>
    <row r="15" spans="1:8" ht="15" customHeight="1" x14ac:dyDescent="0.25">
      <c r="A15" s="64" t="s">
        <v>134</v>
      </c>
      <c r="B15" s="64" t="s">
        <v>103</v>
      </c>
      <c r="C15" s="64" t="s">
        <v>104</v>
      </c>
      <c r="D15" s="64" t="s">
        <v>105</v>
      </c>
      <c r="E15" s="64" t="s">
        <v>3</v>
      </c>
      <c r="F15" s="64" t="s">
        <v>106</v>
      </c>
      <c r="G15" s="64" t="s">
        <v>135</v>
      </c>
      <c r="H15" s="6"/>
    </row>
    <row r="16" spans="1:8" ht="15" customHeight="1" x14ac:dyDescent="0.25">
      <c r="A16" s="75" t="s">
        <v>24</v>
      </c>
      <c r="B16" s="75"/>
      <c r="C16" s="75"/>
      <c r="D16" s="75"/>
      <c r="E16" s="75"/>
      <c r="F16" s="75"/>
      <c r="G16" s="75"/>
      <c r="H16" s="6"/>
    </row>
    <row r="17" spans="1:8" ht="15" customHeight="1" x14ac:dyDescent="0.25">
      <c r="A17" s="76" t="s">
        <v>26</v>
      </c>
      <c r="B17" s="77">
        <f>Data!B21</f>
        <v>0</v>
      </c>
      <c r="C17" s="77">
        <f>Data!C21</f>
        <v>0</v>
      </c>
      <c r="D17" s="77">
        <f>Data!D21</f>
        <v>0</v>
      </c>
      <c r="E17" s="77">
        <f>Data!E21</f>
        <v>0</v>
      </c>
      <c r="F17" s="77">
        <f>Data!F21</f>
        <v>0</v>
      </c>
      <c r="G17" s="78">
        <f t="shared" ref="G17:G34" si="0">SUM(B17:F17)</f>
        <v>0</v>
      </c>
      <c r="H17" s="6"/>
    </row>
    <row r="18" spans="1:8" ht="15" customHeight="1" x14ac:dyDescent="0.25">
      <c r="A18" s="79" t="s">
        <v>28</v>
      </c>
      <c r="B18" s="80">
        <f>Data!B22</f>
        <v>0</v>
      </c>
      <c r="C18" s="80">
        <f>Data!C22</f>
        <v>0</v>
      </c>
      <c r="D18" s="80">
        <f>Data!D22</f>
        <v>0</v>
      </c>
      <c r="E18" s="80">
        <f>Data!E22</f>
        <v>0</v>
      </c>
      <c r="F18" s="80">
        <f>Data!F22</f>
        <v>0</v>
      </c>
      <c r="G18" s="81">
        <f t="shared" si="0"/>
        <v>0</v>
      </c>
      <c r="H18" s="6"/>
    </row>
    <row r="19" spans="1:8" ht="15" customHeight="1" x14ac:dyDescent="0.25">
      <c r="A19" s="76" t="s">
        <v>30</v>
      </c>
      <c r="B19" s="77">
        <f>Data!B23</f>
        <v>0</v>
      </c>
      <c r="C19" s="77">
        <f>Data!C23</f>
        <v>0</v>
      </c>
      <c r="D19" s="77">
        <f>Data!D23</f>
        <v>0</v>
      </c>
      <c r="E19" s="77">
        <f>Data!E23</f>
        <v>0</v>
      </c>
      <c r="F19" s="77">
        <f>Data!F23</f>
        <v>0</v>
      </c>
      <c r="G19" s="78">
        <f t="shared" si="0"/>
        <v>0</v>
      </c>
      <c r="H19" s="6"/>
    </row>
    <row r="20" spans="1:8" ht="15" customHeight="1" x14ac:dyDescent="0.25">
      <c r="A20" s="79" t="s">
        <v>32</v>
      </c>
      <c r="B20" s="80">
        <f>Data!B24</f>
        <v>0</v>
      </c>
      <c r="C20" s="80">
        <f>Data!C24</f>
        <v>0</v>
      </c>
      <c r="D20" s="80">
        <f>Data!D24</f>
        <v>0</v>
      </c>
      <c r="E20" s="80">
        <f>Data!E24</f>
        <v>0</v>
      </c>
      <c r="F20" s="80">
        <f>Data!F24</f>
        <v>0</v>
      </c>
      <c r="G20" s="81">
        <f t="shared" si="0"/>
        <v>0</v>
      </c>
      <c r="H20" s="6"/>
    </row>
    <row r="21" spans="1:8" ht="15" customHeight="1" x14ac:dyDescent="0.25">
      <c r="A21" s="76" t="s">
        <v>34</v>
      </c>
      <c r="B21" s="77">
        <f>Data!B25</f>
        <v>0</v>
      </c>
      <c r="C21" s="77">
        <f>Data!C25</f>
        <v>0</v>
      </c>
      <c r="D21" s="77">
        <f>Data!D25</f>
        <v>0</v>
      </c>
      <c r="E21" s="77">
        <f>Data!E25</f>
        <v>0</v>
      </c>
      <c r="F21" s="77">
        <f>Data!F25</f>
        <v>0</v>
      </c>
      <c r="G21" s="78">
        <f t="shared" si="0"/>
        <v>0</v>
      </c>
      <c r="H21" s="6"/>
    </row>
    <row r="22" spans="1:8" ht="15" customHeight="1" x14ac:dyDescent="0.25">
      <c r="A22" s="79" t="s">
        <v>36</v>
      </c>
      <c r="B22" s="80">
        <f>Data!B26</f>
        <v>0</v>
      </c>
      <c r="C22" s="80">
        <f>Data!C26</f>
        <v>0</v>
      </c>
      <c r="D22" s="80">
        <f>Data!D26</f>
        <v>0</v>
      </c>
      <c r="E22" s="80">
        <f>Data!E26</f>
        <v>0</v>
      </c>
      <c r="F22" s="80">
        <f>Data!F26</f>
        <v>0</v>
      </c>
      <c r="G22" s="81">
        <f t="shared" si="0"/>
        <v>0</v>
      </c>
      <c r="H22" s="6"/>
    </row>
    <row r="23" spans="1:8" ht="15" customHeight="1" x14ac:dyDescent="0.25">
      <c r="A23" s="76" t="s">
        <v>38</v>
      </c>
      <c r="B23" s="77">
        <f>Data!B27</f>
        <v>0</v>
      </c>
      <c r="C23" s="77">
        <f>Data!C27</f>
        <v>0</v>
      </c>
      <c r="D23" s="77">
        <f>Data!D27</f>
        <v>0</v>
      </c>
      <c r="E23" s="77">
        <f>Data!E27</f>
        <v>0</v>
      </c>
      <c r="F23" s="77">
        <f>Data!F27</f>
        <v>0</v>
      </c>
      <c r="G23" s="78">
        <f t="shared" si="0"/>
        <v>0</v>
      </c>
      <c r="H23" s="6"/>
    </row>
    <row r="24" spans="1:8" ht="15" customHeight="1" x14ac:dyDescent="0.25">
      <c r="A24" s="79" t="s">
        <v>40</v>
      </c>
      <c r="B24" s="80">
        <f>Data!B28</f>
        <v>0</v>
      </c>
      <c r="C24" s="80">
        <f>Data!C28</f>
        <v>0</v>
      </c>
      <c r="D24" s="80">
        <f>Data!D28</f>
        <v>0</v>
      </c>
      <c r="E24" s="80">
        <f>Data!E28</f>
        <v>0</v>
      </c>
      <c r="F24" s="80">
        <f>Data!F28</f>
        <v>0</v>
      </c>
      <c r="G24" s="81">
        <f t="shared" si="0"/>
        <v>0</v>
      </c>
      <c r="H24" s="6"/>
    </row>
    <row r="25" spans="1:8" ht="15" customHeight="1" x14ac:dyDescent="0.25">
      <c r="A25" s="76" t="s">
        <v>42</v>
      </c>
      <c r="B25" s="77">
        <f>Data!B29</f>
        <v>0</v>
      </c>
      <c r="C25" s="77">
        <f>Data!C29</f>
        <v>0</v>
      </c>
      <c r="D25" s="77">
        <f>Data!D29</f>
        <v>0</v>
      </c>
      <c r="E25" s="77">
        <f>Data!E29</f>
        <v>1</v>
      </c>
      <c r="F25" s="77">
        <f>Data!F29</f>
        <v>0</v>
      </c>
      <c r="G25" s="78">
        <f t="shared" si="0"/>
        <v>1</v>
      </c>
      <c r="H25" s="6"/>
    </row>
    <row r="26" spans="1:8" ht="15" customHeight="1" x14ac:dyDescent="0.25">
      <c r="A26" s="79" t="s">
        <v>44</v>
      </c>
      <c r="B26" s="80">
        <f>Data!B30</f>
        <v>0</v>
      </c>
      <c r="C26" s="80">
        <f>Data!C30</f>
        <v>0</v>
      </c>
      <c r="D26" s="80">
        <f>Data!D30</f>
        <v>0</v>
      </c>
      <c r="E26" s="80">
        <f>Data!E30</f>
        <v>0</v>
      </c>
      <c r="F26" s="80">
        <f>Data!F30</f>
        <v>0</v>
      </c>
      <c r="G26" s="81">
        <f t="shared" si="0"/>
        <v>0</v>
      </c>
      <c r="H26" s="6"/>
    </row>
    <row r="27" spans="1:8" ht="15" customHeight="1" x14ac:dyDescent="0.25">
      <c r="A27" s="76" t="s">
        <v>46</v>
      </c>
      <c r="B27" s="77">
        <f>Data!B31</f>
        <v>0</v>
      </c>
      <c r="C27" s="77">
        <f>Data!C31</f>
        <v>1</v>
      </c>
      <c r="D27" s="77">
        <f>Data!D31</f>
        <v>1</v>
      </c>
      <c r="E27" s="77">
        <f>Data!E31</f>
        <v>0</v>
      </c>
      <c r="F27" s="77">
        <f>Data!F31</f>
        <v>0</v>
      </c>
      <c r="G27" s="78">
        <f t="shared" si="0"/>
        <v>2</v>
      </c>
      <c r="H27" s="6"/>
    </row>
    <row r="28" spans="1:8" ht="15" customHeight="1" x14ac:dyDescent="0.25">
      <c r="A28" s="79" t="s">
        <v>47</v>
      </c>
      <c r="B28" s="80">
        <f>Data!B32</f>
        <v>0</v>
      </c>
      <c r="C28" s="80">
        <f>Data!C32</f>
        <v>0</v>
      </c>
      <c r="D28" s="80">
        <f>Data!D32</f>
        <v>1</v>
      </c>
      <c r="E28" s="80">
        <f>Data!E32</f>
        <v>0</v>
      </c>
      <c r="F28" s="80">
        <f>Data!F32</f>
        <v>0</v>
      </c>
      <c r="G28" s="81">
        <f t="shared" si="0"/>
        <v>1</v>
      </c>
      <c r="H28" s="6"/>
    </row>
    <row r="29" spans="1:8" ht="15" customHeight="1" x14ac:dyDescent="0.25">
      <c r="A29" s="76" t="s">
        <v>49</v>
      </c>
      <c r="B29" s="77">
        <f>Data!B33</f>
        <v>0</v>
      </c>
      <c r="C29" s="77">
        <f>Data!C33</f>
        <v>0</v>
      </c>
      <c r="D29" s="77">
        <f>Data!D33</f>
        <v>0</v>
      </c>
      <c r="E29" s="77">
        <f>Data!E33</f>
        <v>0</v>
      </c>
      <c r="F29" s="77">
        <f>Data!F33</f>
        <v>0</v>
      </c>
      <c r="G29" s="78">
        <f t="shared" si="0"/>
        <v>0</v>
      </c>
      <c r="H29" s="6"/>
    </row>
    <row r="30" spans="1:8" ht="15" customHeight="1" x14ac:dyDescent="0.25">
      <c r="A30" s="79" t="s">
        <v>52</v>
      </c>
      <c r="B30" s="80">
        <f>Data!B34</f>
        <v>0</v>
      </c>
      <c r="C30" s="80">
        <f>Data!C34</f>
        <v>1</v>
      </c>
      <c r="D30" s="80">
        <f>Data!D34</f>
        <v>0</v>
      </c>
      <c r="E30" s="80">
        <f>Data!E34</f>
        <v>0</v>
      </c>
      <c r="F30" s="80">
        <f>Data!F34</f>
        <v>0</v>
      </c>
      <c r="G30" s="81">
        <f t="shared" si="0"/>
        <v>1</v>
      </c>
      <c r="H30" s="6"/>
    </row>
    <row r="31" spans="1:8" ht="15" customHeight="1" x14ac:dyDescent="0.25">
      <c r="A31" s="76" t="s">
        <v>55</v>
      </c>
      <c r="B31" s="77">
        <f>Data!B35</f>
        <v>0</v>
      </c>
      <c r="C31" s="77">
        <f>Data!C35</f>
        <v>0</v>
      </c>
      <c r="D31" s="77">
        <f>Data!D35</f>
        <v>0</v>
      </c>
      <c r="E31" s="77">
        <f>Data!E35</f>
        <v>0</v>
      </c>
      <c r="F31" s="77">
        <f>Data!F35</f>
        <v>0</v>
      </c>
      <c r="G31" s="78">
        <f t="shared" si="0"/>
        <v>0</v>
      </c>
      <c r="H31" s="6"/>
    </row>
    <row r="32" spans="1:8" ht="15" customHeight="1" x14ac:dyDescent="0.25">
      <c r="A32" s="79" t="s">
        <v>57</v>
      </c>
      <c r="B32" s="80">
        <f>Data!B36</f>
        <v>0</v>
      </c>
      <c r="C32" s="80">
        <f>Data!C36</f>
        <v>0</v>
      </c>
      <c r="D32" s="80">
        <f>Data!D36</f>
        <v>0</v>
      </c>
      <c r="E32" s="80">
        <f>Data!E36</f>
        <v>0</v>
      </c>
      <c r="F32" s="80">
        <f>Data!F36</f>
        <v>0</v>
      </c>
      <c r="G32" s="81">
        <f t="shared" si="0"/>
        <v>0</v>
      </c>
      <c r="H32" s="6"/>
    </row>
    <row r="33" spans="1:8" ht="15" customHeight="1" x14ac:dyDescent="0.25">
      <c r="A33" s="76" t="s">
        <v>59</v>
      </c>
      <c r="B33" s="77">
        <f>Data!B37</f>
        <v>0</v>
      </c>
      <c r="C33" s="77">
        <f>Data!C37</f>
        <v>0</v>
      </c>
      <c r="D33" s="77">
        <f>Data!D37</f>
        <v>0</v>
      </c>
      <c r="E33" s="77">
        <f>Data!E37</f>
        <v>0</v>
      </c>
      <c r="F33" s="77">
        <f>Data!F37</f>
        <v>0</v>
      </c>
      <c r="G33" s="78">
        <f t="shared" si="0"/>
        <v>0</v>
      </c>
      <c r="H33" s="6"/>
    </row>
    <row r="34" spans="1:8" ht="15" customHeight="1" x14ac:dyDescent="0.25">
      <c r="A34" s="79" t="s">
        <v>61</v>
      </c>
      <c r="B34" s="80">
        <f>Data!B38</f>
        <v>0</v>
      </c>
      <c r="C34" s="80">
        <f>Data!C38</f>
        <v>0</v>
      </c>
      <c r="D34" s="80">
        <f>Data!D38</f>
        <v>0</v>
      </c>
      <c r="E34" s="80">
        <f>Data!E38</f>
        <v>0</v>
      </c>
      <c r="F34" s="80">
        <f>Data!F38</f>
        <v>0</v>
      </c>
      <c r="G34" s="81">
        <f t="shared" si="0"/>
        <v>0</v>
      </c>
      <c r="H34" s="6"/>
    </row>
    <row r="35" spans="1:8" ht="15" customHeight="1" x14ac:dyDescent="0.25">
      <c r="A35" s="75" t="s">
        <v>63</v>
      </c>
      <c r="B35" s="75"/>
      <c r="C35" s="75"/>
      <c r="D35" s="75"/>
      <c r="E35" s="75"/>
      <c r="F35" s="75"/>
      <c r="G35" s="75"/>
      <c r="H35" s="6"/>
    </row>
    <row r="36" spans="1:8" ht="15" customHeight="1" x14ac:dyDescent="0.25">
      <c r="A36" s="65" t="s">
        <v>66</v>
      </c>
      <c r="B36" s="77">
        <f>Data!B39</f>
        <v>45</v>
      </c>
      <c r="C36" s="77">
        <f>Data!C39</f>
        <v>120</v>
      </c>
      <c r="D36" s="77">
        <f>Data!D39</f>
        <v>75</v>
      </c>
      <c r="E36" s="77">
        <f>Data!E39</f>
        <v>25</v>
      </c>
      <c r="F36" s="77">
        <f>Data!F39</f>
        <v>0</v>
      </c>
      <c r="G36" s="78">
        <f>SUM(B36:F36)</f>
        <v>265</v>
      </c>
      <c r="H36" s="6"/>
    </row>
    <row r="37" spans="1:8" ht="15" customHeight="1" x14ac:dyDescent="0.25">
      <c r="A37" s="69" t="s">
        <v>68</v>
      </c>
      <c r="B37" s="80">
        <f>Data!B40</f>
        <v>0</v>
      </c>
      <c r="C37" s="80">
        <f>Data!C40</f>
        <v>8</v>
      </c>
      <c r="D37" s="80">
        <f>Data!D40</f>
        <v>5</v>
      </c>
      <c r="E37" s="80">
        <f>Data!E40</f>
        <v>3</v>
      </c>
      <c r="F37" s="80">
        <f>Data!F40</f>
        <v>0</v>
      </c>
      <c r="G37" s="81">
        <f>SUM(B37:F37)</f>
        <v>16</v>
      </c>
      <c r="H37" s="6"/>
    </row>
    <row r="38" spans="1:8" ht="15" customHeight="1" x14ac:dyDescent="0.25">
      <c r="A38" s="65" t="s">
        <v>71</v>
      </c>
      <c r="B38" s="77">
        <f>Data!B41</f>
        <v>0</v>
      </c>
      <c r="C38" s="77">
        <f>Data!C41</f>
        <v>3</v>
      </c>
      <c r="D38" s="77">
        <f>Data!D41</f>
        <v>0</v>
      </c>
      <c r="E38" s="77">
        <f>Data!E41</f>
        <v>0</v>
      </c>
      <c r="F38" s="77">
        <f>Data!F41</f>
        <v>0</v>
      </c>
      <c r="G38" s="78">
        <f>SUM(B38:F38)</f>
        <v>3</v>
      </c>
      <c r="H38" s="6"/>
    </row>
    <row r="39" spans="1:8" ht="15" customHeight="1" x14ac:dyDescent="0.25">
      <c r="A39" s="75" t="s">
        <v>73</v>
      </c>
      <c r="B39" s="75"/>
      <c r="C39" s="75"/>
      <c r="D39" s="75"/>
      <c r="E39" s="75"/>
      <c r="F39" s="75"/>
      <c r="G39" s="75"/>
      <c r="H39" s="6"/>
    </row>
    <row r="40" spans="1:8" ht="15" customHeight="1" x14ac:dyDescent="0.25">
      <c r="A40" s="65" t="s">
        <v>74</v>
      </c>
      <c r="B40" s="77">
        <f>Data!B42</f>
        <v>0</v>
      </c>
      <c r="C40" s="77">
        <f>Data!C42</f>
        <v>1</v>
      </c>
      <c r="D40" s="77">
        <f>Data!D42</f>
        <v>6</v>
      </c>
      <c r="E40" s="77">
        <f>Data!E42</f>
        <v>1</v>
      </c>
      <c r="F40" s="77">
        <f>Data!F42</f>
        <v>0</v>
      </c>
      <c r="G40" s="78">
        <f>SUM(B40:F40)</f>
        <v>8</v>
      </c>
      <c r="H40" s="6"/>
    </row>
    <row r="41" spans="1:8" ht="15" customHeight="1" x14ac:dyDescent="0.25">
      <c r="A41" s="69" t="s">
        <v>76</v>
      </c>
      <c r="B41" s="80">
        <f>Data!B43</f>
        <v>4</v>
      </c>
      <c r="C41" s="80">
        <f>Data!C43</f>
        <v>5</v>
      </c>
      <c r="D41" s="80">
        <f>Data!D43</f>
        <v>6</v>
      </c>
      <c r="E41" s="80">
        <f>Data!E43</f>
        <v>0</v>
      </c>
      <c r="F41" s="80">
        <f>Data!F43</f>
        <v>0</v>
      </c>
      <c r="G41" s="81">
        <f>SUM(B41:F41)</f>
        <v>15</v>
      </c>
      <c r="H41" s="6"/>
    </row>
    <row r="42" spans="1:8" ht="15" customHeight="1" x14ac:dyDescent="0.25">
      <c r="A42" s="65" t="s">
        <v>78</v>
      </c>
      <c r="B42" s="77">
        <f>Data!B44</f>
        <v>0</v>
      </c>
      <c r="C42" s="77">
        <f>Data!C44</f>
        <v>1</v>
      </c>
      <c r="D42" s="77">
        <f>Data!D44</f>
        <v>2</v>
      </c>
      <c r="E42" s="77">
        <f>Data!E44</f>
        <v>0</v>
      </c>
      <c r="F42" s="77">
        <f>Data!F44</f>
        <v>0</v>
      </c>
      <c r="G42" s="78">
        <f>SUM(B42:F42)</f>
        <v>3</v>
      </c>
      <c r="H42" s="6"/>
    </row>
    <row r="43" spans="1:8" ht="15" customHeight="1" x14ac:dyDescent="0.25">
      <c r="A43" s="75" t="s">
        <v>79</v>
      </c>
      <c r="B43" s="75"/>
      <c r="C43" s="75"/>
      <c r="D43" s="75"/>
      <c r="E43" s="75"/>
      <c r="F43" s="75"/>
      <c r="G43" s="75"/>
      <c r="H43" s="6"/>
    </row>
    <row r="44" spans="1:8" ht="15" customHeight="1" x14ac:dyDescent="0.25">
      <c r="A44" s="65" t="s">
        <v>80</v>
      </c>
      <c r="B44" s="77">
        <f>Data!B45</f>
        <v>0</v>
      </c>
      <c r="C44" s="77">
        <f>Data!C45</f>
        <v>3</v>
      </c>
      <c r="D44" s="77">
        <f>Data!D45</f>
        <v>4</v>
      </c>
      <c r="E44" s="77">
        <f>Data!E45</f>
        <v>0</v>
      </c>
      <c r="F44" s="77">
        <f>Data!F45</f>
        <v>0</v>
      </c>
      <c r="G44" s="78">
        <f>SUM(B44:F44)</f>
        <v>7</v>
      </c>
      <c r="H44" s="6"/>
    </row>
    <row r="45" spans="1:8" ht="15" customHeight="1" x14ac:dyDescent="0.25">
      <c r="A45" s="69" t="s">
        <v>81</v>
      </c>
      <c r="B45" s="80">
        <f>Data!B46</f>
        <v>0</v>
      </c>
      <c r="C45" s="80">
        <f>Data!C46</f>
        <v>3</v>
      </c>
      <c r="D45" s="80">
        <f>Data!D46</f>
        <v>4</v>
      </c>
      <c r="E45" s="80">
        <f>Data!E46</f>
        <v>0</v>
      </c>
      <c r="F45" s="80">
        <f>Data!F46</f>
        <v>0</v>
      </c>
      <c r="G45" s="81">
        <f>SUM(B45:F45)</f>
        <v>7</v>
      </c>
      <c r="H45" s="6"/>
    </row>
    <row r="46" spans="1:8" ht="15" customHeight="1" x14ac:dyDescent="0.25">
      <c r="A46" s="75" t="s">
        <v>82</v>
      </c>
      <c r="B46" s="75"/>
      <c r="C46" s="75"/>
      <c r="D46" s="75"/>
      <c r="E46" s="75"/>
      <c r="F46" s="75"/>
      <c r="G46" s="75"/>
      <c r="H46" s="6"/>
    </row>
    <row r="47" spans="1:8" ht="15" customHeight="1" x14ac:dyDescent="0.25">
      <c r="A47" s="65" t="s">
        <v>83</v>
      </c>
      <c r="B47" s="77">
        <f>Data!B47</f>
        <v>5</v>
      </c>
      <c r="C47" s="77">
        <f>Data!C47</f>
        <v>1</v>
      </c>
      <c r="D47" s="77">
        <f>Data!D47</f>
        <v>14</v>
      </c>
      <c r="E47" s="77">
        <f>Data!E47</f>
        <v>1</v>
      </c>
      <c r="F47" s="77">
        <f>Data!F47</f>
        <v>0</v>
      </c>
      <c r="G47" s="78">
        <f>SUM(B47:F47)</f>
        <v>21</v>
      </c>
      <c r="H47" s="6"/>
    </row>
    <row r="48" spans="1:8" ht="15" customHeight="1" x14ac:dyDescent="0.25">
      <c r="A48" s="69" t="s">
        <v>84</v>
      </c>
      <c r="B48" s="80">
        <f>Data!B48</f>
        <v>0</v>
      </c>
      <c r="C48" s="80">
        <f>Data!C48</f>
        <v>5</v>
      </c>
      <c r="D48" s="80">
        <f>Data!D48</f>
        <v>2</v>
      </c>
      <c r="E48" s="80">
        <f>Data!E48</f>
        <v>0</v>
      </c>
      <c r="F48" s="80">
        <f>Data!F48</f>
        <v>0</v>
      </c>
      <c r="G48" s="81">
        <f>SUM(B48:F48)</f>
        <v>7</v>
      </c>
      <c r="H48" s="6"/>
    </row>
    <row r="49" spans="1:8" ht="15" customHeight="1" x14ac:dyDescent="0.25">
      <c r="A49" s="75" t="s">
        <v>86</v>
      </c>
      <c r="B49" s="75"/>
      <c r="C49" s="75"/>
      <c r="D49" s="75"/>
      <c r="E49" s="75"/>
      <c r="F49" s="75"/>
      <c r="G49" s="75"/>
      <c r="H49" s="6"/>
    </row>
    <row r="50" spans="1:8" ht="15" customHeight="1" x14ac:dyDescent="0.25">
      <c r="A50" s="65" t="s">
        <v>87</v>
      </c>
      <c r="B50" s="77">
        <f>Data!B49</f>
        <v>0</v>
      </c>
      <c r="C50" s="77">
        <f>Data!C49</f>
        <v>0</v>
      </c>
      <c r="D50" s="77">
        <f>Data!D49</f>
        <v>3</v>
      </c>
      <c r="E50" s="77">
        <f>Data!E49</f>
        <v>0</v>
      </c>
      <c r="F50" s="77">
        <f>Data!F49</f>
        <v>0</v>
      </c>
      <c r="G50" s="78">
        <f>SUM(B50:F50)</f>
        <v>3</v>
      </c>
      <c r="H50" s="6"/>
    </row>
    <row r="51" spans="1:8" ht="15" customHeight="1" x14ac:dyDescent="0.25">
      <c r="A51" s="69" t="s">
        <v>89</v>
      </c>
      <c r="B51" s="80">
        <f>Data!B50</f>
        <v>0</v>
      </c>
      <c r="C51" s="80">
        <f>Data!C50</f>
        <v>0</v>
      </c>
      <c r="D51" s="80">
        <f>Data!D50</f>
        <v>6</v>
      </c>
      <c r="E51" s="80">
        <f>Data!E50</f>
        <v>0</v>
      </c>
      <c r="F51" s="80">
        <f>Data!F50</f>
        <v>0</v>
      </c>
      <c r="G51" s="81">
        <f>SUM(B51:F51)</f>
        <v>6</v>
      </c>
      <c r="H51" s="6"/>
    </row>
    <row r="52" spans="1:8" ht="15" customHeight="1" x14ac:dyDescent="0.25">
      <c r="A52" s="65" t="s">
        <v>91</v>
      </c>
      <c r="B52" s="77">
        <f>Data!B51</f>
        <v>0</v>
      </c>
      <c r="C52" s="77">
        <f>Data!C51</f>
        <v>0</v>
      </c>
      <c r="D52" s="77">
        <f>Data!D51</f>
        <v>1</v>
      </c>
      <c r="E52" s="77">
        <f>Data!E51</f>
        <v>1</v>
      </c>
      <c r="F52" s="77">
        <f>Data!F51</f>
        <v>0</v>
      </c>
      <c r="G52" s="78">
        <f>SUM(B52:F52)</f>
        <v>2</v>
      </c>
      <c r="H52" s="6"/>
    </row>
    <row r="53" spans="1:8" ht="15" customHeight="1" x14ac:dyDescent="0.25">
      <c r="A53" s="75" t="s">
        <v>92</v>
      </c>
      <c r="B53" s="75"/>
      <c r="C53" s="75"/>
      <c r="D53" s="75"/>
      <c r="E53" s="75"/>
      <c r="F53" s="75"/>
      <c r="G53" s="75"/>
      <c r="H53" s="6"/>
    </row>
    <row r="54" spans="1:8" ht="15" customHeight="1" x14ac:dyDescent="0.25">
      <c r="A54" s="65" t="s">
        <v>70</v>
      </c>
      <c r="B54" s="77">
        <f>Data!B52</f>
        <v>8</v>
      </c>
      <c r="C54" s="77">
        <f>Data!C52</f>
        <v>6</v>
      </c>
      <c r="D54" s="77">
        <f>Data!D52</f>
        <v>8</v>
      </c>
      <c r="E54" s="77">
        <f>Data!E52</f>
        <v>2</v>
      </c>
      <c r="F54" s="77">
        <f>Data!F52</f>
        <v>0</v>
      </c>
      <c r="G54" s="78">
        <f>SUM(B54:F54)</f>
        <v>24</v>
      </c>
      <c r="H54" s="6"/>
    </row>
    <row r="55" spans="1:8" x14ac:dyDescent="0.25">
      <c r="A55" s="6"/>
      <c r="B55" s="6"/>
      <c r="C55" s="6"/>
      <c r="D55" s="6"/>
      <c r="E55" s="6"/>
      <c r="F55" s="6"/>
      <c r="G55" s="6"/>
      <c r="H55" s="6"/>
    </row>
    <row r="56" spans="1:8" x14ac:dyDescent="0.25">
      <c r="A56" s="6"/>
      <c r="B56" s="6"/>
      <c r="C56" s="6"/>
      <c r="D56" s="6"/>
      <c r="E56" s="6"/>
      <c r="F56" s="6"/>
      <c r="G56" s="6"/>
      <c r="H56" s="6"/>
    </row>
    <row r="57" spans="1:8" ht="21.75" customHeight="1" x14ac:dyDescent="0.25">
      <c r="A57" s="162" t="s">
        <v>136</v>
      </c>
      <c r="B57" s="162"/>
      <c r="C57" s="162"/>
      <c r="D57" s="162"/>
      <c r="E57" s="162"/>
      <c r="F57" s="162"/>
      <c r="G57" s="162"/>
      <c r="H57" s="6"/>
    </row>
    <row r="58" spans="1:8" ht="3.75" customHeight="1" x14ac:dyDescent="0.25">
      <c r="A58" s="6"/>
      <c r="B58" s="6"/>
      <c r="C58" s="6"/>
      <c r="D58" s="6"/>
      <c r="E58" s="6"/>
      <c r="F58" s="6"/>
      <c r="G58" s="6"/>
      <c r="H58" s="6"/>
    </row>
    <row r="59" spans="1:8" ht="15" customHeight="1" x14ac:dyDescent="0.25">
      <c r="A59" s="64" t="s">
        <v>15</v>
      </c>
      <c r="B59" s="64" t="s">
        <v>103</v>
      </c>
      <c r="C59" s="64" t="s">
        <v>104</v>
      </c>
      <c r="D59" s="64" t="s">
        <v>105</v>
      </c>
      <c r="E59" s="64" t="s">
        <v>3</v>
      </c>
      <c r="F59" s="64" t="s">
        <v>106</v>
      </c>
      <c r="G59" s="64" t="s">
        <v>127</v>
      </c>
      <c r="H59" s="6"/>
    </row>
    <row r="60" spans="1:8" ht="15" customHeight="1" x14ac:dyDescent="0.25">
      <c r="A60" s="65" t="s">
        <v>23</v>
      </c>
      <c r="B60" s="77">
        <f>Data!B11</f>
        <v>0</v>
      </c>
      <c r="C60" s="77">
        <f>Data!B12</f>
        <v>24</v>
      </c>
      <c r="D60" s="77">
        <f>Data!B13</f>
        <v>14</v>
      </c>
      <c r="E60" s="77">
        <f>Data!B14</f>
        <v>8</v>
      </c>
      <c r="F60" s="77">
        <f>Data!B15</f>
        <v>0</v>
      </c>
      <c r="G60" s="65">
        <f t="shared" ref="G60:G71" si="1">AVERAGE(B60:F60)</f>
        <v>9.1999999999999993</v>
      </c>
      <c r="H60" s="6"/>
    </row>
    <row r="61" spans="1:8" ht="15" customHeight="1" x14ac:dyDescent="0.25">
      <c r="A61" s="69" t="s">
        <v>25</v>
      </c>
      <c r="B61" s="80">
        <f>Data!C11</f>
        <v>0</v>
      </c>
      <c r="C61" s="80">
        <f>Data!C12</f>
        <v>11</v>
      </c>
      <c r="D61" s="80">
        <f>Data!C13</f>
        <v>13</v>
      </c>
      <c r="E61" s="80">
        <f>Data!C14</f>
        <v>10</v>
      </c>
      <c r="F61" s="80">
        <f>Data!C15</f>
        <v>0</v>
      </c>
      <c r="G61" s="69">
        <f t="shared" si="1"/>
        <v>6.8</v>
      </c>
      <c r="H61" s="6"/>
    </row>
    <row r="62" spans="1:8" ht="15" customHeight="1" x14ac:dyDescent="0.25">
      <c r="A62" s="65" t="s">
        <v>27</v>
      </c>
      <c r="B62" s="77">
        <f>Data!D11</f>
        <v>0</v>
      </c>
      <c r="C62" s="77">
        <f>Data!D12</f>
        <v>14</v>
      </c>
      <c r="D62" s="77">
        <f>Data!D13</f>
        <v>12</v>
      </c>
      <c r="E62" s="77">
        <f>Data!D14</f>
        <v>10</v>
      </c>
      <c r="F62" s="77">
        <f>Data!D15</f>
        <v>0</v>
      </c>
      <c r="G62" s="65">
        <f t="shared" si="1"/>
        <v>7.2</v>
      </c>
      <c r="H62" s="6"/>
    </row>
    <row r="63" spans="1:8" ht="15" customHeight="1" x14ac:dyDescent="0.25">
      <c r="A63" s="69" t="s">
        <v>29</v>
      </c>
      <c r="B63" s="80">
        <f>Data!E11</f>
        <v>0</v>
      </c>
      <c r="C63" s="80">
        <f>Data!E12</f>
        <v>13</v>
      </c>
      <c r="D63" s="80">
        <f>Data!E13</f>
        <v>7</v>
      </c>
      <c r="E63" s="80">
        <f>Data!E14</f>
        <v>7</v>
      </c>
      <c r="F63" s="80">
        <f>Data!E15</f>
        <v>0</v>
      </c>
      <c r="G63" s="69">
        <f t="shared" si="1"/>
        <v>5.4</v>
      </c>
      <c r="H63" s="6"/>
    </row>
    <row r="64" spans="1:8" ht="15" customHeight="1" x14ac:dyDescent="0.25">
      <c r="A64" s="65" t="s">
        <v>31</v>
      </c>
      <c r="B64" s="77">
        <f>Data!F11</f>
        <v>0</v>
      </c>
      <c r="C64" s="77">
        <f>Data!F12</f>
        <v>17</v>
      </c>
      <c r="D64" s="77">
        <f>Data!F13</f>
        <v>18</v>
      </c>
      <c r="E64" s="77">
        <f>Data!F14</f>
        <v>0</v>
      </c>
      <c r="F64" s="77">
        <f>Data!F15</f>
        <v>0</v>
      </c>
      <c r="G64" s="65">
        <f t="shared" si="1"/>
        <v>7</v>
      </c>
      <c r="H64" s="6"/>
    </row>
    <row r="65" spans="1:8" ht="15" customHeight="1" x14ac:dyDescent="0.25">
      <c r="A65" s="69" t="s">
        <v>33</v>
      </c>
      <c r="B65" s="80">
        <f>Data!G11</f>
        <v>0</v>
      </c>
      <c r="C65" s="80">
        <f>Data!G12</f>
        <v>12</v>
      </c>
      <c r="D65" s="80">
        <f>Data!G13</f>
        <v>5</v>
      </c>
      <c r="E65" s="80">
        <f>Data!G14</f>
        <v>0</v>
      </c>
      <c r="F65" s="80">
        <f>Data!G15</f>
        <v>0</v>
      </c>
      <c r="G65" s="69">
        <f t="shared" si="1"/>
        <v>3.4</v>
      </c>
      <c r="H65" s="6"/>
    </row>
    <row r="66" spans="1:8" ht="15" customHeight="1" x14ac:dyDescent="0.25">
      <c r="A66" s="65" t="s">
        <v>35</v>
      </c>
      <c r="B66" s="77">
        <f>Data!H11</f>
        <v>10</v>
      </c>
      <c r="C66" s="77">
        <f>Data!H12</f>
        <v>13</v>
      </c>
      <c r="D66" s="77">
        <f>Data!H13</f>
        <v>16</v>
      </c>
      <c r="E66" s="77">
        <f>Data!H14</f>
        <v>0</v>
      </c>
      <c r="F66" s="77">
        <f>Data!H15</f>
        <v>0</v>
      </c>
      <c r="G66" s="65">
        <f t="shared" si="1"/>
        <v>7.8</v>
      </c>
      <c r="H66" s="6"/>
    </row>
    <row r="67" spans="1:8" ht="15" customHeight="1" x14ac:dyDescent="0.25">
      <c r="A67" s="69" t="s">
        <v>37</v>
      </c>
      <c r="B67" s="80">
        <f>Data!I11</f>
        <v>9</v>
      </c>
      <c r="C67" s="80">
        <f>Data!I12</f>
        <v>16</v>
      </c>
      <c r="D67" s="80">
        <f>Data!I13</f>
        <v>14</v>
      </c>
      <c r="E67" s="80">
        <f>Data!I14</f>
        <v>0</v>
      </c>
      <c r="F67" s="80">
        <f>Data!I15</f>
        <v>0</v>
      </c>
      <c r="G67" s="69">
        <f t="shared" si="1"/>
        <v>7.8</v>
      </c>
      <c r="H67" s="6"/>
    </row>
    <row r="68" spans="1:8" ht="15" customHeight="1" x14ac:dyDescent="0.25">
      <c r="A68" s="65" t="s">
        <v>39</v>
      </c>
      <c r="B68" s="77">
        <f>Data!J11</f>
        <v>12</v>
      </c>
      <c r="C68" s="77">
        <f>Data!J12</f>
        <v>8</v>
      </c>
      <c r="D68" s="77">
        <f>Data!J13</f>
        <v>12</v>
      </c>
      <c r="E68" s="77">
        <f>Data!J14</f>
        <v>0</v>
      </c>
      <c r="F68" s="77">
        <f>Data!J15</f>
        <v>0</v>
      </c>
      <c r="G68" s="65">
        <f t="shared" si="1"/>
        <v>6.4</v>
      </c>
      <c r="H68" s="6"/>
    </row>
    <row r="69" spans="1:8" ht="15" customHeight="1" x14ac:dyDescent="0.25">
      <c r="A69" s="69" t="s">
        <v>41</v>
      </c>
      <c r="B69" s="80">
        <f>Data!K11</f>
        <v>12</v>
      </c>
      <c r="C69" s="80">
        <f>Data!K12</f>
        <v>7</v>
      </c>
      <c r="D69" s="80">
        <f>Data!K13</f>
        <v>13</v>
      </c>
      <c r="E69" s="80">
        <f>Data!K14</f>
        <v>0</v>
      </c>
      <c r="F69" s="80">
        <f>Data!K15</f>
        <v>0</v>
      </c>
      <c r="G69" s="69">
        <f t="shared" si="1"/>
        <v>6.4</v>
      </c>
      <c r="H69" s="6"/>
    </row>
    <row r="70" spans="1:8" ht="15" customHeight="1" x14ac:dyDescent="0.25">
      <c r="A70" s="65" t="s">
        <v>43</v>
      </c>
      <c r="B70" s="77">
        <f>Data!L11</f>
        <v>10</v>
      </c>
      <c r="C70" s="77">
        <f>Data!L12</f>
        <v>14</v>
      </c>
      <c r="D70" s="77">
        <f>Data!L13</f>
        <v>9</v>
      </c>
      <c r="E70" s="77">
        <f>Data!L14</f>
        <v>0</v>
      </c>
      <c r="F70" s="77">
        <f>Data!L15</f>
        <v>0</v>
      </c>
      <c r="G70" s="65">
        <f t="shared" si="1"/>
        <v>6.6</v>
      </c>
      <c r="H70" s="6"/>
    </row>
    <row r="71" spans="1:8" ht="15" customHeight="1" x14ac:dyDescent="0.25">
      <c r="A71" s="69" t="s">
        <v>45</v>
      </c>
      <c r="B71" s="80">
        <f>Data!M11</f>
        <v>9</v>
      </c>
      <c r="C71" s="80">
        <f>Data!M12</f>
        <v>9</v>
      </c>
      <c r="D71" s="80">
        <f>Data!M13</f>
        <v>5</v>
      </c>
      <c r="E71" s="80">
        <f>Data!M14</f>
        <v>0</v>
      </c>
      <c r="F71" s="80">
        <f>Data!M15</f>
        <v>0</v>
      </c>
      <c r="G71" s="69">
        <f t="shared" si="1"/>
        <v>4.5999999999999996</v>
      </c>
      <c r="H71" s="6"/>
    </row>
    <row r="72" spans="1:8" x14ac:dyDescent="0.25">
      <c r="A72" s="6"/>
      <c r="B72" s="6"/>
      <c r="C72" s="6"/>
      <c r="D72" s="6"/>
      <c r="E72" s="6"/>
      <c r="F72" s="6"/>
      <c r="G72" s="6"/>
      <c r="H72" s="6"/>
    </row>
    <row r="73" spans="1:8" x14ac:dyDescent="0.25">
      <c r="A73" s="6"/>
      <c r="B73" s="6"/>
      <c r="C73" s="6"/>
      <c r="D73" s="6"/>
      <c r="E73" s="6"/>
      <c r="F73" s="6"/>
      <c r="G73" s="6"/>
      <c r="H73" s="6"/>
    </row>
    <row r="74" spans="1:8" ht="27.75" customHeight="1" x14ac:dyDescent="0.25">
      <c r="A74" s="157" t="s">
        <v>137</v>
      </c>
      <c r="B74" s="157"/>
      <c r="C74" s="157"/>
      <c r="D74" s="157"/>
      <c r="E74" s="157"/>
      <c r="F74" s="157"/>
      <c r="G74" s="157"/>
      <c r="H74" s="157"/>
    </row>
    <row r="75" spans="1:8" x14ac:dyDescent="0.25">
      <c r="A75" s="6"/>
      <c r="B75" s="6"/>
      <c r="C75" s="6"/>
      <c r="D75" s="6"/>
      <c r="E75" s="6"/>
      <c r="F75" s="6"/>
      <c r="G75" s="6"/>
      <c r="H75" s="6"/>
    </row>
    <row r="76" spans="1:8" ht="21.75" customHeight="1" x14ac:dyDescent="0.25">
      <c r="A76" s="158" t="s">
        <v>138</v>
      </c>
      <c r="B76" s="158"/>
      <c r="C76" s="158"/>
      <c r="D76" s="158"/>
      <c r="E76" s="158"/>
      <c r="F76" s="158"/>
      <c r="G76" s="158"/>
      <c r="H76" s="6"/>
    </row>
    <row r="77" spans="1:8" x14ac:dyDescent="0.25">
      <c r="A77" s="6"/>
      <c r="B77" s="6"/>
      <c r="C77" s="6"/>
      <c r="D77" s="6"/>
      <c r="E77" s="6"/>
      <c r="F77" s="6"/>
      <c r="G77" s="6"/>
      <c r="H77" s="6"/>
    </row>
    <row r="78" spans="1:8" ht="21.75" customHeight="1" x14ac:dyDescent="0.25">
      <c r="A78" s="82" t="s">
        <v>126</v>
      </c>
      <c r="B78" s="82" t="s">
        <v>104</v>
      </c>
      <c r="C78" s="82" t="s">
        <v>105</v>
      </c>
      <c r="D78" s="82" t="s">
        <v>3</v>
      </c>
      <c r="E78" s="82" t="s">
        <v>106</v>
      </c>
      <c r="F78" s="82" t="s">
        <v>127</v>
      </c>
      <c r="G78" s="82" t="s">
        <v>128</v>
      </c>
      <c r="H78" s="6"/>
    </row>
    <row r="79" spans="1:8" ht="15" customHeight="1" x14ac:dyDescent="0.25">
      <c r="A79" s="83" t="s">
        <v>129</v>
      </c>
      <c r="B79" s="84">
        <v>0.45132743362831901</v>
      </c>
      <c r="C79" s="84">
        <v>0.40117994100295001</v>
      </c>
      <c r="D79" s="84">
        <v>0.28612716763005802</v>
      </c>
      <c r="E79" s="84">
        <v>0</v>
      </c>
      <c r="F79" s="84">
        <v>0.284658635565332</v>
      </c>
      <c r="G79" s="85" t="s">
        <v>139</v>
      </c>
      <c r="H79" s="6"/>
    </row>
    <row r="80" spans="1:8" ht="15" customHeight="1" x14ac:dyDescent="0.25">
      <c r="A80" s="86" t="s">
        <v>130</v>
      </c>
      <c r="B80" s="87">
        <v>153</v>
      </c>
      <c r="C80" s="87">
        <v>136</v>
      </c>
      <c r="D80" s="87">
        <v>99</v>
      </c>
      <c r="E80" s="87">
        <v>0</v>
      </c>
      <c r="F80" s="88">
        <v>97</v>
      </c>
      <c r="G80" s="89" t="s">
        <v>139</v>
      </c>
      <c r="H80" s="6"/>
    </row>
    <row r="81" spans="1:8" ht="15" customHeight="1" x14ac:dyDescent="0.25">
      <c r="A81" s="83" t="s">
        <v>131</v>
      </c>
      <c r="B81" s="84">
        <v>0.54248366013071903</v>
      </c>
      <c r="C81" s="84">
        <v>0.59558823529411797</v>
      </c>
      <c r="D81" s="84">
        <v>0.78787878787878796</v>
      </c>
      <c r="E81" s="84">
        <v>0</v>
      </c>
      <c r="F81" s="84">
        <v>0.64198356110120802</v>
      </c>
      <c r="G81" s="90"/>
      <c r="H81" s="6"/>
    </row>
    <row r="82" spans="1:8" ht="15" customHeight="1" x14ac:dyDescent="0.25">
      <c r="A82" s="86" t="s">
        <v>132</v>
      </c>
      <c r="B82" s="88">
        <v>12.75</v>
      </c>
      <c r="C82" s="88">
        <v>11.3333333333333</v>
      </c>
      <c r="D82" s="88">
        <v>8.25</v>
      </c>
      <c r="E82" s="88">
        <v>0</v>
      </c>
      <c r="F82" s="88">
        <v>8.0833333333333304</v>
      </c>
      <c r="G82" s="89" t="s">
        <v>139</v>
      </c>
      <c r="H82" s="6"/>
    </row>
    <row r="83" spans="1:8" x14ac:dyDescent="0.25">
      <c r="A83" s="6"/>
      <c r="B83" s="6"/>
      <c r="C83" s="6"/>
      <c r="D83" s="6"/>
      <c r="E83" s="6"/>
      <c r="F83" s="6"/>
      <c r="G83" s="6"/>
      <c r="H83" s="6"/>
    </row>
    <row r="84" spans="1:8" x14ac:dyDescent="0.25">
      <c r="A84" s="6"/>
      <c r="B84" s="6"/>
      <c r="C84" s="6"/>
      <c r="D84" s="6"/>
      <c r="E84" s="6"/>
      <c r="F84" s="6"/>
      <c r="G84" s="6"/>
      <c r="H84" s="6"/>
    </row>
    <row r="85" spans="1:8" ht="21.75" customHeight="1" x14ac:dyDescent="0.25">
      <c r="A85" s="159" t="s">
        <v>140</v>
      </c>
      <c r="B85" s="159"/>
      <c r="C85" s="159"/>
      <c r="D85" s="159"/>
      <c r="E85" s="159"/>
      <c r="F85" s="159"/>
      <c r="G85" s="6"/>
      <c r="H85" s="6"/>
    </row>
    <row r="86" spans="1:8" x14ac:dyDescent="0.25">
      <c r="A86" s="6"/>
      <c r="B86" s="6"/>
      <c r="C86" s="6"/>
      <c r="D86" s="6"/>
      <c r="E86" s="6"/>
      <c r="F86" s="6"/>
      <c r="G86" s="6"/>
      <c r="H86" s="6"/>
    </row>
    <row r="87" spans="1:8" ht="21.75" customHeight="1" x14ac:dyDescent="0.25">
      <c r="A87" s="82" t="s">
        <v>15</v>
      </c>
      <c r="B87" s="82" t="s">
        <v>104</v>
      </c>
      <c r="C87" s="82" t="s">
        <v>105</v>
      </c>
      <c r="D87" s="82" t="s">
        <v>3</v>
      </c>
      <c r="E87" s="82" t="s">
        <v>106</v>
      </c>
      <c r="F87" s="82" t="s">
        <v>127</v>
      </c>
      <c r="G87" s="6"/>
      <c r="H87" s="6"/>
    </row>
    <row r="88" spans="1:8" ht="15" customHeight="1" x14ac:dyDescent="0.25">
      <c r="A88" s="83" t="s">
        <v>35</v>
      </c>
      <c r="B88" s="90">
        <v>10</v>
      </c>
      <c r="C88" s="90">
        <v>13</v>
      </c>
      <c r="D88" s="90">
        <v>16</v>
      </c>
      <c r="E88" s="90">
        <v>0</v>
      </c>
      <c r="F88" s="91">
        <v>9.75</v>
      </c>
      <c r="G88" s="6"/>
      <c r="H88" s="6"/>
    </row>
    <row r="89" spans="1:8" ht="15" customHeight="1" x14ac:dyDescent="0.25">
      <c r="A89" s="86" t="s">
        <v>37</v>
      </c>
      <c r="B89" s="87">
        <v>9</v>
      </c>
      <c r="C89" s="87">
        <v>16</v>
      </c>
      <c r="D89" s="87">
        <v>14</v>
      </c>
      <c r="E89" s="87">
        <v>0</v>
      </c>
      <c r="F89" s="88">
        <v>9.75</v>
      </c>
      <c r="G89" s="6"/>
      <c r="H89" s="6"/>
    </row>
    <row r="90" spans="1:8" ht="15" customHeight="1" x14ac:dyDescent="0.25">
      <c r="A90" s="83" t="s">
        <v>39</v>
      </c>
      <c r="B90" s="90">
        <v>12</v>
      </c>
      <c r="C90" s="90">
        <v>8</v>
      </c>
      <c r="D90" s="90">
        <v>12</v>
      </c>
      <c r="E90" s="90">
        <v>0</v>
      </c>
      <c r="F90" s="91">
        <v>8</v>
      </c>
      <c r="G90" s="6"/>
      <c r="H90" s="6"/>
    </row>
    <row r="91" spans="1:8" ht="15" customHeight="1" x14ac:dyDescent="0.25">
      <c r="A91" s="86" t="s">
        <v>41</v>
      </c>
      <c r="B91" s="87">
        <v>12</v>
      </c>
      <c r="C91" s="87">
        <v>7</v>
      </c>
      <c r="D91" s="87">
        <v>13</v>
      </c>
      <c r="E91" s="87">
        <v>0</v>
      </c>
      <c r="F91" s="88">
        <v>8</v>
      </c>
      <c r="G91" s="6"/>
      <c r="H91" s="6"/>
    </row>
    <row r="92" spans="1:8" ht="15" customHeight="1" x14ac:dyDescent="0.25">
      <c r="A92" s="83" t="s">
        <v>43</v>
      </c>
      <c r="B92" s="90">
        <v>10</v>
      </c>
      <c r="C92" s="90">
        <v>14</v>
      </c>
      <c r="D92" s="90">
        <v>9</v>
      </c>
      <c r="E92" s="90">
        <v>0</v>
      </c>
      <c r="F92" s="91">
        <v>8.25</v>
      </c>
      <c r="G92" s="6"/>
      <c r="H92" s="6"/>
    </row>
    <row r="93" spans="1:8" ht="15" customHeight="1" x14ac:dyDescent="0.25">
      <c r="A93" s="86" t="s">
        <v>45</v>
      </c>
      <c r="B93" s="87">
        <v>9</v>
      </c>
      <c r="C93" s="87">
        <v>9</v>
      </c>
      <c r="D93" s="87">
        <v>5</v>
      </c>
      <c r="E93" s="87">
        <v>0</v>
      </c>
      <c r="F93" s="88">
        <v>5.75</v>
      </c>
      <c r="G93" s="6"/>
      <c r="H93" s="6"/>
    </row>
    <row r="94" spans="1:8" ht="15" customHeight="1" x14ac:dyDescent="0.25">
      <c r="A94" s="92" t="s">
        <v>23</v>
      </c>
      <c r="B94" s="93">
        <v>24</v>
      </c>
      <c r="C94" s="93">
        <v>14</v>
      </c>
      <c r="D94" s="93">
        <v>8</v>
      </c>
      <c r="E94" s="93">
        <v>0</v>
      </c>
      <c r="F94" s="94">
        <v>11.5</v>
      </c>
      <c r="G94" s="6"/>
      <c r="H94" s="6"/>
    </row>
    <row r="95" spans="1:8" ht="15" customHeight="1" x14ac:dyDescent="0.25">
      <c r="A95" s="86" t="s">
        <v>25</v>
      </c>
      <c r="B95" s="87">
        <v>11</v>
      </c>
      <c r="C95" s="87">
        <v>13</v>
      </c>
      <c r="D95" s="87">
        <v>10</v>
      </c>
      <c r="E95" s="87">
        <v>0</v>
      </c>
      <c r="F95" s="88">
        <v>8.5</v>
      </c>
      <c r="G95" s="6"/>
      <c r="H95" s="6"/>
    </row>
    <row r="96" spans="1:8" ht="15" customHeight="1" x14ac:dyDescent="0.25">
      <c r="A96" s="83" t="s">
        <v>27</v>
      </c>
      <c r="B96" s="90">
        <v>14</v>
      </c>
      <c r="C96" s="90">
        <v>12</v>
      </c>
      <c r="D96" s="90">
        <v>10</v>
      </c>
      <c r="E96" s="90">
        <v>0</v>
      </c>
      <c r="F96" s="91">
        <v>9</v>
      </c>
      <c r="G96" s="6"/>
      <c r="H96" s="6"/>
    </row>
    <row r="97" spans="1:8" ht="15" customHeight="1" x14ac:dyDescent="0.25">
      <c r="A97" s="86" t="s">
        <v>29</v>
      </c>
      <c r="B97" s="87">
        <v>13</v>
      </c>
      <c r="C97" s="87">
        <v>7</v>
      </c>
      <c r="D97" s="87">
        <v>2</v>
      </c>
      <c r="E97" s="87">
        <v>0</v>
      </c>
      <c r="F97" s="88">
        <v>5.5</v>
      </c>
      <c r="G97" s="6"/>
      <c r="H97" s="6"/>
    </row>
    <row r="98" spans="1:8" ht="15" customHeight="1" x14ac:dyDescent="0.25">
      <c r="A98" s="83" t="s">
        <v>31</v>
      </c>
      <c r="B98" s="90">
        <v>17</v>
      </c>
      <c r="C98" s="90">
        <v>18</v>
      </c>
      <c r="D98" s="90">
        <v>0</v>
      </c>
      <c r="E98" s="90">
        <v>0</v>
      </c>
      <c r="F98" s="91">
        <v>8.75</v>
      </c>
      <c r="G98" s="6"/>
      <c r="H98" s="6"/>
    </row>
    <row r="99" spans="1:8" ht="15" customHeight="1" x14ac:dyDescent="0.25">
      <c r="A99" s="86" t="s">
        <v>33</v>
      </c>
      <c r="B99" s="87">
        <v>12</v>
      </c>
      <c r="C99" s="87">
        <v>5</v>
      </c>
      <c r="D99" s="87">
        <v>0</v>
      </c>
      <c r="E99" s="87">
        <v>0</v>
      </c>
      <c r="F99" s="88">
        <v>4.25</v>
      </c>
      <c r="G99" s="6"/>
      <c r="H99" s="6"/>
    </row>
    <row r="100" spans="1:8" x14ac:dyDescent="0.25">
      <c r="A100" s="6"/>
      <c r="B100" s="6"/>
      <c r="C100" s="6"/>
      <c r="D100" s="6"/>
      <c r="E100" s="6"/>
      <c r="F100" s="6"/>
      <c r="G100" s="6"/>
      <c r="H100" s="6"/>
    </row>
    <row r="101" spans="1:8" x14ac:dyDescent="0.25">
      <c r="A101" s="6"/>
      <c r="B101" s="6"/>
      <c r="C101" s="6"/>
      <c r="D101" s="6"/>
      <c r="E101" s="6"/>
      <c r="F101" s="6"/>
      <c r="G101" s="6"/>
      <c r="H101" s="6"/>
    </row>
    <row r="102" spans="1:8" ht="21.75" customHeight="1" x14ac:dyDescent="0.25">
      <c r="A102" s="159" t="s">
        <v>141</v>
      </c>
      <c r="B102" s="159"/>
      <c r="C102" s="159"/>
      <c r="D102" s="159"/>
      <c r="E102" s="159"/>
      <c r="F102" s="6"/>
      <c r="G102" s="6"/>
      <c r="H102" s="6"/>
    </row>
    <row r="103" spans="1:8" x14ac:dyDescent="0.25">
      <c r="A103" s="6"/>
      <c r="B103" s="6"/>
      <c r="C103" s="6"/>
      <c r="D103" s="6"/>
      <c r="E103" s="6"/>
      <c r="F103" s="6"/>
      <c r="G103" s="6"/>
      <c r="H103" s="6"/>
    </row>
    <row r="104" spans="1:8" ht="21.75" customHeight="1" x14ac:dyDescent="0.25">
      <c r="A104" s="82" t="s">
        <v>142</v>
      </c>
      <c r="B104" s="82" t="s">
        <v>104</v>
      </c>
      <c r="C104" s="82" t="s">
        <v>105</v>
      </c>
      <c r="D104" s="82" t="s">
        <v>3</v>
      </c>
      <c r="E104" s="82" t="s">
        <v>106</v>
      </c>
      <c r="F104" s="6"/>
      <c r="G104" s="6"/>
      <c r="H104" s="6"/>
    </row>
    <row r="105" spans="1:8" ht="15" customHeight="1" x14ac:dyDescent="0.25">
      <c r="A105" s="83" t="s">
        <v>143</v>
      </c>
      <c r="B105" s="90">
        <v>62</v>
      </c>
      <c r="C105" s="90">
        <v>67</v>
      </c>
      <c r="D105" s="90">
        <v>69</v>
      </c>
      <c r="E105" s="90">
        <v>0</v>
      </c>
      <c r="F105" s="6"/>
      <c r="G105" s="6"/>
      <c r="H105" s="6"/>
    </row>
    <row r="106" spans="1:8" ht="15" customHeight="1" x14ac:dyDescent="0.25">
      <c r="A106" s="86" t="s">
        <v>144</v>
      </c>
      <c r="B106" s="87">
        <v>91</v>
      </c>
      <c r="C106" s="87">
        <v>69</v>
      </c>
      <c r="D106" s="87">
        <v>30</v>
      </c>
      <c r="E106" s="87">
        <v>0</v>
      </c>
      <c r="F106" s="6"/>
      <c r="G106" s="6"/>
      <c r="H106" s="6"/>
    </row>
  </sheetData>
  <mergeCells count="9">
    <mergeCell ref="A74:H74"/>
    <mergeCell ref="A76:G76"/>
    <mergeCell ref="A85:F85"/>
    <mergeCell ref="A102:E102"/>
    <mergeCell ref="A2:H2"/>
    <mergeCell ref="A3:H3"/>
    <mergeCell ref="A5:H5"/>
    <mergeCell ref="A13:G13"/>
    <mergeCell ref="A57:G5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39C12"/>
  </sheetPr>
  <dimension ref="A1:M414"/>
  <sheetViews>
    <sheetView zoomScaleNormal="100" workbookViewId="0">
      <pane ySplit="6" topLeftCell="A92" activePane="bottomLeft" state="frozen"/>
      <selection pane="bottomLeft"/>
    </sheetView>
  </sheetViews>
  <sheetFormatPr defaultColWidth="8.7109375" defaultRowHeight="15" x14ac:dyDescent="0.25"/>
  <cols>
    <col min="1" max="1" width="26" customWidth="1"/>
    <col min="2" max="3" width="16" customWidth="1"/>
    <col min="4" max="4" width="20" customWidth="1"/>
    <col min="5" max="5" width="18" customWidth="1"/>
    <col min="6" max="6" width="10" customWidth="1"/>
    <col min="7" max="7" width="28" customWidth="1"/>
    <col min="8" max="9" width="22" customWidth="1"/>
    <col min="10" max="10" width="16" customWidth="1"/>
    <col min="11" max="11" width="18" customWidth="1"/>
    <col min="12" max="12" width="34" customWidth="1"/>
    <col min="13" max="13" width="20" customWidth="1"/>
  </cols>
  <sheetData>
    <row r="1" spans="1:13" ht="7.5" customHeight="1" x14ac:dyDescent="0.25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3" ht="31.5" customHeight="1" x14ac:dyDescent="0.25">
      <c r="A2" s="160" t="s">
        <v>145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</row>
    <row r="3" spans="1:13" ht="19.5" customHeight="1" x14ac:dyDescent="0.25">
      <c r="A3" s="164" t="s">
        <v>146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</row>
    <row r="4" spans="1:13" ht="6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27.75" customHeight="1" x14ac:dyDescent="0.25">
      <c r="A5" s="95" t="s">
        <v>147</v>
      </c>
      <c r="B5" s="96">
        <v>364</v>
      </c>
      <c r="C5" s="97"/>
      <c r="D5" s="95" t="s">
        <v>148</v>
      </c>
      <c r="E5" s="98">
        <f>B39+B73+B107+B141+B175+B209+B243+B277+B311+B345+B379+B413</f>
        <v>0</v>
      </c>
      <c r="F5" s="97"/>
      <c r="G5" s="95" t="s">
        <v>149</v>
      </c>
      <c r="H5" s="99">
        <f>IF(B5=0,0,E5/B5)</f>
        <v>0</v>
      </c>
      <c r="I5" s="97"/>
      <c r="J5" s="97"/>
      <c r="K5" s="97"/>
      <c r="L5" s="97"/>
      <c r="M5" s="97"/>
    </row>
    <row r="6" spans="1:13" ht="6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21.75" customHeight="1" x14ac:dyDescent="0.25">
      <c r="A7" s="163" t="s">
        <v>150</v>
      </c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</row>
    <row r="8" spans="1:13" ht="19.5" customHeight="1" x14ac:dyDescent="0.25">
      <c r="A8" s="64" t="s">
        <v>151</v>
      </c>
      <c r="B8" s="64" t="s">
        <v>152</v>
      </c>
      <c r="C8" s="64" t="s">
        <v>153</v>
      </c>
      <c r="D8" s="64" t="s">
        <v>154</v>
      </c>
      <c r="E8" s="64" t="s">
        <v>155</v>
      </c>
      <c r="F8" s="64" t="s">
        <v>156</v>
      </c>
      <c r="G8" s="64" t="s">
        <v>157</v>
      </c>
      <c r="H8" s="64" t="s">
        <v>158</v>
      </c>
      <c r="I8" s="64" t="s">
        <v>159</v>
      </c>
      <c r="J8" s="64" t="s">
        <v>160</v>
      </c>
      <c r="K8" s="64" t="s">
        <v>134</v>
      </c>
      <c r="L8" s="64" t="s">
        <v>161</v>
      </c>
      <c r="M8" s="64" t="s">
        <v>162</v>
      </c>
    </row>
    <row r="9" spans="1:13" ht="15" customHeight="1" x14ac:dyDescent="0.25">
      <c r="A9" s="100"/>
      <c r="B9" s="101"/>
      <c r="C9" s="101"/>
      <c r="D9" s="100">
        <f>IF(OR(B9="",C9=""),"",IF(DATEDIF(C9,B9,"y")&gt;=1,DATEDIF(C9,B9,"y")&amp;IF(DATEDIF(C9,B9,"y")=1," year "," years ")&amp;DATEDIF(C9,B9,"ym")&amp;IF(DATEDIF(C9,B9,"ym")=1," month"," months"),IF(DATEDIF(C9,B9,"m")&gt;=1,DATEDIF(C9,B9,"m")&amp;IF(DATEDIF(C9,B9,"m")=1," month"," months"),DATEDIF(C9,B9,"d")&amp;IF(DATEDIF(C9,B9,"d")=1," day"," days"))))</f>
      </c>
      <c r="E9" s="100"/>
      <c r="F9" s="100"/>
      <c r="G9" s="100"/>
      <c r="H9" s="100"/>
      <c r="I9" s="100"/>
      <c r="J9" s="101"/>
      <c r="K9" s="100"/>
      <c r="L9" s="100"/>
      <c r="M9" s="102" t="str">
        <f>IFERROR(VLOOKUP(G9,Reference!$I$2:$J$175,2,FALSE()),"Operations")</f>
        <v>Operations</v>
      </c>
    </row>
    <row r="10" spans="1:13" ht="15" customHeight="1" x14ac:dyDescent="0.25">
      <c r="A10" s="103"/>
      <c r="B10" s="104"/>
      <c r="C10" s="104"/>
      <c r="D10" s="103">
        <f>IF(OR(B10="",C10=""),"",IF(DATEDIF(C10,B10,"y")&gt;=1,DATEDIF(C10,B10,"y")&amp;IF(DATEDIF(C10,B10,"y")=1," year "," years ")&amp;DATEDIF(C10,B10,"ym")&amp;IF(DATEDIF(C10,B10,"ym")=1," month"," months"),IF(DATEDIF(C10,B10,"m")&gt;=1,DATEDIF(C10,B10,"m")&amp;IF(DATEDIF(C10,B10,"m")=1," month"," months"),DATEDIF(C10,B10,"d")&amp;IF(DATEDIF(C10,B10,"d")=1," day"," days"))))</f>
      </c>
      <c r="E10" s="103"/>
      <c r="F10" s="103"/>
      <c r="G10" s="103"/>
      <c r="H10" s="103"/>
      <c r="I10" s="103"/>
      <c r="J10" s="104"/>
      <c r="K10" s="103"/>
      <c r="L10" s="103"/>
      <c r="M10" s="105" t="str">
        <f>IFERROR(VLOOKUP(G10,Reference!$I$2:$J$175,2,FALSE()),"Operations")</f>
        <v>Operations</v>
      </c>
    </row>
    <row r="11" spans="1:13" ht="15" customHeight="1" x14ac:dyDescent="0.25">
      <c r="A11" s="100"/>
      <c r="B11" s="101"/>
      <c r="C11" s="101"/>
      <c r="D11" s="100">
        <f>IF(OR(B11="",C11=""),"",IF(DATEDIF(C11,B11,"y")&gt;=1,DATEDIF(C11,B11,"y")&amp;IF(DATEDIF(C11,B11,"y")=1," year "," years ")&amp;DATEDIF(C11,B11,"ym")&amp;IF(DATEDIF(C11,B11,"ym")=1," month"," months"),IF(DATEDIF(C11,B11,"m")&gt;=1,DATEDIF(C11,B11,"m")&amp;IF(DATEDIF(C11,B11,"m")=1," month"," months"),DATEDIF(C11,B11,"d")&amp;IF(DATEDIF(C11,B11,"d")=1," day"," days"))))</f>
      </c>
      <c r="E11" s="100"/>
      <c r="F11" s="100"/>
      <c r="G11" s="100"/>
      <c r="H11" s="100"/>
      <c r="I11" s="100"/>
      <c r="J11" s="101"/>
      <c r="K11" s="100"/>
      <c r="L11" s="100"/>
      <c r="M11" s="102" t="str">
        <f>IFERROR(VLOOKUP(G11,Reference!$I$2:$J$175,2,FALSE()),"Operations")</f>
        <v>Operations</v>
      </c>
    </row>
    <row r="12" spans="1:13" ht="15" customHeight="1" x14ac:dyDescent="0.25">
      <c r="A12" s="103"/>
      <c r="B12" s="104"/>
      <c r="C12" s="104"/>
      <c r="D12" s="103">
        <f>IF(OR(B12="",C12=""),"",IF(DATEDIF(C12,B12,"y")&gt;=1,DATEDIF(C12,B12,"y")&amp;IF(DATEDIF(C12,B12,"y")=1," year "," years ")&amp;DATEDIF(C12,B12,"ym")&amp;IF(DATEDIF(C12,B12,"ym")=1," month"," months"),IF(DATEDIF(C12,B12,"m")&gt;=1,DATEDIF(C12,B12,"m")&amp;IF(DATEDIF(C12,B12,"m")=1," month"," months"),DATEDIF(C12,B12,"d")&amp;IF(DATEDIF(C12,B12,"d")=1," day"," days"))))</f>
      </c>
      <c r="E12" s="103"/>
      <c r="F12" s="103"/>
      <c r="G12" s="103"/>
      <c r="H12" s="103"/>
      <c r="I12" s="103"/>
      <c r="J12" s="104"/>
      <c r="K12" s="103"/>
      <c r="L12" s="103"/>
      <c r="M12" s="105" t="str">
        <f>IFERROR(VLOOKUP(G12,Reference!$I$2:$J$175,2,FALSE()),"Operations")</f>
        <v>Operations</v>
      </c>
    </row>
    <row r="13" spans="1:13" ht="15" customHeight="1" x14ac:dyDescent="0.25">
      <c r="A13" s="100"/>
      <c r="B13" s="101"/>
      <c r="C13" s="101"/>
      <c r="D13" s="100">
        <f>IF(OR(B13="",C13=""),"",IF(DATEDIF(C13,B13,"y")&gt;=1,DATEDIF(C13,B13,"y")&amp;IF(DATEDIF(C13,B13,"y")=1," year "," years ")&amp;DATEDIF(C13,B13,"ym")&amp;IF(DATEDIF(C13,B13,"ym")=1," month"," months"),IF(DATEDIF(C13,B13,"m")&gt;=1,DATEDIF(C13,B13,"m")&amp;IF(DATEDIF(C13,B13,"m")=1," month"," months"),DATEDIF(C13,B13,"d")&amp;IF(DATEDIF(C13,B13,"d")=1," day"," days"))))</f>
      </c>
      <c r="E13" s="100"/>
      <c r="F13" s="100"/>
      <c r="G13" s="100"/>
      <c r="H13" s="100"/>
      <c r="I13" s="100"/>
      <c r="J13" s="101"/>
      <c r="K13" s="100"/>
      <c r="L13" s="100"/>
      <c r="M13" s="102" t="str">
        <f>IFERROR(VLOOKUP(G13,Reference!$I$2:$J$175,2,FALSE()),"Operations")</f>
        <v>Operations</v>
      </c>
    </row>
    <row r="14" spans="1:13" ht="15" customHeight="1" x14ac:dyDescent="0.25">
      <c r="A14" s="103"/>
      <c r="B14" s="104"/>
      <c r="C14" s="104"/>
      <c r="D14" s="103">
        <f>IF(OR(B14="",C14=""),"",IF(DATEDIF(C14,B14,"y")&gt;=1,DATEDIF(C14,B14,"y")&amp;IF(DATEDIF(C14,B14,"y")=1," year "," years ")&amp;DATEDIF(C14,B14,"ym")&amp;IF(DATEDIF(C14,B14,"ym")=1," month"," months"),IF(DATEDIF(C14,B14,"m")&gt;=1,DATEDIF(C14,B14,"m")&amp;IF(DATEDIF(C14,B14,"m")=1," month"," months"),DATEDIF(C14,B14,"d")&amp;IF(DATEDIF(C14,B14,"d")=1," day"," days"))))</f>
      </c>
      <c r="E14" s="103"/>
      <c r="F14" s="103"/>
      <c r="G14" s="103"/>
      <c r="H14" s="103"/>
      <c r="I14" s="103"/>
      <c r="J14" s="104"/>
      <c r="K14" s="103"/>
      <c r="L14" s="103"/>
      <c r="M14" s="105" t="str">
        <f>IFERROR(VLOOKUP(G14,Reference!$I$2:$J$175,2,FALSE()),"Operations")</f>
        <v>Operations</v>
      </c>
    </row>
    <row r="15" spans="1:13" ht="15" customHeight="1" x14ac:dyDescent="0.25">
      <c r="A15" s="100"/>
      <c r="B15" s="101"/>
      <c r="C15" s="101"/>
      <c r="D15" s="100">
        <f>IF(OR(B15="",C15=""),"",IF(DATEDIF(C15,B15,"y")&gt;=1,DATEDIF(C15,B15,"y")&amp;IF(DATEDIF(C15,B15,"y")=1," year "," years ")&amp;DATEDIF(C15,B15,"ym")&amp;IF(DATEDIF(C15,B15,"ym")=1," month"," months"),IF(DATEDIF(C15,B15,"m")&gt;=1,DATEDIF(C15,B15,"m")&amp;IF(DATEDIF(C15,B15,"m")=1," month"," months"),DATEDIF(C15,B15,"d")&amp;IF(DATEDIF(C15,B15,"d")=1," day"," days"))))</f>
      </c>
      <c r="E15" s="100"/>
      <c r="F15" s="100"/>
      <c r="G15" s="100"/>
      <c r="H15" s="100"/>
      <c r="I15" s="100"/>
      <c r="J15" s="101"/>
      <c r="K15" s="100"/>
      <c r="L15" s="100"/>
      <c r="M15" s="102" t="str">
        <f>IFERROR(VLOOKUP(G15,Reference!$I$2:$J$175,2,FALSE()),"Operations")</f>
        <v>Operations</v>
      </c>
    </row>
    <row r="16" spans="1:13" ht="15" customHeight="1" x14ac:dyDescent="0.25">
      <c r="A16" s="103"/>
      <c r="B16" s="104"/>
      <c r="C16" s="104"/>
      <c r="D16" s="103">
        <f>IF(OR(B16="",C16=""),"",IF(DATEDIF(C16,B16,"y")&gt;=1,DATEDIF(C16,B16,"y")&amp;IF(DATEDIF(C16,B16,"y")=1," year "," years ")&amp;DATEDIF(C16,B16,"ym")&amp;IF(DATEDIF(C16,B16,"ym")=1," month"," months"),IF(DATEDIF(C16,B16,"m")&gt;=1,DATEDIF(C16,B16,"m")&amp;IF(DATEDIF(C16,B16,"m")=1," month"," months"),DATEDIF(C16,B16,"d")&amp;IF(DATEDIF(C16,B16,"d")=1," day"," days"))))</f>
      </c>
      <c r="E16" s="103"/>
      <c r="F16" s="103"/>
      <c r="G16" s="103"/>
      <c r="H16" s="103"/>
      <c r="I16" s="103"/>
      <c r="J16" s="104"/>
      <c r="K16" s="103"/>
      <c r="L16" s="103"/>
      <c r="M16" s="105" t="str">
        <f>IFERROR(VLOOKUP(G16,Reference!$I$2:$J$175,2,FALSE()),"Operations")</f>
        <v>Operations</v>
      </c>
    </row>
    <row r="17" spans="1:13" ht="15" customHeight="1" x14ac:dyDescent="0.25">
      <c r="A17" s="100"/>
      <c r="B17" s="101"/>
      <c r="C17" s="101"/>
      <c r="D17" s="100">
        <f>IF(OR(B17="",C17=""),"",IF(DATEDIF(C17,B17,"y")&gt;=1,DATEDIF(C17,B17,"y")&amp;IF(DATEDIF(C17,B17,"y")=1," year "," years ")&amp;DATEDIF(C17,B17,"ym")&amp;IF(DATEDIF(C17,B17,"ym")=1," month"," months"),IF(DATEDIF(C17,B17,"m")&gt;=1,DATEDIF(C17,B17,"m")&amp;IF(DATEDIF(C17,B17,"m")=1," month"," months"),DATEDIF(C17,B17,"d")&amp;IF(DATEDIF(C17,B17,"d")=1," day"," days"))))</f>
      </c>
      <c r="E17" s="100"/>
      <c r="F17" s="100"/>
      <c r="G17" s="100"/>
      <c r="H17" s="100"/>
      <c r="I17" s="100"/>
      <c r="J17" s="101"/>
      <c r="K17" s="100"/>
      <c r="L17" s="100"/>
      <c r="M17" s="102" t="str">
        <f>IFERROR(VLOOKUP(G17,Reference!$I$2:$J$175,2,FALSE()),"Operations")</f>
        <v>Operations</v>
      </c>
    </row>
    <row r="18" spans="1:13" ht="15" customHeight="1" x14ac:dyDescent="0.25">
      <c r="A18" s="103"/>
      <c r="B18" s="104"/>
      <c r="C18" s="104"/>
      <c r="D18" s="103">
        <f>IF(OR(B18="",C18=""),"",IF(DATEDIF(C18,B18,"y")&gt;=1,DATEDIF(C18,B18,"y")&amp;IF(DATEDIF(C18,B18,"y")=1," year "," years ")&amp;DATEDIF(C18,B18,"ym")&amp;IF(DATEDIF(C18,B18,"ym")=1," month"," months"),IF(DATEDIF(C18,B18,"m")&gt;=1,DATEDIF(C18,B18,"m")&amp;IF(DATEDIF(C18,B18,"m")=1," month"," months"),DATEDIF(C18,B18,"d")&amp;IF(DATEDIF(C18,B18,"d")=1," day"," days"))))</f>
      </c>
      <c r="E18" s="103"/>
      <c r="F18" s="103"/>
      <c r="G18" s="103"/>
      <c r="H18" s="103"/>
      <c r="I18" s="103"/>
      <c r="J18" s="104"/>
      <c r="K18" s="103"/>
      <c r="L18" s="103"/>
      <c r="M18" s="105" t="str">
        <f>IFERROR(VLOOKUP(G18,Reference!$I$2:$J$175,2,FALSE()),"Operations")</f>
        <v>Operations</v>
      </c>
    </row>
    <row r="19" spans="1:13" ht="15" customHeight="1" x14ac:dyDescent="0.25">
      <c r="A19" s="100"/>
      <c r="B19" s="101"/>
      <c r="C19" s="101"/>
      <c r="D19" s="100">
        <f>IF(OR(B19="",C19=""),"",IF(DATEDIF(C19,B19,"y")&gt;=1,DATEDIF(C19,B19,"y")&amp;IF(DATEDIF(C19,B19,"y")=1," year "," years ")&amp;DATEDIF(C19,B19,"ym")&amp;IF(DATEDIF(C19,B19,"ym")=1," month"," months"),IF(DATEDIF(C19,B19,"m")&gt;=1,DATEDIF(C19,B19,"m")&amp;IF(DATEDIF(C19,B19,"m")=1," month"," months"),DATEDIF(C19,B19,"d")&amp;IF(DATEDIF(C19,B19,"d")=1," day"," days"))))</f>
      </c>
      <c r="E19" s="100"/>
      <c r="F19" s="100"/>
      <c r="G19" s="100"/>
      <c r="H19" s="100"/>
      <c r="I19" s="100"/>
      <c r="J19" s="101"/>
      <c r="K19" s="100"/>
      <c r="L19" s="100"/>
      <c r="M19" s="102" t="str">
        <f>IFERROR(VLOOKUP(G19,Reference!$I$2:$J$175,2,FALSE()),"Operations")</f>
        <v>Operations</v>
      </c>
    </row>
    <row r="20" spans="1:13" ht="15" customHeight="1" x14ac:dyDescent="0.25">
      <c r="A20" s="103"/>
      <c r="B20" s="104"/>
      <c r="C20" s="104"/>
      <c r="D20" s="103">
        <f>IF(OR(B20="",C20=""),"",IF(DATEDIF(C20,B20,"y")&gt;=1,DATEDIF(C20,B20,"y")&amp;IF(DATEDIF(C20,B20,"y")=1," year "," years ")&amp;DATEDIF(C20,B20,"ym")&amp;IF(DATEDIF(C20,B20,"ym")=1," month"," months"),IF(DATEDIF(C20,B20,"m")&gt;=1,DATEDIF(C20,B20,"m")&amp;IF(DATEDIF(C20,B20,"m")=1," month"," months"),DATEDIF(C20,B20,"d")&amp;IF(DATEDIF(C20,B20,"d")=1," day"," days"))))</f>
      </c>
      <c r="E20" s="103"/>
      <c r="F20" s="103"/>
      <c r="G20" s="103"/>
      <c r="H20" s="103"/>
      <c r="I20" s="103"/>
      <c r="J20" s="104"/>
      <c r="K20" s="103"/>
      <c r="L20" s="103"/>
      <c r="M20" s="105" t="str">
        <f>IFERROR(VLOOKUP(G20,Reference!$I$2:$J$175,2,FALSE()),"Operations")</f>
        <v>Operations</v>
      </c>
    </row>
    <row r="21" spans="1:13" ht="15" customHeight="1" x14ac:dyDescent="0.25">
      <c r="A21" s="100"/>
      <c r="B21" s="101"/>
      <c r="C21" s="101"/>
      <c r="D21" s="100">
        <f>IF(OR(B21="",C21=""),"",IF(DATEDIF(C21,B21,"y")&gt;=1,DATEDIF(C21,B21,"y")&amp;IF(DATEDIF(C21,B21,"y")=1," year "," years ")&amp;DATEDIF(C21,B21,"ym")&amp;IF(DATEDIF(C21,B21,"ym")=1," month"," months"),IF(DATEDIF(C21,B21,"m")&gt;=1,DATEDIF(C21,B21,"m")&amp;IF(DATEDIF(C21,B21,"m")=1," month"," months"),DATEDIF(C21,B21,"d")&amp;IF(DATEDIF(C21,B21,"d")=1," day"," days"))))</f>
      </c>
      <c r="E21" s="100"/>
      <c r="F21" s="100"/>
      <c r="G21" s="100"/>
      <c r="H21" s="100"/>
      <c r="I21" s="100"/>
      <c r="J21" s="101"/>
      <c r="K21" s="100"/>
      <c r="L21" s="100"/>
      <c r="M21" s="102" t="str">
        <f>IFERROR(VLOOKUP(G21,Reference!$I$2:$J$175,2,FALSE()),"Operations")</f>
        <v>Operations</v>
      </c>
    </row>
    <row r="22" spans="1:13" ht="15" customHeight="1" x14ac:dyDescent="0.25">
      <c r="A22" s="103"/>
      <c r="B22" s="104"/>
      <c r="C22" s="104"/>
      <c r="D22" s="103">
        <f>IF(OR(B22="",C22=""),"",IF(DATEDIF(C22,B22,"y")&gt;=1,DATEDIF(C22,B22,"y")&amp;IF(DATEDIF(C22,B22,"y")=1," year "," years ")&amp;DATEDIF(C22,B22,"ym")&amp;IF(DATEDIF(C22,B22,"ym")=1," month"," months"),IF(DATEDIF(C22,B22,"m")&gt;=1,DATEDIF(C22,B22,"m")&amp;IF(DATEDIF(C22,B22,"m")=1," month"," months"),DATEDIF(C22,B22,"d")&amp;IF(DATEDIF(C22,B22,"d")=1," day"," days"))))</f>
      </c>
      <c r="E22" s="103"/>
      <c r="F22" s="103"/>
      <c r="G22" s="103"/>
      <c r="H22" s="103"/>
      <c r="I22" s="103"/>
      <c r="J22" s="104"/>
      <c r="K22" s="103"/>
      <c r="L22" s="103"/>
      <c r="M22" s="105" t="str">
        <f>IFERROR(VLOOKUP(G22,Reference!$I$2:$J$175,2,FALSE()),"Operations")</f>
        <v>Operations</v>
      </c>
    </row>
    <row r="23" spans="1:13" ht="15" customHeight="1" x14ac:dyDescent="0.25">
      <c r="A23" s="100"/>
      <c r="B23" s="101"/>
      <c r="C23" s="101"/>
      <c r="D23" s="100">
        <f>IF(OR(B23="",C23=""),"",IF(DATEDIF(C23,B23,"y")&gt;=1,DATEDIF(C23,B23,"y")&amp;IF(DATEDIF(C23,B23,"y")=1," year "," years ")&amp;DATEDIF(C23,B23,"ym")&amp;IF(DATEDIF(C23,B23,"ym")=1," month"," months"),IF(DATEDIF(C23,B23,"m")&gt;=1,DATEDIF(C23,B23,"m")&amp;IF(DATEDIF(C23,B23,"m")=1," month"," months"),DATEDIF(C23,B23,"d")&amp;IF(DATEDIF(C23,B23,"d")=1," day"," days"))))</f>
      </c>
      <c r="E23" s="100"/>
      <c r="F23" s="100"/>
      <c r="G23" s="100"/>
      <c r="H23" s="100"/>
      <c r="I23" s="100"/>
      <c r="J23" s="101"/>
      <c r="K23" s="100"/>
      <c r="L23" s="100"/>
      <c r="M23" s="102" t="str">
        <f>IFERROR(VLOOKUP(G23,Reference!$I$2:$J$175,2,FALSE()),"Operations")</f>
        <v>Operations</v>
      </c>
    </row>
    <row r="24" spans="1:13" ht="15" customHeight="1" x14ac:dyDescent="0.25">
      <c r="A24" s="103"/>
      <c r="B24" s="104"/>
      <c r="C24" s="104"/>
      <c r="D24" s="103">
        <f>IF(OR(B24="",C24=""),"",IF(DATEDIF(C24,B24,"y")&gt;=1,DATEDIF(C24,B24,"y")&amp;IF(DATEDIF(C24,B24,"y")=1," year "," years ")&amp;DATEDIF(C24,B24,"ym")&amp;IF(DATEDIF(C24,B24,"ym")=1," month"," months"),IF(DATEDIF(C24,B24,"m")&gt;=1,DATEDIF(C24,B24,"m")&amp;IF(DATEDIF(C24,B24,"m")=1," month"," months"),DATEDIF(C24,B24,"d")&amp;IF(DATEDIF(C24,B24,"d")=1," day"," days"))))</f>
      </c>
      <c r="E24" s="103"/>
      <c r="F24" s="103"/>
      <c r="G24" s="103"/>
      <c r="H24" s="103"/>
      <c r="I24" s="103"/>
      <c r="J24" s="104"/>
      <c r="K24" s="103"/>
      <c r="L24" s="103"/>
      <c r="M24" s="105" t="str">
        <f>IFERROR(VLOOKUP(G24,Reference!$I$2:$J$175,2,FALSE()),"Operations")</f>
        <v>Operations</v>
      </c>
    </row>
    <row r="25" spans="1:13" ht="15" customHeight="1" x14ac:dyDescent="0.25">
      <c r="A25" s="100"/>
      <c r="B25" s="101"/>
      <c r="C25" s="101"/>
      <c r="D25" s="100">
        <f>IF(OR(B25="",C25=""),"",IF(DATEDIF(C25,B25,"y")&gt;=1,DATEDIF(C25,B25,"y")&amp;IF(DATEDIF(C25,B25,"y")=1," year "," years ")&amp;DATEDIF(C25,B25,"ym")&amp;IF(DATEDIF(C25,B25,"ym")=1," month"," months"),IF(DATEDIF(C25,B25,"m")&gt;=1,DATEDIF(C25,B25,"m")&amp;IF(DATEDIF(C25,B25,"m")=1," month"," months"),DATEDIF(C25,B25,"d")&amp;IF(DATEDIF(C25,B25,"d")=1," day"," days"))))</f>
      </c>
      <c r="E25" s="100"/>
      <c r="F25" s="100"/>
      <c r="G25" s="100"/>
      <c r="H25" s="100"/>
      <c r="I25" s="100"/>
      <c r="J25" s="101"/>
      <c r="K25" s="100"/>
      <c r="L25" s="100"/>
      <c r="M25" s="102" t="str">
        <f>IFERROR(VLOOKUP(G25,Reference!$I$2:$J$175,2,FALSE()),"Operations")</f>
        <v>Operations</v>
      </c>
    </row>
    <row r="26" spans="1:13" ht="15" customHeight="1" x14ac:dyDescent="0.25">
      <c r="A26" s="103"/>
      <c r="B26" s="104"/>
      <c r="C26" s="104"/>
      <c r="D26" s="103">
        <f>IF(OR(B26="",C26=""),"",IF(DATEDIF(C26,B26,"y")&gt;=1,DATEDIF(C26,B26,"y")&amp;IF(DATEDIF(C26,B26,"y")=1," year "," years ")&amp;DATEDIF(C26,B26,"ym")&amp;IF(DATEDIF(C26,B26,"ym")=1," month"," months"),IF(DATEDIF(C26,B26,"m")&gt;=1,DATEDIF(C26,B26,"m")&amp;IF(DATEDIF(C26,B26,"m")=1," month"," months"),DATEDIF(C26,B26,"d")&amp;IF(DATEDIF(C26,B26,"d")=1," day"," days"))))</f>
      </c>
      <c r="E26" s="103"/>
      <c r="F26" s="103"/>
      <c r="G26" s="103"/>
      <c r="H26" s="103"/>
      <c r="I26" s="103"/>
      <c r="J26" s="104"/>
      <c r="K26" s="103"/>
      <c r="L26" s="103"/>
      <c r="M26" s="105" t="str">
        <f>IFERROR(VLOOKUP(G26,Reference!$I$2:$J$175,2,FALSE()),"Operations")</f>
        <v>Operations</v>
      </c>
    </row>
    <row r="27" spans="1:13" ht="15" customHeight="1" x14ac:dyDescent="0.25">
      <c r="A27" s="100"/>
      <c r="B27" s="101"/>
      <c r="C27" s="101"/>
      <c r="D27" s="100">
        <f>IF(OR(B27="",C27=""),"",IF(DATEDIF(C27,B27,"y")&gt;=1,DATEDIF(C27,B27,"y")&amp;IF(DATEDIF(C27,B27,"y")=1," year "," years ")&amp;DATEDIF(C27,B27,"ym")&amp;IF(DATEDIF(C27,B27,"ym")=1," month"," months"),IF(DATEDIF(C27,B27,"m")&gt;=1,DATEDIF(C27,B27,"m")&amp;IF(DATEDIF(C27,B27,"m")=1," month"," months"),DATEDIF(C27,B27,"d")&amp;IF(DATEDIF(C27,B27,"d")=1," day"," days"))))</f>
      </c>
      <c r="E27" s="100"/>
      <c r="F27" s="100"/>
      <c r="G27" s="100"/>
      <c r="H27" s="100"/>
      <c r="I27" s="100"/>
      <c r="J27" s="101"/>
      <c r="K27" s="100"/>
      <c r="L27" s="100"/>
      <c r="M27" s="102" t="str">
        <f>IFERROR(VLOOKUP(G27,Reference!$I$2:$J$175,2,FALSE()),"Operations")</f>
        <v>Operations</v>
      </c>
    </row>
    <row r="28" spans="1:13" ht="15" customHeight="1" x14ac:dyDescent="0.25">
      <c r="A28" s="103"/>
      <c r="B28" s="104"/>
      <c r="C28" s="104"/>
      <c r="D28" s="103">
        <f>IF(OR(B28="",C28=""),"",IF(DATEDIF(C28,B28,"y")&gt;=1,DATEDIF(C28,B28,"y")&amp;IF(DATEDIF(C28,B28,"y")=1," year "," years ")&amp;DATEDIF(C28,B28,"ym")&amp;IF(DATEDIF(C28,B28,"ym")=1," month"," months"),IF(DATEDIF(C28,B28,"m")&gt;=1,DATEDIF(C28,B28,"m")&amp;IF(DATEDIF(C28,B28,"m")=1," month"," months"),DATEDIF(C28,B28,"d")&amp;IF(DATEDIF(C28,B28,"d")=1," day"," days"))))</f>
      </c>
      <c r="E28" s="103"/>
      <c r="F28" s="103"/>
      <c r="G28" s="103"/>
      <c r="H28" s="103"/>
      <c r="I28" s="103"/>
      <c r="J28" s="104"/>
      <c r="K28" s="103"/>
      <c r="L28" s="103"/>
      <c r="M28" s="105" t="str">
        <f>IFERROR(VLOOKUP(G28,Reference!$I$2:$J$175,2,FALSE()),"Operations")</f>
        <v>Operations</v>
      </c>
    </row>
    <row r="29" spans="1:13" ht="15" customHeight="1" x14ac:dyDescent="0.25">
      <c r="A29" s="100"/>
      <c r="B29" s="101"/>
      <c r="C29" s="101"/>
      <c r="D29" s="100">
        <f>IF(OR(B29="",C29=""),"",IF(DATEDIF(C29,B29,"y")&gt;=1,DATEDIF(C29,B29,"y")&amp;IF(DATEDIF(C29,B29,"y")=1," year "," years ")&amp;DATEDIF(C29,B29,"ym")&amp;IF(DATEDIF(C29,B29,"ym")=1," month"," months"),IF(DATEDIF(C29,B29,"m")&gt;=1,DATEDIF(C29,B29,"m")&amp;IF(DATEDIF(C29,B29,"m")=1," month"," months"),DATEDIF(C29,B29,"d")&amp;IF(DATEDIF(C29,B29,"d")=1," day"," days"))))</f>
      </c>
      <c r="E29" s="100"/>
      <c r="F29" s="100"/>
      <c r="G29" s="100"/>
      <c r="H29" s="100"/>
      <c r="I29" s="100"/>
      <c r="J29" s="101"/>
      <c r="K29" s="100"/>
      <c r="L29" s="100"/>
      <c r="M29" s="102" t="str">
        <f>IFERROR(VLOOKUP(G29,Reference!$I$2:$J$175,2,FALSE()),"Operations")</f>
        <v>Operations</v>
      </c>
    </row>
    <row r="30" spans="1:13" ht="15" customHeight="1" x14ac:dyDescent="0.25">
      <c r="A30" s="103"/>
      <c r="B30" s="104"/>
      <c r="C30" s="104"/>
      <c r="D30" s="103">
        <f>IF(OR(B30="",C30=""),"",IF(DATEDIF(C30,B30,"y")&gt;=1,DATEDIF(C30,B30,"y")&amp;IF(DATEDIF(C30,B30,"y")=1," year "," years ")&amp;DATEDIF(C30,B30,"ym")&amp;IF(DATEDIF(C30,B30,"ym")=1," month"," months"),IF(DATEDIF(C30,B30,"m")&gt;=1,DATEDIF(C30,B30,"m")&amp;IF(DATEDIF(C30,B30,"m")=1," month"," months"),DATEDIF(C30,B30,"d")&amp;IF(DATEDIF(C30,B30,"d")=1," day"," days"))))</f>
      </c>
      <c r="E30" s="103"/>
      <c r="F30" s="103"/>
      <c r="G30" s="103"/>
      <c r="H30" s="103"/>
      <c r="I30" s="103"/>
      <c r="J30" s="104"/>
      <c r="K30" s="103"/>
      <c r="L30" s="103"/>
      <c r="M30" s="105" t="str">
        <f>IFERROR(VLOOKUP(G30,Reference!$I$2:$J$175,2,FALSE()),"Operations")</f>
        <v>Operations</v>
      </c>
    </row>
    <row r="31" spans="1:13" ht="15" customHeight="1" x14ac:dyDescent="0.25">
      <c r="A31" s="100"/>
      <c r="B31" s="101"/>
      <c r="C31" s="101"/>
      <c r="D31" s="100">
        <f>IF(OR(B31="",C31=""),"",IF(DATEDIF(C31,B31,"y")&gt;=1,DATEDIF(C31,B31,"y")&amp;IF(DATEDIF(C31,B31,"y")=1," year "," years ")&amp;DATEDIF(C31,B31,"ym")&amp;IF(DATEDIF(C31,B31,"ym")=1," month"," months"),IF(DATEDIF(C31,B31,"m")&gt;=1,DATEDIF(C31,B31,"m")&amp;IF(DATEDIF(C31,B31,"m")=1," month"," months"),DATEDIF(C31,B31,"d")&amp;IF(DATEDIF(C31,B31,"d")=1," day"," days"))))</f>
      </c>
      <c r="E31" s="100"/>
      <c r="F31" s="100"/>
      <c r="G31" s="100"/>
      <c r="H31" s="100"/>
      <c r="I31" s="100"/>
      <c r="J31" s="101"/>
      <c r="K31" s="100"/>
      <c r="L31" s="100"/>
      <c r="M31" s="102" t="str">
        <f>IFERROR(VLOOKUP(G31,Reference!$I$2:$J$175,2,FALSE()),"Operations")</f>
        <v>Operations</v>
      </c>
    </row>
    <row r="32" spans="1:13" ht="15" customHeight="1" x14ac:dyDescent="0.25">
      <c r="A32" s="103"/>
      <c r="B32" s="104"/>
      <c r="C32" s="104"/>
      <c r="D32" s="103">
        <f>IF(OR(B32="",C32=""),"",IF(DATEDIF(C32,B32,"y")&gt;=1,DATEDIF(C32,B32,"y")&amp;IF(DATEDIF(C32,B32,"y")=1," year "," years ")&amp;DATEDIF(C32,B32,"ym")&amp;IF(DATEDIF(C32,B32,"ym")=1," month"," months"),IF(DATEDIF(C32,B32,"m")&gt;=1,DATEDIF(C32,B32,"m")&amp;IF(DATEDIF(C32,B32,"m")=1," month"," months"),DATEDIF(C32,B32,"d")&amp;IF(DATEDIF(C32,B32,"d")=1," day"," days"))))</f>
      </c>
      <c r="E32" s="103"/>
      <c r="F32" s="103"/>
      <c r="G32" s="103"/>
      <c r="H32" s="103"/>
      <c r="I32" s="103"/>
      <c r="J32" s="104"/>
      <c r="K32" s="103"/>
      <c r="L32" s="103"/>
      <c r="M32" s="105" t="str">
        <f>IFERROR(VLOOKUP(G32,Reference!$I$2:$J$175,2,FALSE()),"Operations")</f>
        <v>Operations</v>
      </c>
    </row>
    <row r="33" spans="1:13" ht="15" customHeight="1" x14ac:dyDescent="0.25">
      <c r="A33" s="100"/>
      <c r="B33" s="101"/>
      <c r="C33" s="101"/>
      <c r="D33" s="100">
        <f>IF(OR(B33="",C33=""),"",IF(DATEDIF(C33,B33,"y")&gt;=1,DATEDIF(C33,B33,"y")&amp;IF(DATEDIF(C33,B33,"y")=1," year "," years ")&amp;DATEDIF(C33,B33,"ym")&amp;IF(DATEDIF(C33,B33,"ym")=1," month"," months"),IF(DATEDIF(C33,B33,"m")&gt;=1,DATEDIF(C33,B33,"m")&amp;IF(DATEDIF(C33,B33,"m")=1," month"," months"),DATEDIF(C33,B33,"d")&amp;IF(DATEDIF(C33,B33,"d")=1," day"," days"))))</f>
      </c>
      <c r="E33" s="100"/>
      <c r="F33" s="100"/>
      <c r="G33" s="100"/>
      <c r="H33" s="100"/>
      <c r="I33" s="100"/>
      <c r="J33" s="101"/>
      <c r="K33" s="100"/>
      <c r="L33" s="100"/>
      <c r="M33" s="102" t="str">
        <f>IFERROR(VLOOKUP(G33,Reference!$I$2:$J$175,2,FALSE()),"Operations")</f>
        <v>Operations</v>
      </c>
    </row>
    <row r="34" spans="1:13" ht="15" customHeight="1" x14ac:dyDescent="0.25">
      <c r="A34" s="103"/>
      <c r="B34" s="104"/>
      <c r="C34" s="104"/>
      <c r="D34" s="103">
        <f>IF(OR(B34="",C34=""),"",IF(DATEDIF(C34,B34,"y")&gt;=1,DATEDIF(C34,B34,"y")&amp;IF(DATEDIF(C34,B34,"y")=1," year "," years ")&amp;DATEDIF(C34,B34,"ym")&amp;IF(DATEDIF(C34,B34,"ym")=1," month"," months"),IF(DATEDIF(C34,B34,"m")&gt;=1,DATEDIF(C34,B34,"m")&amp;IF(DATEDIF(C34,B34,"m")=1," month"," months"),DATEDIF(C34,B34,"d")&amp;IF(DATEDIF(C34,B34,"d")=1," day"," days"))))</f>
      </c>
      <c r="E34" s="103"/>
      <c r="F34" s="103"/>
      <c r="G34" s="103"/>
      <c r="H34" s="103"/>
      <c r="I34" s="103"/>
      <c r="J34" s="104"/>
      <c r="K34" s="103"/>
      <c r="L34" s="103"/>
      <c r="M34" s="105" t="str">
        <f>IFERROR(VLOOKUP(G34,Reference!$I$2:$J$175,2,FALSE()),"Operations")</f>
        <v>Operations</v>
      </c>
    </row>
    <row r="35" spans="1:13" ht="15" customHeight="1" x14ac:dyDescent="0.25">
      <c r="A35" s="100"/>
      <c r="B35" s="101"/>
      <c r="C35" s="101"/>
      <c r="D35" s="100">
        <f>IF(OR(B35="",C35=""),"",IF(DATEDIF(C35,B35,"y")&gt;=1,DATEDIF(C35,B35,"y")&amp;IF(DATEDIF(C35,B35,"y")=1," year "," years ")&amp;DATEDIF(C35,B35,"ym")&amp;IF(DATEDIF(C35,B35,"ym")=1," month"," months"),IF(DATEDIF(C35,B35,"m")&gt;=1,DATEDIF(C35,B35,"m")&amp;IF(DATEDIF(C35,B35,"m")=1," month"," months"),DATEDIF(C35,B35,"d")&amp;IF(DATEDIF(C35,B35,"d")=1," day"," days"))))</f>
      </c>
      <c r="E35" s="100"/>
      <c r="F35" s="100"/>
      <c r="G35" s="100"/>
      <c r="H35" s="100"/>
      <c r="I35" s="100"/>
      <c r="J35" s="101"/>
      <c r="K35" s="100"/>
      <c r="L35" s="100"/>
      <c r="M35" s="102" t="str">
        <f>IFERROR(VLOOKUP(G35,Reference!$I$2:$J$175,2,FALSE()),"Operations")</f>
        <v>Operations</v>
      </c>
    </row>
    <row r="36" spans="1:13" ht="15" customHeight="1" x14ac:dyDescent="0.25">
      <c r="A36" s="103"/>
      <c r="B36" s="104"/>
      <c r="C36" s="104"/>
      <c r="D36" s="103">
        <f>IF(OR(B36="",C36=""),"",IF(DATEDIF(C36,B36,"y")&gt;=1,DATEDIF(C36,B36,"y")&amp;IF(DATEDIF(C36,B36,"y")=1," year "," years ")&amp;DATEDIF(C36,B36,"ym")&amp;IF(DATEDIF(C36,B36,"ym")=1," month"," months"),IF(DATEDIF(C36,B36,"m")&gt;=1,DATEDIF(C36,B36,"m")&amp;IF(DATEDIF(C36,B36,"m")=1," month"," months"),DATEDIF(C36,B36,"d")&amp;IF(DATEDIF(C36,B36,"d")=1," day"," days"))))</f>
      </c>
      <c r="E36" s="103"/>
      <c r="F36" s="103"/>
      <c r="G36" s="103"/>
      <c r="H36" s="103"/>
      <c r="I36" s="103"/>
      <c r="J36" s="104"/>
      <c r="K36" s="103"/>
      <c r="L36" s="103"/>
      <c r="M36" s="105" t="str">
        <f>IFERROR(VLOOKUP(G36,Reference!$I$2:$J$175,2,FALSE()),"Operations")</f>
        <v>Operations</v>
      </c>
    </row>
    <row r="37" spans="1:13" ht="15" customHeight="1" x14ac:dyDescent="0.25">
      <c r="A37" s="100"/>
      <c r="B37" s="101"/>
      <c r="C37" s="101"/>
      <c r="D37" s="100">
        <f>IF(OR(B37="",C37=""),"",IF(DATEDIF(C37,B37,"y")&gt;=1,DATEDIF(C37,B37,"y")&amp;IF(DATEDIF(C37,B37,"y")=1," year "," years ")&amp;DATEDIF(C37,B37,"ym")&amp;IF(DATEDIF(C37,B37,"ym")=1," month"," months"),IF(DATEDIF(C37,B37,"m")&gt;=1,DATEDIF(C37,B37,"m")&amp;IF(DATEDIF(C37,B37,"m")=1," month"," months"),DATEDIF(C37,B37,"d")&amp;IF(DATEDIF(C37,B37,"d")=1," day"," days"))))</f>
      </c>
      <c r="E37" s="100"/>
      <c r="F37" s="100"/>
      <c r="G37" s="100"/>
      <c r="H37" s="100"/>
      <c r="I37" s="100"/>
      <c r="J37" s="101"/>
      <c r="K37" s="100"/>
      <c r="L37" s="100"/>
      <c r="M37" s="102" t="str">
        <f>IFERROR(VLOOKUP(G37,Reference!$I$2:$J$175,2,FALSE()),"Operations")</f>
        <v>Operations</v>
      </c>
    </row>
    <row r="38" spans="1:13" ht="15" customHeight="1" x14ac:dyDescent="0.25">
      <c r="A38" s="103"/>
      <c r="B38" s="104"/>
      <c r="C38" s="104"/>
      <c r="D38" s="103">
        <f>IF(OR(B38="",C38=""),"",IF(DATEDIF(C38,B38,"y")&gt;=1,DATEDIF(C38,B38,"y")&amp;IF(DATEDIF(C38,B38,"y")=1," year "," years ")&amp;DATEDIF(C38,B38,"ym")&amp;IF(DATEDIF(C38,B38,"ym")=1," month"," months"),IF(DATEDIF(C38,B38,"m")&gt;=1,DATEDIF(C38,B38,"m")&amp;IF(DATEDIF(C38,B38,"m")=1," month"," months"),DATEDIF(C38,B38,"d")&amp;IF(DATEDIF(C38,B38,"d")=1," day"," days"))))</f>
      </c>
      <c r="E38" s="103"/>
      <c r="F38" s="103"/>
      <c r="G38" s="103"/>
      <c r="H38" s="103"/>
      <c r="I38" s="103"/>
      <c r="J38" s="104"/>
      <c r="K38" s="103"/>
      <c r="L38" s="103"/>
      <c r="M38" s="105" t="str">
        <f>IFERROR(VLOOKUP(G38,Reference!$I$2:$J$175,2,FALSE()),"Operations")</f>
        <v>Operations</v>
      </c>
    </row>
    <row r="39" spans="1:13" ht="15" customHeight="1" x14ac:dyDescent="0.25">
      <c r="A39" s="106" t="s">
        <v>163</v>
      </c>
      <c r="B39" s="107">
        <f>COUNTA(A9:A38)</f>
        <v>0</v>
      </c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</row>
    <row r="40" spans="1:13" ht="6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ht="21.75" customHeight="1" x14ac:dyDescent="0.25">
      <c r="A41" s="163" t="s">
        <v>164</v>
      </c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</row>
    <row r="42" spans="1:13" ht="19.5" customHeight="1" x14ac:dyDescent="0.25">
      <c r="A42" s="64" t="s">
        <v>151</v>
      </c>
      <c r="B42" s="64" t="s">
        <v>152</v>
      </c>
      <c r="C42" s="64" t="s">
        <v>153</v>
      </c>
      <c r="D42" s="64" t="s">
        <v>154</v>
      </c>
      <c r="E42" s="64" t="s">
        <v>155</v>
      </c>
      <c r="F42" s="64" t="s">
        <v>156</v>
      </c>
      <c r="G42" s="64" t="s">
        <v>157</v>
      </c>
      <c r="H42" s="64" t="s">
        <v>158</v>
      </c>
      <c r="I42" s="64" t="s">
        <v>159</v>
      </c>
      <c r="J42" s="64" t="s">
        <v>160</v>
      </c>
      <c r="K42" s="64" t="s">
        <v>134</v>
      </c>
      <c r="L42" s="64" t="s">
        <v>161</v>
      </c>
      <c r="M42" s="64" t="s">
        <v>162</v>
      </c>
    </row>
    <row r="43" spans="1:13" ht="15" customHeight="1" x14ac:dyDescent="0.25">
      <c r="A43" s="100"/>
      <c r="B43" s="101"/>
      <c r="C43" s="101"/>
      <c r="D43" s="100">
        <f>IF(OR(B43="",C43=""),"",IF(DATEDIF(C43,B43,"y")&gt;=1,DATEDIF(C43,B43,"y")&amp;IF(DATEDIF(C43,B43,"y")=1," year "," years ")&amp;DATEDIF(C43,B43,"ym")&amp;IF(DATEDIF(C43,B43,"ym")=1," month"," months"),IF(DATEDIF(C43,B43,"m")&gt;=1,DATEDIF(C43,B43,"m")&amp;IF(DATEDIF(C43,B43,"m")=1," month"," months"),DATEDIF(C43,B43,"d")&amp;IF(DATEDIF(C43,B43,"d")=1," day"," days"))))</f>
      </c>
      <c r="E43" s="100"/>
      <c r="F43" s="100"/>
      <c r="G43" s="100"/>
      <c r="H43" s="100"/>
      <c r="I43" s="100"/>
      <c r="J43" s="101"/>
      <c r="K43" s="100"/>
      <c r="L43" s="100"/>
      <c r="M43" s="102" t="str">
        <f>IFERROR(VLOOKUP(G43,Reference!$I$2:$J$175,2,FALSE()),"Operations")</f>
        <v>Operations</v>
      </c>
    </row>
    <row r="44" spans="1:13" ht="15" customHeight="1" x14ac:dyDescent="0.25">
      <c r="A44" s="103"/>
      <c r="B44" s="104"/>
      <c r="C44" s="104"/>
      <c r="D44" s="103">
        <f>IF(OR(B44="",C44=""),"",IF(DATEDIF(C44,B44,"y")&gt;=1,DATEDIF(C44,B44,"y")&amp;IF(DATEDIF(C44,B44,"y")=1," year "," years ")&amp;DATEDIF(C44,B44,"ym")&amp;IF(DATEDIF(C44,B44,"ym")=1," month"," months"),IF(DATEDIF(C44,B44,"m")&gt;=1,DATEDIF(C44,B44,"m")&amp;IF(DATEDIF(C44,B44,"m")=1," month"," months"),DATEDIF(C44,B44,"d")&amp;IF(DATEDIF(C44,B44,"d")=1," day"," days"))))</f>
      </c>
      <c r="E44" s="103"/>
      <c r="F44" s="103"/>
      <c r="G44" s="103"/>
      <c r="H44" s="103"/>
      <c r="I44" s="103"/>
      <c r="J44" s="104"/>
      <c r="K44" s="103"/>
      <c r="L44" s="103"/>
      <c r="M44" s="105" t="str">
        <f>IFERROR(VLOOKUP(G44,Reference!$I$2:$J$175,2,FALSE()),"Operations")</f>
        <v>Operations</v>
      </c>
    </row>
    <row r="45" spans="1:13" ht="15" customHeight="1" x14ac:dyDescent="0.25">
      <c r="A45" s="100"/>
      <c r="B45" s="101"/>
      <c r="C45" s="101"/>
      <c r="D45" s="100">
        <f>IF(OR(B45="",C45=""),"",IF(DATEDIF(C45,B45,"y")&gt;=1,DATEDIF(C45,B45,"y")&amp;IF(DATEDIF(C45,B45,"y")=1," year "," years ")&amp;DATEDIF(C45,B45,"ym")&amp;IF(DATEDIF(C45,B45,"ym")=1," month"," months"),IF(DATEDIF(C45,B45,"m")&gt;=1,DATEDIF(C45,B45,"m")&amp;IF(DATEDIF(C45,B45,"m")=1," month"," months"),DATEDIF(C45,B45,"d")&amp;IF(DATEDIF(C45,B45,"d")=1," day"," days"))))</f>
      </c>
      <c r="E45" s="100"/>
      <c r="F45" s="100"/>
      <c r="G45" s="100"/>
      <c r="H45" s="100"/>
      <c r="I45" s="100"/>
      <c r="J45" s="101"/>
      <c r="K45" s="100"/>
      <c r="L45" s="100"/>
      <c r="M45" s="102" t="str">
        <f>IFERROR(VLOOKUP(G45,Reference!$I$2:$J$175,2,FALSE()),"Operations")</f>
        <v>Operations</v>
      </c>
    </row>
    <row r="46" spans="1:13" ht="15" customHeight="1" x14ac:dyDescent="0.25">
      <c r="A46" s="103"/>
      <c r="B46" s="104"/>
      <c r="C46" s="104"/>
      <c r="D46" s="103">
        <f>IF(OR(B46="",C46=""),"",IF(DATEDIF(C46,B46,"y")&gt;=1,DATEDIF(C46,B46,"y")&amp;IF(DATEDIF(C46,B46,"y")=1," year "," years ")&amp;DATEDIF(C46,B46,"ym")&amp;IF(DATEDIF(C46,B46,"ym")=1," month"," months"),IF(DATEDIF(C46,B46,"m")&gt;=1,DATEDIF(C46,B46,"m")&amp;IF(DATEDIF(C46,B46,"m")=1," month"," months"),DATEDIF(C46,B46,"d")&amp;IF(DATEDIF(C46,B46,"d")=1," day"," days"))))</f>
      </c>
      <c r="E46" s="103"/>
      <c r="F46" s="103"/>
      <c r="G46" s="103"/>
      <c r="H46" s="103"/>
      <c r="I46" s="103"/>
      <c r="J46" s="104"/>
      <c r="K46" s="103"/>
      <c r="L46" s="103"/>
      <c r="M46" s="105" t="str">
        <f>IFERROR(VLOOKUP(G46,Reference!$I$2:$J$175,2,FALSE()),"Operations")</f>
        <v>Operations</v>
      </c>
    </row>
    <row r="47" spans="1:13" ht="15" customHeight="1" x14ac:dyDescent="0.25">
      <c r="A47" s="100"/>
      <c r="B47" s="101"/>
      <c r="C47" s="101"/>
      <c r="D47" s="100">
        <f>IF(OR(B47="",C47=""),"",IF(DATEDIF(C47,B47,"y")&gt;=1,DATEDIF(C47,B47,"y")&amp;IF(DATEDIF(C47,B47,"y")=1," year "," years ")&amp;DATEDIF(C47,B47,"ym")&amp;IF(DATEDIF(C47,B47,"ym")=1," month"," months"),IF(DATEDIF(C47,B47,"m")&gt;=1,DATEDIF(C47,B47,"m")&amp;IF(DATEDIF(C47,B47,"m")=1," month"," months"),DATEDIF(C47,B47,"d")&amp;IF(DATEDIF(C47,B47,"d")=1," day"," days"))))</f>
      </c>
      <c r="E47" s="100"/>
      <c r="F47" s="100"/>
      <c r="G47" s="100"/>
      <c r="H47" s="100"/>
      <c r="I47" s="100"/>
      <c r="J47" s="101"/>
      <c r="K47" s="100"/>
      <c r="L47" s="100"/>
      <c r="M47" s="102" t="str">
        <f>IFERROR(VLOOKUP(G47,Reference!$I$2:$J$175,2,FALSE()),"Operations")</f>
        <v>Operations</v>
      </c>
    </row>
    <row r="48" spans="1:13" ht="15" customHeight="1" x14ac:dyDescent="0.25">
      <c r="A48" s="103"/>
      <c r="B48" s="104"/>
      <c r="C48" s="104"/>
      <c r="D48" s="103">
        <f>IF(OR(B48="",C48=""),"",IF(DATEDIF(C48,B48,"y")&gt;=1,DATEDIF(C48,B48,"y")&amp;IF(DATEDIF(C48,B48,"y")=1," year "," years ")&amp;DATEDIF(C48,B48,"ym")&amp;IF(DATEDIF(C48,B48,"ym")=1," month"," months"),IF(DATEDIF(C48,B48,"m")&gt;=1,DATEDIF(C48,B48,"m")&amp;IF(DATEDIF(C48,B48,"m")=1," month"," months"),DATEDIF(C48,B48,"d")&amp;IF(DATEDIF(C48,B48,"d")=1," day"," days"))))</f>
      </c>
      <c r="E48" s="103"/>
      <c r="F48" s="103"/>
      <c r="G48" s="103"/>
      <c r="H48" s="103"/>
      <c r="I48" s="103"/>
      <c r="J48" s="104"/>
      <c r="K48" s="103"/>
      <c r="L48" s="103"/>
      <c r="M48" s="105" t="str">
        <f>IFERROR(VLOOKUP(G48,Reference!$I$2:$J$175,2,FALSE()),"Operations")</f>
        <v>Operations</v>
      </c>
    </row>
    <row r="49" spans="1:13" ht="15" customHeight="1" x14ac:dyDescent="0.25">
      <c r="A49" s="100"/>
      <c r="B49" s="101"/>
      <c r="C49" s="101"/>
      <c r="D49" s="100">
        <f>IF(OR(B49="",C49=""),"",IF(DATEDIF(C49,B49,"y")&gt;=1,DATEDIF(C49,B49,"y")&amp;IF(DATEDIF(C49,B49,"y")=1," year "," years ")&amp;DATEDIF(C49,B49,"ym")&amp;IF(DATEDIF(C49,B49,"ym")=1," month"," months"),IF(DATEDIF(C49,B49,"m")&gt;=1,DATEDIF(C49,B49,"m")&amp;IF(DATEDIF(C49,B49,"m")=1," month"," months"),DATEDIF(C49,B49,"d")&amp;IF(DATEDIF(C49,B49,"d")=1," day"," days"))))</f>
      </c>
      <c r="E49" s="100"/>
      <c r="F49" s="100"/>
      <c r="G49" s="100"/>
      <c r="H49" s="100"/>
      <c r="I49" s="100"/>
      <c r="J49" s="101"/>
      <c r="K49" s="100"/>
      <c r="L49" s="100"/>
      <c r="M49" s="102" t="str">
        <f>IFERROR(VLOOKUP(G49,Reference!$I$2:$J$175,2,FALSE()),"Operations")</f>
        <v>Operations</v>
      </c>
    </row>
    <row r="50" spans="1:13" ht="15" customHeight="1" x14ac:dyDescent="0.25">
      <c r="A50" s="103"/>
      <c r="B50" s="104"/>
      <c r="C50" s="104"/>
      <c r="D50" s="103">
        <f>IF(OR(B50="",C50=""),"",IF(DATEDIF(C50,B50,"y")&gt;=1,DATEDIF(C50,B50,"y")&amp;IF(DATEDIF(C50,B50,"y")=1," year "," years ")&amp;DATEDIF(C50,B50,"ym")&amp;IF(DATEDIF(C50,B50,"ym")=1," month"," months"),IF(DATEDIF(C50,B50,"m")&gt;=1,DATEDIF(C50,B50,"m")&amp;IF(DATEDIF(C50,B50,"m")=1," month"," months"),DATEDIF(C50,B50,"d")&amp;IF(DATEDIF(C50,B50,"d")=1," day"," days"))))</f>
      </c>
      <c r="E50" s="103"/>
      <c r="F50" s="103"/>
      <c r="G50" s="103"/>
      <c r="H50" s="103"/>
      <c r="I50" s="103"/>
      <c r="J50" s="104"/>
      <c r="K50" s="103"/>
      <c r="L50" s="103"/>
      <c r="M50" s="105" t="str">
        <f>IFERROR(VLOOKUP(G50,Reference!$I$2:$J$175,2,FALSE()),"Operations")</f>
        <v>Operations</v>
      </c>
    </row>
    <row r="51" spans="1:13" ht="15" customHeight="1" x14ac:dyDescent="0.25">
      <c r="A51" s="100"/>
      <c r="B51" s="101"/>
      <c r="C51" s="101"/>
      <c r="D51" s="100">
        <f>IF(OR(B51="",C51=""),"",IF(DATEDIF(C51,B51,"y")&gt;=1,DATEDIF(C51,B51,"y")&amp;IF(DATEDIF(C51,B51,"y")=1," year "," years ")&amp;DATEDIF(C51,B51,"ym")&amp;IF(DATEDIF(C51,B51,"ym")=1," month"," months"),IF(DATEDIF(C51,B51,"m")&gt;=1,DATEDIF(C51,B51,"m")&amp;IF(DATEDIF(C51,B51,"m")=1," month"," months"),DATEDIF(C51,B51,"d")&amp;IF(DATEDIF(C51,B51,"d")=1," day"," days"))))</f>
      </c>
      <c r="E51" s="100"/>
      <c r="F51" s="100"/>
      <c r="G51" s="100"/>
      <c r="H51" s="100"/>
      <c r="I51" s="100"/>
      <c r="J51" s="101"/>
      <c r="K51" s="100"/>
      <c r="L51" s="100"/>
      <c r="M51" s="102" t="str">
        <f>IFERROR(VLOOKUP(G51,Reference!$I$2:$J$175,2,FALSE()),"Operations")</f>
        <v>Operations</v>
      </c>
    </row>
    <row r="52" spans="1:13" ht="15" customHeight="1" x14ac:dyDescent="0.25">
      <c r="A52" s="103"/>
      <c r="B52" s="104"/>
      <c r="C52" s="104"/>
      <c r="D52" s="103">
        <f>IF(OR(B52="",C52=""),"",IF(DATEDIF(C52,B52,"y")&gt;=1,DATEDIF(C52,B52,"y")&amp;IF(DATEDIF(C52,B52,"y")=1," year "," years ")&amp;DATEDIF(C52,B52,"ym")&amp;IF(DATEDIF(C52,B52,"ym")=1," month"," months"),IF(DATEDIF(C52,B52,"m")&gt;=1,DATEDIF(C52,B52,"m")&amp;IF(DATEDIF(C52,B52,"m")=1," month"," months"),DATEDIF(C52,B52,"d")&amp;IF(DATEDIF(C52,B52,"d")=1," day"," days"))))</f>
      </c>
      <c r="E52" s="103"/>
      <c r="F52" s="103"/>
      <c r="G52" s="103"/>
      <c r="H52" s="103"/>
      <c r="I52" s="103"/>
      <c r="J52" s="104"/>
      <c r="K52" s="103"/>
      <c r="L52" s="103"/>
      <c r="M52" s="105" t="str">
        <f>IFERROR(VLOOKUP(G52,Reference!$I$2:$J$175,2,FALSE()),"Operations")</f>
        <v>Operations</v>
      </c>
    </row>
    <row r="53" spans="1:13" ht="15" customHeight="1" x14ac:dyDescent="0.25">
      <c r="A53" s="100"/>
      <c r="B53" s="101"/>
      <c r="C53" s="101"/>
      <c r="D53" s="100">
        <f>IF(OR(B53="",C53=""),"",IF(DATEDIF(C53,B53,"y")&gt;=1,DATEDIF(C53,B53,"y")&amp;IF(DATEDIF(C53,B53,"y")=1," year "," years ")&amp;DATEDIF(C53,B53,"ym")&amp;IF(DATEDIF(C53,B53,"ym")=1," month"," months"),IF(DATEDIF(C53,B53,"m")&gt;=1,DATEDIF(C53,B53,"m")&amp;IF(DATEDIF(C53,B53,"m")=1," month"," months"),DATEDIF(C53,B53,"d")&amp;IF(DATEDIF(C53,B53,"d")=1," day"," days"))))</f>
      </c>
      <c r="E53" s="100"/>
      <c r="F53" s="100"/>
      <c r="G53" s="100"/>
      <c r="H53" s="100"/>
      <c r="I53" s="100"/>
      <c r="J53" s="101"/>
      <c r="K53" s="100"/>
      <c r="L53" s="100"/>
      <c r="M53" s="102" t="str">
        <f>IFERROR(VLOOKUP(G53,Reference!$I$2:$J$175,2,FALSE()),"Operations")</f>
        <v>Operations</v>
      </c>
    </row>
    <row r="54" spans="1:13" ht="15" customHeight="1" x14ac:dyDescent="0.25">
      <c r="A54" s="103"/>
      <c r="B54" s="104"/>
      <c r="C54" s="104"/>
      <c r="D54" s="103">
        <f>IF(OR(B54="",C54=""),"",IF(DATEDIF(C54,B54,"y")&gt;=1,DATEDIF(C54,B54,"y")&amp;IF(DATEDIF(C54,B54,"y")=1," year "," years ")&amp;DATEDIF(C54,B54,"ym")&amp;IF(DATEDIF(C54,B54,"ym")=1," month"," months"),IF(DATEDIF(C54,B54,"m")&gt;=1,DATEDIF(C54,B54,"m")&amp;IF(DATEDIF(C54,B54,"m")=1," month"," months"),DATEDIF(C54,B54,"d")&amp;IF(DATEDIF(C54,B54,"d")=1," day"," days"))))</f>
      </c>
      <c r="E54" s="103"/>
      <c r="F54" s="103"/>
      <c r="G54" s="103"/>
      <c r="H54" s="103"/>
      <c r="I54" s="103"/>
      <c r="J54" s="104"/>
      <c r="K54" s="103"/>
      <c r="L54" s="103"/>
      <c r="M54" s="105" t="str">
        <f>IFERROR(VLOOKUP(G54,Reference!$I$2:$J$175,2,FALSE()),"Operations")</f>
        <v>Operations</v>
      </c>
    </row>
    <row r="55" spans="1:13" ht="15" customHeight="1" x14ac:dyDescent="0.25">
      <c r="A55" s="100"/>
      <c r="B55" s="101"/>
      <c r="C55" s="101"/>
      <c r="D55" s="100">
        <f>IF(OR(B55="",C55=""),"",IF(DATEDIF(C55,B55,"y")&gt;=1,DATEDIF(C55,B55,"y")&amp;IF(DATEDIF(C55,B55,"y")=1," year "," years ")&amp;DATEDIF(C55,B55,"ym")&amp;IF(DATEDIF(C55,B55,"ym")=1," month"," months"),IF(DATEDIF(C55,B55,"m")&gt;=1,DATEDIF(C55,B55,"m")&amp;IF(DATEDIF(C55,B55,"m")=1," month"," months"),DATEDIF(C55,B55,"d")&amp;IF(DATEDIF(C55,B55,"d")=1," day"," days"))))</f>
      </c>
      <c r="E55" s="100"/>
      <c r="F55" s="100"/>
      <c r="G55" s="100"/>
      <c r="H55" s="100"/>
      <c r="I55" s="100"/>
      <c r="J55" s="101"/>
      <c r="K55" s="100"/>
      <c r="L55" s="100"/>
      <c r="M55" s="102" t="str">
        <f>IFERROR(VLOOKUP(G55,Reference!$I$2:$J$175,2,FALSE()),"Operations")</f>
        <v>Operations</v>
      </c>
    </row>
    <row r="56" spans="1:13" ht="15" customHeight="1" x14ac:dyDescent="0.25">
      <c r="A56" s="103"/>
      <c r="B56" s="104"/>
      <c r="C56" s="104"/>
      <c r="D56" s="103">
        <f>IF(OR(B56="",C56=""),"",IF(DATEDIF(C56,B56,"y")&gt;=1,DATEDIF(C56,B56,"y")&amp;IF(DATEDIF(C56,B56,"y")=1," year "," years ")&amp;DATEDIF(C56,B56,"ym")&amp;IF(DATEDIF(C56,B56,"ym")=1," month"," months"),IF(DATEDIF(C56,B56,"m")&gt;=1,DATEDIF(C56,B56,"m")&amp;IF(DATEDIF(C56,B56,"m")=1," month"," months"),DATEDIF(C56,B56,"d")&amp;IF(DATEDIF(C56,B56,"d")=1," day"," days"))))</f>
      </c>
      <c r="E56" s="103"/>
      <c r="F56" s="103"/>
      <c r="G56" s="103"/>
      <c r="H56" s="103"/>
      <c r="I56" s="103"/>
      <c r="J56" s="104"/>
      <c r="K56" s="103"/>
      <c r="L56" s="103"/>
      <c r="M56" s="105" t="str">
        <f>IFERROR(VLOOKUP(G56,Reference!$I$2:$J$175,2,FALSE()),"Operations")</f>
        <v>Operations</v>
      </c>
    </row>
    <row r="57" spans="1:13" ht="15" customHeight="1" x14ac:dyDescent="0.25">
      <c r="A57" s="100"/>
      <c r="B57" s="101"/>
      <c r="C57" s="101"/>
      <c r="D57" s="100">
        <f>IF(OR(B57="",C57=""),"",IF(DATEDIF(C57,B57,"y")&gt;=1,DATEDIF(C57,B57,"y")&amp;IF(DATEDIF(C57,B57,"y")=1," year "," years ")&amp;DATEDIF(C57,B57,"ym")&amp;IF(DATEDIF(C57,B57,"ym")=1," month"," months"),IF(DATEDIF(C57,B57,"m")&gt;=1,DATEDIF(C57,B57,"m")&amp;IF(DATEDIF(C57,B57,"m")=1," month"," months"),DATEDIF(C57,B57,"d")&amp;IF(DATEDIF(C57,B57,"d")=1," day"," days"))))</f>
      </c>
      <c r="E57" s="100"/>
      <c r="F57" s="100"/>
      <c r="G57" s="100"/>
      <c r="H57" s="100"/>
      <c r="I57" s="100"/>
      <c r="J57" s="101"/>
      <c r="K57" s="100"/>
      <c r="L57" s="100"/>
      <c r="M57" s="102" t="str">
        <f>IFERROR(VLOOKUP(G57,Reference!$I$2:$J$175,2,FALSE()),"Operations")</f>
        <v>Operations</v>
      </c>
    </row>
    <row r="58" spans="1:13" ht="15" customHeight="1" x14ac:dyDescent="0.25">
      <c r="A58" s="103"/>
      <c r="B58" s="104"/>
      <c r="C58" s="104"/>
      <c r="D58" s="103">
        <f>IF(OR(B58="",C58=""),"",IF(DATEDIF(C58,B58,"y")&gt;=1,DATEDIF(C58,B58,"y")&amp;IF(DATEDIF(C58,B58,"y")=1," year "," years ")&amp;DATEDIF(C58,B58,"ym")&amp;IF(DATEDIF(C58,B58,"ym")=1," month"," months"),IF(DATEDIF(C58,B58,"m")&gt;=1,DATEDIF(C58,B58,"m")&amp;IF(DATEDIF(C58,B58,"m")=1," month"," months"),DATEDIF(C58,B58,"d")&amp;IF(DATEDIF(C58,B58,"d")=1," day"," days"))))</f>
      </c>
      <c r="E58" s="103"/>
      <c r="F58" s="103"/>
      <c r="G58" s="103"/>
      <c r="H58" s="103"/>
      <c r="I58" s="103"/>
      <c r="J58" s="104"/>
      <c r="K58" s="103"/>
      <c r="L58" s="103"/>
      <c r="M58" s="105" t="str">
        <f>IFERROR(VLOOKUP(G58,Reference!$I$2:$J$175,2,FALSE()),"Operations")</f>
        <v>Operations</v>
      </c>
    </row>
    <row r="59" spans="1:13" ht="15" customHeight="1" x14ac:dyDescent="0.25">
      <c r="A59" s="100"/>
      <c r="B59" s="101"/>
      <c r="C59" s="101"/>
      <c r="D59" s="100">
        <f>IF(OR(B59="",C59=""),"",IF(DATEDIF(C59,B59,"y")&gt;=1,DATEDIF(C59,B59,"y")&amp;IF(DATEDIF(C59,B59,"y")=1," year "," years ")&amp;DATEDIF(C59,B59,"ym")&amp;IF(DATEDIF(C59,B59,"ym")=1," month"," months"),IF(DATEDIF(C59,B59,"m")&gt;=1,DATEDIF(C59,B59,"m")&amp;IF(DATEDIF(C59,B59,"m")=1," month"," months"),DATEDIF(C59,B59,"d")&amp;IF(DATEDIF(C59,B59,"d")=1," day"," days"))))</f>
      </c>
      <c r="E59" s="100"/>
      <c r="F59" s="100"/>
      <c r="G59" s="100"/>
      <c r="H59" s="100"/>
      <c r="I59" s="100"/>
      <c r="J59" s="101"/>
      <c r="K59" s="100"/>
      <c r="L59" s="100"/>
      <c r="M59" s="102" t="str">
        <f>IFERROR(VLOOKUP(G59,Reference!$I$2:$J$175,2,FALSE()),"Operations")</f>
        <v>Operations</v>
      </c>
    </row>
    <row r="60" spans="1:13" ht="15" customHeight="1" x14ac:dyDescent="0.25">
      <c r="A60" s="103"/>
      <c r="B60" s="104"/>
      <c r="C60" s="104"/>
      <c r="D60" s="103">
        <f>IF(OR(B60="",C60=""),"",IF(DATEDIF(C60,B60,"y")&gt;=1,DATEDIF(C60,B60,"y")&amp;IF(DATEDIF(C60,B60,"y")=1," year "," years ")&amp;DATEDIF(C60,B60,"ym")&amp;IF(DATEDIF(C60,B60,"ym")=1," month"," months"),IF(DATEDIF(C60,B60,"m")&gt;=1,DATEDIF(C60,B60,"m")&amp;IF(DATEDIF(C60,B60,"m")=1," month"," months"),DATEDIF(C60,B60,"d")&amp;IF(DATEDIF(C60,B60,"d")=1," day"," days"))))</f>
      </c>
      <c r="E60" s="103"/>
      <c r="F60" s="103"/>
      <c r="G60" s="103"/>
      <c r="H60" s="103"/>
      <c r="I60" s="103"/>
      <c r="J60" s="104"/>
      <c r="K60" s="103"/>
      <c r="L60" s="103"/>
      <c r="M60" s="105" t="str">
        <f>IFERROR(VLOOKUP(G60,Reference!$I$2:$J$175,2,FALSE()),"Operations")</f>
        <v>Operations</v>
      </c>
    </row>
    <row r="61" spans="1:13" ht="15" customHeight="1" x14ac:dyDescent="0.25">
      <c r="A61" s="100"/>
      <c r="B61" s="101"/>
      <c r="C61" s="101"/>
      <c r="D61" s="100">
        <f>IF(OR(B61="",C61=""),"",IF(DATEDIF(C61,B61,"y")&gt;=1,DATEDIF(C61,B61,"y")&amp;IF(DATEDIF(C61,B61,"y")=1," year "," years ")&amp;DATEDIF(C61,B61,"ym")&amp;IF(DATEDIF(C61,B61,"ym")=1," month"," months"),IF(DATEDIF(C61,B61,"m")&gt;=1,DATEDIF(C61,B61,"m")&amp;IF(DATEDIF(C61,B61,"m")=1," month"," months"),DATEDIF(C61,B61,"d")&amp;IF(DATEDIF(C61,B61,"d")=1," day"," days"))))</f>
      </c>
      <c r="E61" s="100"/>
      <c r="F61" s="100"/>
      <c r="G61" s="100"/>
      <c r="H61" s="100"/>
      <c r="I61" s="100"/>
      <c r="J61" s="101"/>
      <c r="K61" s="100"/>
      <c r="L61" s="100"/>
      <c r="M61" s="102" t="str">
        <f>IFERROR(VLOOKUP(G61,Reference!$I$2:$J$175,2,FALSE()),"Operations")</f>
        <v>Operations</v>
      </c>
    </row>
    <row r="62" spans="1:13" ht="15" customHeight="1" x14ac:dyDescent="0.25">
      <c r="A62" s="103"/>
      <c r="B62" s="104"/>
      <c r="C62" s="104"/>
      <c r="D62" s="103">
        <f>IF(OR(B62="",C62=""),"",IF(DATEDIF(C62,B62,"y")&gt;=1,DATEDIF(C62,B62,"y")&amp;IF(DATEDIF(C62,B62,"y")=1," year "," years ")&amp;DATEDIF(C62,B62,"ym")&amp;IF(DATEDIF(C62,B62,"ym")=1," month"," months"),IF(DATEDIF(C62,B62,"m")&gt;=1,DATEDIF(C62,B62,"m")&amp;IF(DATEDIF(C62,B62,"m")=1," month"," months"),DATEDIF(C62,B62,"d")&amp;IF(DATEDIF(C62,B62,"d")=1," day"," days"))))</f>
      </c>
      <c r="E62" s="103"/>
      <c r="F62" s="103"/>
      <c r="G62" s="103"/>
      <c r="H62" s="103"/>
      <c r="I62" s="103"/>
      <c r="J62" s="104"/>
      <c r="K62" s="103"/>
      <c r="L62" s="103"/>
      <c r="M62" s="105" t="str">
        <f>IFERROR(VLOOKUP(G62,Reference!$I$2:$J$175,2,FALSE()),"Operations")</f>
        <v>Operations</v>
      </c>
    </row>
    <row r="63" spans="1:13" ht="15" customHeight="1" x14ac:dyDescent="0.25">
      <c r="A63" s="100"/>
      <c r="B63" s="101"/>
      <c r="C63" s="101"/>
      <c r="D63" s="100">
        <f>IF(OR(B63="",C63=""),"",IF(DATEDIF(C63,B63,"y")&gt;=1,DATEDIF(C63,B63,"y")&amp;IF(DATEDIF(C63,B63,"y")=1," year "," years ")&amp;DATEDIF(C63,B63,"ym")&amp;IF(DATEDIF(C63,B63,"ym")=1," month"," months"),IF(DATEDIF(C63,B63,"m")&gt;=1,DATEDIF(C63,B63,"m")&amp;IF(DATEDIF(C63,B63,"m")=1," month"," months"),DATEDIF(C63,B63,"d")&amp;IF(DATEDIF(C63,B63,"d")=1," day"," days"))))</f>
      </c>
      <c r="E63" s="100"/>
      <c r="F63" s="100"/>
      <c r="G63" s="100"/>
      <c r="H63" s="100"/>
      <c r="I63" s="100"/>
      <c r="J63" s="101"/>
      <c r="K63" s="100"/>
      <c r="L63" s="100"/>
      <c r="M63" s="102" t="str">
        <f>IFERROR(VLOOKUP(G63,Reference!$I$2:$J$175,2,FALSE()),"Operations")</f>
        <v>Operations</v>
      </c>
    </row>
    <row r="64" spans="1:13" ht="15" customHeight="1" x14ac:dyDescent="0.25">
      <c r="A64" s="103"/>
      <c r="B64" s="104"/>
      <c r="C64" s="104"/>
      <c r="D64" s="103">
        <f>IF(OR(B64="",C64=""),"",IF(DATEDIF(C64,B64,"y")&gt;=1,DATEDIF(C64,B64,"y")&amp;IF(DATEDIF(C64,B64,"y")=1," year "," years ")&amp;DATEDIF(C64,B64,"ym")&amp;IF(DATEDIF(C64,B64,"ym")=1," month"," months"),IF(DATEDIF(C64,B64,"m")&gt;=1,DATEDIF(C64,B64,"m")&amp;IF(DATEDIF(C64,B64,"m")=1," month"," months"),DATEDIF(C64,B64,"d")&amp;IF(DATEDIF(C64,B64,"d")=1," day"," days"))))</f>
      </c>
      <c r="E64" s="103"/>
      <c r="F64" s="103"/>
      <c r="G64" s="103"/>
      <c r="H64" s="103"/>
      <c r="I64" s="103"/>
      <c r="J64" s="104"/>
      <c r="K64" s="103"/>
      <c r="L64" s="103"/>
      <c r="M64" s="105" t="str">
        <f>IFERROR(VLOOKUP(G64,Reference!$I$2:$J$175,2,FALSE()),"Operations")</f>
        <v>Operations</v>
      </c>
    </row>
    <row r="65" spans="1:13" ht="15" customHeight="1" x14ac:dyDescent="0.25">
      <c r="A65" s="100"/>
      <c r="B65" s="101"/>
      <c r="C65" s="101"/>
      <c r="D65" s="100">
        <f>IF(OR(B65="",C65=""),"",IF(DATEDIF(C65,B65,"y")&gt;=1,DATEDIF(C65,B65,"y")&amp;IF(DATEDIF(C65,B65,"y")=1," year "," years ")&amp;DATEDIF(C65,B65,"ym")&amp;IF(DATEDIF(C65,B65,"ym")=1," month"," months"),IF(DATEDIF(C65,B65,"m")&gt;=1,DATEDIF(C65,B65,"m")&amp;IF(DATEDIF(C65,B65,"m")=1," month"," months"),DATEDIF(C65,B65,"d")&amp;IF(DATEDIF(C65,B65,"d")=1," day"," days"))))</f>
      </c>
      <c r="E65" s="100"/>
      <c r="F65" s="100"/>
      <c r="G65" s="100"/>
      <c r="H65" s="100"/>
      <c r="I65" s="100"/>
      <c r="J65" s="101"/>
      <c r="K65" s="100"/>
      <c r="L65" s="100"/>
      <c r="M65" s="102" t="str">
        <f>IFERROR(VLOOKUP(G65,Reference!$I$2:$J$175,2,FALSE()),"Operations")</f>
        <v>Operations</v>
      </c>
    </row>
    <row r="66" spans="1:13" ht="15" customHeight="1" x14ac:dyDescent="0.25">
      <c r="A66" s="103"/>
      <c r="B66" s="104"/>
      <c r="C66" s="104"/>
      <c r="D66" s="103">
        <f>IF(OR(B66="",C66=""),"",IF(DATEDIF(C66,B66,"y")&gt;=1,DATEDIF(C66,B66,"y")&amp;IF(DATEDIF(C66,B66,"y")=1," year "," years ")&amp;DATEDIF(C66,B66,"ym")&amp;IF(DATEDIF(C66,B66,"ym")=1," month"," months"),IF(DATEDIF(C66,B66,"m")&gt;=1,DATEDIF(C66,B66,"m")&amp;IF(DATEDIF(C66,B66,"m")=1," month"," months"),DATEDIF(C66,B66,"d")&amp;IF(DATEDIF(C66,B66,"d")=1," day"," days"))))</f>
      </c>
      <c r="E66" s="103"/>
      <c r="F66" s="103"/>
      <c r="G66" s="103"/>
      <c r="H66" s="103"/>
      <c r="I66" s="103"/>
      <c r="J66" s="104"/>
      <c r="K66" s="103"/>
      <c r="L66" s="103"/>
      <c r="M66" s="105" t="str">
        <f>IFERROR(VLOOKUP(G66,Reference!$I$2:$J$175,2,FALSE()),"Operations")</f>
        <v>Operations</v>
      </c>
    </row>
    <row r="67" spans="1:13" ht="15" customHeight="1" x14ac:dyDescent="0.25">
      <c r="A67" s="100"/>
      <c r="B67" s="101"/>
      <c r="C67" s="101"/>
      <c r="D67" s="100">
        <f>IF(OR(B67="",C67=""),"",IF(DATEDIF(C67,B67,"y")&gt;=1,DATEDIF(C67,B67,"y")&amp;IF(DATEDIF(C67,B67,"y")=1," year "," years ")&amp;DATEDIF(C67,B67,"ym")&amp;IF(DATEDIF(C67,B67,"ym")=1," month"," months"),IF(DATEDIF(C67,B67,"m")&gt;=1,DATEDIF(C67,B67,"m")&amp;IF(DATEDIF(C67,B67,"m")=1," month"," months"),DATEDIF(C67,B67,"d")&amp;IF(DATEDIF(C67,B67,"d")=1," day"," days"))))</f>
      </c>
      <c r="E67" s="100"/>
      <c r="F67" s="100"/>
      <c r="G67" s="100"/>
      <c r="H67" s="100"/>
      <c r="I67" s="100"/>
      <c r="J67" s="101"/>
      <c r="K67" s="100"/>
      <c r="L67" s="100"/>
      <c r="M67" s="102" t="str">
        <f>IFERROR(VLOOKUP(G67,Reference!$I$2:$J$175,2,FALSE()),"Operations")</f>
        <v>Operations</v>
      </c>
    </row>
    <row r="68" spans="1:13" ht="15" customHeight="1" x14ac:dyDescent="0.25">
      <c r="A68" s="103"/>
      <c r="B68" s="104"/>
      <c r="C68" s="104"/>
      <c r="D68" s="103">
        <f>IF(OR(B68="",C68=""),"",IF(DATEDIF(C68,B68,"y")&gt;=1,DATEDIF(C68,B68,"y")&amp;IF(DATEDIF(C68,B68,"y")=1," year "," years ")&amp;DATEDIF(C68,B68,"ym")&amp;IF(DATEDIF(C68,B68,"ym")=1," month"," months"),IF(DATEDIF(C68,B68,"m")&gt;=1,DATEDIF(C68,B68,"m")&amp;IF(DATEDIF(C68,B68,"m")=1," month"," months"),DATEDIF(C68,B68,"d")&amp;IF(DATEDIF(C68,B68,"d")=1," day"," days"))))</f>
      </c>
      <c r="E68" s="103"/>
      <c r="F68" s="103"/>
      <c r="G68" s="103"/>
      <c r="H68" s="103"/>
      <c r="I68" s="103"/>
      <c r="J68" s="104"/>
      <c r="K68" s="103"/>
      <c r="L68" s="103"/>
      <c r="M68" s="105" t="str">
        <f>IFERROR(VLOOKUP(G68,Reference!$I$2:$J$175,2,FALSE()),"Operations")</f>
        <v>Operations</v>
      </c>
    </row>
    <row r="69" spans="1:13" ht="15" customHeight="1" x14ac:dyDescent="0.25">
      <c r="A69" s="100"/>
      <c r="B69" s="101"/>
      <c r="C69" s="101"/>
      <c r="D69" s="100">
        <f>IF(OR(B69="",C69=""),"",IF(DATEDIF(C69,B69,"y")&gt;=1,DATEDIF(C69,B69,"y")&amp;IF(DATEDIF(C69,B69,"y")=1," year "," years ")&amp;DATEDIF(C69,B69,"ym")&amp;IF(DATEDIF(C69,B69,"ym")=1," month"," months"),IF(DATEDIF(C69,B69,"m")&gt;=1,DATEDIF(C69,B69,"m")&amp;IF(DATEDIF(C69,B69,"m")=1," month"," months"),DATEDIF(C69,B69,"d")&amp;IF(DATEDIF(C69,B69,"d")=1," day"," days"))))</f>
      </c>
      <c r="E69" s="100"/>
      <c r="F69" s="100"/>
      <c r="G69" s="100"/>
      <c r="H69" s="100"/>
      <c r="I69" s="100"/>
      <c r="J69" s="101"/>
      <c r="K69" s="100"/>
      <c r="L69" s="100"/>
      <c r="M69" s="102" t="str">
        <f>IFERROR(VLOOKUP(G69,Reference!$I$2:$J$175,2,FALSE()),"Operations")</f>
        <v>Operations</v>
      </c>
    </row>
    <row r="70" spans="1:13" ht="15" customHeight="1" x14ac:dyDescent="0.25">
      <c r="A70" s="103"/>
      <c r="B70" s="104"/>
      <c r="C70" s="104"/>
      <c r="D70" s="103">
        <f>IF(OR(B70="",C70=""),"",IF(DATEDIF(C70,B70,"y")&gt;=1,DATEDIF(C70,B70,"y")&amp;IF(DATEDIF(C70,B70,"y")=1," year "," years ")&amp;DATEDIF(C70,B70,"ym")&amp;IF(DATEDIF(C70,B70,"ym")=1," month"," months"),IF(DATEDIF(C70,B70,"m")&gt;=1,DATEDIF(C70,B70,"m")&amp;IF(DATEDIF(C70,B70,"m")=1," month"," months"),DATEDIF(C70,B70,"d")&amp;IF(DATEDIF(C70,B70,"d")=1," day"," days"))))</f>
      </c>
      <c r="E70" s="103"/>
      <c r="F70" s="103"/>
      <c r="G70" s="103"/>
      <c r="H70" s="103"/>
      <c r="I70" s="103"/>
      <c r="J70" s="104"/>
      <c r="K70" s="103"/>
      <c r="L70" s="103"/>
      <c r="M70" s="105" t="str">
        <f>IFERROR(VLOOKUP(G70,Reference!$I$2:$J$175,2,FALSE()),"Operations")</f>
        <v>Operations</v>
      </c>
    </row>
    <row r="71" spans="1:13" ht="15" customHeight="1" x14ac:dyDescent="0.25">
      <c r="A71" s="100"/>
      <c r="B71" s="101"/>
      <c r="C71" s="101"/>
      <c r="D71" s="100">
        <f>IF(OR(B71="",C71=""),"",IF(DATEDIF(C71,B71,"y")&gt;=1,DATEDIF(C71,B71,"y")&amp;IF(DATEDIF(C71,B71,"y")=1," year "," years ")&amp;DATEDIF(C71,B71,"ym")&amp;IF(DATEDIF(C71,B71,"ym")=1," month"," months"),IF(DATEDIF(C71,B71,"m")&gt;=1,DATEDIF(C71,B71,"m")&amp;IF(DATEDIF(C71,B71,"m")=1," month"," months"),DATEDIF(C71,B71,"d")&amp;IF(DATEDIF(C71,B71,"d")=1," day"," days"))))</f>
      </c>
      <c r="E71" s="100"/>
      <c r="F71" s="100"/>
      <c r="G71" s="100"/>
      <c r="H71" s="100"/>
      <c r="I71" s="100"/>
      <c r="J71" s="101"/>
      <c r="K71" s="100"/>
      <c r="L71" s="100"/>
      <c r="M71" s="102" t="str">
        <f>IFERROR(VLOOKUP(G71,Reference!$I$2:$J$175,2,FALSE()),"Operations")</f>
        <v>Operations</v>
      </c>
    </row>
    <row r="72" spans="1:13" ht="15" customHeight="1" x14ac:dyDescent="0.25">
      <c r="A72" s="103"/>
      <c r="B72" s="104"/>
      <c r="C72" s="104"/>
      <c r="D72" s="103">
        <f>IF(OR(B72="",C72=""),"",IF(DATEDIF(C72,B72,"y")&gt;=1,DATEDIF(C72,B72,"y")&amp;IF(DATEDIF(C72,B72,"y")=1," year "," years ")&amp;DATEDIF(C72,B72,"ym")&amp;IF(DATEDIF(C72,B72,"ym")=1," month"," months"),IF(DATEDIF(C72,B72,"m")&gt;=1,DATEDIF(C72,B72,"m")&amp;IF(DATEDIF(C72,B72,"m")=1," month"," months"),DATEDIF(C72,B72,"d")&amp;IF(DATEDIF(C72,B72,"d")=1," day"," days"))))</f>
      </c>
      <c r="E72" s="103"/>
      <c r="F72" s="103"/>
      <c r="G72" s="103"/>
      <c r="H72" s="103"/>
      <c r="I72" s="103"/>
      <c r="J72" s="104"/>
      <c r="K72" s="103"/>
      <c r="L72" s="103"/>
      <c r="M72" s="105" t="str">
        <f>IFERROR(VLOOKUP(G72,Reference!$I$2:$J$175,2,FALSE()),"Operations")</f>
        <v>Operations</v>
      </c>
    </row>
    <row r="73" spans="1:13" ht="15" customHeight="1" x14ac:dyDescent="0.25">
      <c r="A73" s="106" t="s">
        <v>163</v>
      </c>
      <c r="B73" s="107">
        <f>COUNTA(A43:A72)</f>
        <v>0</v>
      </c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</row>
    <row r="74" spans="1:13" ht="6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1:13" ht="21.75" customHeight="1" x14ac:dyDescent="0.25">
      <c r="A75" s="163" t="s">
        <v>165</v>
      </c>
      <c r="B75" s="163"/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</row>
    <row r="76" spans="1:13" ht="19.5" customHeight="1" x14ac:dyDescent="0.25">
      <c r="A76" s="64" t="s">
        <v>151</v>
      </c>
      <c r="B76" s="64" t="s">
        <v>152</v>
      </c>
      <c r="C76" s="64" t="s">
        <v>153</v>
      </c>
      <c r="D76" s="64" t="s">
        <v>154</v>
      </c>
      <c r="E76" s="64" t="s">
        <v>155</v>
      </c>
      <c r="F76" s="64" t="s">
        <v>156</v>
      </c>
      <c r="G76" s="64" t="s">
        <v>157</v>
      </c>
      <c r="H76" s="64" t="s">
        <v>158</v>
      </c>
      <c r="I76" s="64" t="s">
        <v>159</v>
      </c>
      <c r="J76" s="64" t="s">
        <v>160</v>
      </c>
      <c r="K76" s="64" t="s">
        <v>134</v>
      </c>
      <c r="L76" s="64" t="s">
        <v>161</v>
      </c>
      <c r="M76" s="64" t="s">
        <v>162</v>
      </c>
    </row>
    <row r="77" spans="1:13" ht="15" customHeight="1" x14ac:dyDescent="0.25">
      <c r="A77" s="100"/>
      <c r="B77" s="101"/>
      <c r="C77" s="101"/>
      <c r="D77" s="100">
        <f>IF(OR(B77="",C77=""),"",IF(DATEDIF(C77,B77,"y")&gt;=1,DATEDIF(C77,B77,"y")&amp;IF(DATEDIF(C77,B77,"y")=1," year "," years ")&amp;DATEDIF(C77,B77,"ym")&amp;IF(DATEDIF(C77,B77,"ym")=1," month"," months"),IF(DATEDIF(C77,B77,"m")&gt;=1,DATEDIF(C77,B77,"m")&amp;IF(DATEDIF(C77,B77,"m")=1," month"," months"),DATEDIF(C77,B77,"d")&amp;IF(DATEDIF(C77,B77,"d")=1," day"," days"))))</f>
      </c>
      <c r="E77" s="100"/>
      <c r="F77" s="100"/>
      <c r="G77" s="100"/>
      <c r="H77" s="100"/>
      <c r="I77" s="100"/>
      <c r="J77" s="101"/>
      <c r="K77" s="100"/>
      <c r="L77" s="100"/>
      <c r="M77" s="102" t="str">
        <f>IFERROR(VLOOKUP(G77,Reference!$I$2:$J$175,2,FALSE()),"Operations")</f>
        <v>Operations</v>
      </c>
    </row>
    <row r="78" spans="1:13" ht="15" customHeight="1" x14ac:dyDescent="0.25">
      <c r="A78" s="103"/>
      <c r="B78" s="104"/>
      <c r="C78" s="104"/>
      <c r="D78" s="103">
        <f>IF(OR(B78="",C78=""),"",IF(DATEDIF(C78,B78,"y")&gt;=1,DATEDIF(C78,B78,"y")&amp;IF(DATEDIF(C78,B78,"y")=1," year "," years ")&amp;DATEDIF(C78,B78,"ym")&amp;IF(DATEDIF(C78,B78,"ym")=1," month"," months"),IF(DATEDIF(C78,B78,"m")&gt;=1,DATEDIF(C78,B78,"m")&amp;IF(DATEDIF(C78,B78,"m")=1," month"," months"),DATEDIF(C78,B78,"d")&amp;IF(DATEDIF(C78,B78,"d")=1," day"," days"))))</f>
      </c>
      <c r="E78" s="103"/>
      <c r="F78" s="103"/>
      <c r="G78" s="103"/>
      <c r="H78" s="103"/>
      <c r="I78" s="103"/>
      <c r="J78" s="104"/>
      <c r="K78" s="103"/>
      <c r="L78" s="103"/>
      <c r="M78" s="105" t="str">
        <f>IFERROR(VLOOKUP(G78,Reference!$I$2:$J$175,2,FALSE()),"Operations")</f>
        <v>Operations</v>
      </c>
    </row>
    <row r="79" spans="1:13" ht="15" customHeight="1" x14ac:dyDescent="0.25">
      <c r="A79" s="100"/>
      <c r="B79" s="101"/>
      <c r="C79" s="101"/>
      <c r="D79" s="100">
        <f>IF(OR(B79="",C79=""),"",IF(DATEDIF(C79,B79,"y")&gt;=1,DATEDIF(C79,B79,"y")&amp;IF(DATEDIF(C79,B79,"y")=1," year "," years ")&amp;DATEDIF(C79,B79,"ym")&amp;IF(DATEDIF(C79,B79,"ym")=1," month"," months"),IF(DATEDIF(C79,B79,"m")&gt;=1,DATEDIF(C79,B79,"m")&amp;IF(DATEDIF(C79,B79,"m")=1," month"," months"),DATEDIF(C79,B79,"d")&amp;IF(DATEDIF(C79,B79,"d")=1," day"," days"))))</f>
      </c>
      <c r="E79" s="100"/>
      <c r="F79" s="100"/>
      <c r="G79" s="100"/>
      <c r="H79" s="100"/>
      <c r="I79" s="100"/>
      <c r="J79" s="101"/>
      <c r="K79" s="100"/>
      <c r="L79" s="100"/>
      <c r="M79" s="102" t="str">
        <f>IFERROR(VLOOKUP(G79,Reference!$I$2:$J$175,2,FALSE()),"Operations")</f>
        <v>Operations</v>
      </c>
    </row>
    <row r="80" spans="1:13" ht="15" customHeight="1" x14ac:dyDescent="0.25">
      <c r="A80" s="103"/>
      <c r="B80" s="104"/>
      <c r="C80" s="104"/>
      <c r="D80" s="103">
        <f>IF(OR(B80="",C80=""),"",IF(DATEDIF(C80,B80,"y")&gt;=1,DATEDIF(C80,B80,"y")&amp;IF(DATEDIF(C80,B80,"y")=1," year "," years ")&amp;DATEDIF(C80,B80,"ym")&amp;IF(DATEDIF(C80,B80,"ym")=1," month"," months"),IF(DATEDIF(C80,B80,"m")&gt;=1,DATEDIF(C80,B80,"m")&amp;IF(DATEDIF(C80,B80,"m")=1," month"," months"),DATEDIF(C80,B80,"d")&amp;IF(DATEDIF(C80,B80,"d")=1," day"," days"))))</f>
      </c>
      <c r="E80" s="103"/>
      <c r="F80" s="103"/>
      <c r="G80" s="103"/>
      <c r="H80" s="103"/>
      <c r="I80" s="103"/>
      <c r="J80" s="104"/>
      <c r="K80" s="103"/>
      <c r="L80" s="103"/>
      <c r="M80" s="105" t="str">
        <f>IFERROR(VLOOKUP(G80,Reference!$I$2:$J$175,2,FALSE()),"Operations")</f>
        <v>Operations</v>
      </c>
    </row>
    <row r="81" spans="1:13" ht="15" customHeight="1" x14ac:dyDescent="0.25">
      <c r="A81" s="100"/>
      <c r="B81" s="101"/>
      <c r="C81" s="101"/>
      <c r="D81" s="100">
        <f>IF(OR(B81="",C81=""),"",IF(DATEDIF(C81,B81,"y")&gt;=1,DATEDIF(C81,B81,"y")&amp;IF(DATEDIF(C81,B81,"y")=1," year "," years ")&amp;DATEDIF(C81,B81,"ym")&amp;IF(DATEDIF(C81,B81,"ym")=1," month"," months"),IF(DATEDIF(C81,B81,"m")&gt;=1,DATEDIF(C81,B81,"m")&amp;IF(DATEDIF(C81,B81,"m")=1," month"," months"),DATEDIF(C81,B81,"d")&amp;IF(DATEDIF(C81,B81,"d")=1," day"," days"))))</f>
      </c>
      <c r="E81" s="100"/>
      <c r="F81" s="100"/>
      <c r="G81" s="100"/>
      <c r="H81" s="100"/>
      <c r="I81" s="100"/>
      <c r="J81" s="101"/>
      <c r="K81" s="100"/>
      <c r="L81" s="100"/>
      <c r="M81" s="102" t="str">
        <f>IFERROR(VLOOKUP(G81,Reference!$I$2:$J$175,2,FALSE()),"Operations")</f>
        <v>Operations</v>
      </c>
    </row>
    <row r="82" spans="1:13" ht="15" customHeight="1" x14ac:dyDescent="0.25">
      <c r="A82" s="103"/>
      <c r="B82" s="104"/>
      <c r="C82" s="104"/>
      <c r="D82" s="103">
        <f>IF(OR(B82="",C82=""),"",IF(DATEDIF(C82,B82,"y")&gt;=1,DATEDIF(C82,B82,"y")&amp;IF(DATEDIF(C82,B82,"y")=1," year "," years ")&amp;DATEDIF(C82,B82,"ym")&amp;IF(DATEDIF(C82,B82,"ym")=1," month"," months"),IF(DATEDIF(C82,B82,"m")&gt;=1,DATEDIF(C82,B82,"m")&amp;IF(DATEDIF(C82,B82,"m")=1," month"," months"),DATEDIF(C82,B82,"d")&amp;IF(DATEDIF(C82,B82,"d")=1," day"," days"))))</f>
      </c>
      <c r="E82" s="103"/>
      <c r="F82" s="103"/>
      <c r="G82" s="103"/>
      <c r="H82" s="103"/>
      <c r="I82" s="103"/>
      <c r="J82" s="104"/>
      <c r="K82" s="103"/>
      <c r="L82" s="103"/>
      <c r="M82" s="105" t="str">
        <f>IFERROR(VLOOKUP(G82,Reference!$I$2:$J$175,2,FALSE()),"Operations")</f>
        <v>Operations</v>
      </c>
    </row>
    <row r="83" spans="1:13" ht="15" customHeight="1" x14ac:dyDescent="0.25">
      <c r="A83" s="100"/>
      <c r="B83" s="101"/>
      <c r="C83" s="101"/>
      <c r="D83" s="100">
        <f>IF(OR(B83="",C83=""),"",IF(DATEDIF(C83,B83,"y")&gt;=1,DATEDIF(C83,B83,"y")&amp;IF(DATEDIF(C83,B83,"y")=1," year "," years ")&amp;DATEDIF(C83,B83,"ym")&amp;IF(DATEDIF(C83,B83,"ym")=1," month"," months"),IF(DATEDIF(C83,B83,"m")&gt;=1,DATEDIF(C83,B83,"m")&amp;IF(DATEDIF(C83,B83,"m")=1," month"," months"),DATEDIF(C83,B83,"d")&amp;IF(DATEDIF(C83,B83,"d")=1," day"," days"))))</f>
      </c>
      <c r="E83" s="100"/>
      <c r="F83" s="100"/>
      <c r="G83" s="100"/>
      <c r="H83" s="100"/>
      <c r="I83" s="100"/>
      <c r="J83" s="101"/>
      <c r="K83" s="100"/>
      <c r="L83" s="100"/>
      <c r="M83" s="102" t="str">
        <f>IFERROR(VLOOKUP(G83,Reference!$I$2:$J$175,2,FALSE()),"Operations")</f>
        <v>Operations</v>
      </c>
    </row>
    <row r="84" spans="1:13" ht="15" customHeight="1" x14ac:dyDescent="0.25">
      <c r="A84" s="103"/>
      <c r="B84" s="104"/>
      <c r="C84" s="104"/>
      <c r="D84" s="103">
        <f>IF(OR(B84="",C84=""),"",IF(DATEDIF(C84,B84,"y")&gt;=1,DATEDIF(C84,B84,"y")&amp;IF(DATEDIF(C84,B84,"y")=1," year "," years ")&amp;DATEDIF(C84,B84,"ym")&amp;IF(DATEDIF(C84,B84,"ym")=1," month"," months"),IF(DATEDIF(C84,B84,"m")&gt;=1,DATEDIF(C84,B84,"m")&amp;IF(DATEDIF(C84,B84,"m")=1," month"," months"),DATEDIF(C84,B84,"d")&amp;IF(DATEDIF(C84,B84,"d")=1," day"," days"))))</f>
      </c>
      <c r="E84" s="103"/>
      <c r="F84" s="103"/>
      <c r="G84" s="103"/>
      <c r="H84" s="103"/>
      <c r="I84" s="103"/>
      <c r="J84" s="104"/>
      <c r="K84" s="103"/>
      <c r="L84" s="103"/>
      <c r="M84" s="105" t="str">
        <f>IFERROR(VLOOKUP(G84,Reference!$I$2:$J$175,2,FALSE()),"Operations")</f>
        <v>Operations</v>
      </c>
    </row>
    <row r="85" spans="1:13" ht="15" customHeight="1" x14ac:dyDescent="0.25">
      <c r="A85" s="100"/>
      <c r="B85" s="101"/>
      <c r="C85" s="101"/>
      <c r="D85" s="100">
        <f>IF(OR(B85="",C85=""),"",IF(DATEDIF(C85,B85,"y")&gt;=1,DATEDIF(C85,B85,"y")&amp;IF(DATEDIF(C85,B85,"y")=1," year "," years ")&amp;DATEDIF(C85,B85,"ym")&amp;IF(DATEDIF(C85,B85,"ym")=1," month"," months"),IF(DATEDIF(C85,B85,"m")&gt;=1,DATEDIF(C85,B85,"m")&amp;IF(DATEDIF(C85,B85,"m")=1," month"," months"),DATEDIF(C85,B85,"d")&amp;IF(DATEDIF(C85,B85,"d")=1," day"," days"))))</f>
      </c>
      <c r="E85" s="100"/>
      <c r="F85" s="100"/>
      <c r="G85" s="100"/>
      <c r="H85" s="100"/>
      <c r="I85" s="100"/>
      <c r="J85" s="101"/>
      <c r="K85" s="100"/>
      <c r="L85" s="100"/>
      <c r="M85" s="102" t="str">
        <f>IFERROR(VLOOKUP(G85,Reference!$I$2:$J$175,2,FALSE()),"Operations")</f>
        <v>Operations</v>
      </c>
    </row>
    <row r="86" spans="1:13" ht="15" customHeight="1" x14ac:dyDescent="0.25">
      <c r="A86" s="103"/>
      <c r="B86" s="104"/>
      <c r="C86" s="104"/>
      <c r="D86" s="103">
        <f>IF(OR(B86="",C86=""),"",IF(DATEDIF(C86,B86,"y")&gt;=1,DATEDIF(C86,B86,"y")&amp;IF(DATEDIF(C86,B86,"y")=1," year "," years ")&amp;DATEDIF(C86,B86,"ym")&amp;IF(DATEDIF(C86,B86,"ym")=1," month"," months"),IF(DATEDIF(C86,B86,"m")&gt;=1,DATEDIF(C86,B86,"m")&amp;IF(DATEDIF(C86,B86,"m")=1," month"," months"),DATEDIF(C86,B86,"d")&amp;IF(DATEDIF(C86,B86,"d")=1," day"," days"))))</f>
      </c>
      <c r="E86" s="103"/>
      <c r="F86" s="103"/>
      <c r="G86" s="103"/>
      <c r="H86" s="103"/>
      <c r="I86" s="103"/>
      <c r="J86" s="104"/>
      <c r="K86" s="103"/>
      <c r="L86" s="103"/>
      <c r="M86" s="105" t="str">
        <f>IFERROR(VLOOKUP(G86,Reference!$I$2:$J$175,2,FALSE()),"Operations")</f>
        <v>Operations</v>
      </c>
    </row>
    <row r="87" spans="1:13" ht="15" customHeight="1" x14ac:dyDescent="0.25">
      <c r="A87" s="100"/>
      <c r="B87" s="101"/>
      <c r="C87" s="101"/>
      <c r="D87" s="100">
        <f>IF(OR(B87="",C87=""),"",IF(DATEDIF(C87,B87,"y")&gt;=1,DATEDIF(C87,B87,"y")&amp;IF(DATEDIF(C87,B87,"y")=1," year "," years ")&amp;DATEDIF(C87,B87,"ym")&amp;IF(DATEDIF(C87,B87,"ym")=1," month"," months"),IF(DATEDIF(C87,B87,"m")&gt;=1,DATEDIF(C87,B87,"m")&amp;IF(DATEDIF(C87,B87,"m")=1," month"," months"),DATEDIF(C87,B87,"d")&amp;IF(DATEDIF(C87,B87,"d")=1," day"," days"))))</f>
      </c>
      <c r="E87" s="100"/>
      <c r="F87" s="100"/>
      <c r="G87" s="100"/>
      <c r="H87" s="100"/>
      <c r="I87" s="100"/>
      <c r="J87" s="101"/>
      <c r="K87" s="100"/>
      <c r="L87" s="100"/>
      <c r="M87" s="102" t="str">
        <f>IFERROR(VLOOKUP(G87,Reference!$I$2:$J$175,2,FALSE()),"Operations")</f>
        <v>Operations</v>
      </c>
    </row>
    <row r="88" spans="1:13" ht="15" customHeight="1" x14ac:dyDescent="0.25">
      <c r="A88" s="103"/>
      <c r="B88" s="104"/>
      <c r="C88" s="104"/>
      <c r="D88" s="103">
        <f>IF(OR(B88="",C88=""),"",IF(DATEDIF(C88,B88,"y")&gt;=1,DATEDIF(C88,B88,"y")&amp;IF(DATEDIF(C88,B88,"y")=1," year "," years ")&amp;DATEDIF(C88,B88,"ym")&amp;IF(DATEDIF(C88,B88,"ym")=1," month"," months"),IF(DATEDIF(C88,B88,"m")&gt;=1,DATEDIF(C88,B88,"m")&amp;IF(DATEDIF(C88,B88,"m")=1," month"," months"),DATEDIF(C88,B88,"d")&amp;IF(DATEDIF(C88,B88,"d")=1," day"," days"))))</f>
      </c>
      <c r="E88" s="103"/>
      <c r="F88" s="103"/>
      <c r="G88" s="103"/>
      <c r="H88" s="103"/>
      <c r="I88" s="103"/>
      <c r="J88" s="104"/>
      <c r="K88" s="103"/>
      <c r="L88" s="103"/>
      <c r="M88" s="105" t="str">
        <f>IFERROR(VLOOKUP(G88,Reference!$I$2:$J$175,2,FALSE()),"Operations")</f>
        <v>Operations</v>
      </c>
    </row>
    <row r="89" spans="1:13" ht="15" customHeight="1" x14ac:dyDescent="0.25">
      <c r="A89" s="100"/>
      <c r="B89" s="101"/>
      <c r="C89" s="101"/>
      <c r="D89" s="100">
        <f>IF(OR(B89="",C89=""),"",IF(DATEDIF(C89,B89,"y")&gt;=1,DATEDIF(C89,B89,"y")&amp;IF(DATEDIF(C89,B89,"y")=1," year "," years ")&amp;DATEDIF(C89,B89,"ym")&amp;IF(DATEDIF(C89,B89,"ym")=1," month"," months"),IF(DATEDIF(C89,B89,"m")&gt;=1,DATEDIF(C89,B89,"m")&amp;IF(DATEDIF(C89,B89,"m")=1," month"," months"),DATEDIF(C89,B89,"d")&amp;IF(DATEDIF(C89,B89,"d")=1," day"," days"))))</f>
      </c>
      <c r="E89" s="100"/>
      <c r="F89" s="100"/>
      <c r="G89" s="100"/>
      <c r="H89" s="100"/>
      <c r="I89" s="100"/>
      <c r="J89" s="101"/>
      <c r="K89" s="100"/>
      <c r="L89" s="100"/>
      <c r="M89" s="102" t="str">
        <f>IFERROR(VLOOKUP(G89,Reference!$I$2:$J$175,2,FALSE()),"Operations")</f>
        <v>Operations</v>
      </c>
    </row>
    <row r="90" spans="1:13" ht="15" customHeight="1" x14ac:dyDescent="0.25">
      <c r="A90" s="103"/>
      <c r="B90" s="104"/>
      <c r="C90" s="104"/>
      <c r="D90" s="103">
        <f>IF(OR(B90="",C90=""),"",IF(DATEDIF(C90,B90,"y")&gt;=1,DATEDIF(C90,B90,"y")&amp;IF(DATEDIF(C90,B90,"y")=1," year "," years ")&amp;DATEDIF(C90,B90,"ym")&amp;IF(DATEDIF(C90,B90,"ym")=1," month"," months"),IF(DATEDIF(C90,B90,"m")&gt;=1,DATEDIF(C90,B90,"m")&amp;IF(DATEDIF(C90,B90,"m")=1," month"," months"),DATEDIF(C90,B90,"d")&amp;IF(DATEDIF(C90,B90,"d")=1," day"," days"))))</f>
      </c>
      <c r="E90" s="103"/>
      <c r="F90" s="103"/>
      <c r="G90" s="103"/>
      <c r="H90" s="103"/>
      <c r="I90" s="103"/>
      <c r="J90" s="104"/>
      <c r="K90" s="103"/>
      <c r="L90" s="103"/>
      <c r="M90" s="105" t="str">
        <f>IFERROR(VLOOKUP(G90,Reference!$I$2:$J$175,2,FALSE()),"Operations")</f>
        <v>Operations</v>
      </c>
    </row>
    <row r="91" spans="1:13" ht="15" customHeight="1" x14ac:dyDescent="0.25">
      <c r="A91" s="100"/>
      <c r="B91" s="101"/>
      <c r="C91" s="101"/>
      <c r="D91" s="100">
        <f>IF(OR(B91="",C91=""),"",IF(DATEDIF(C91,B91,"y")&gt;=1,DATEDIF(C91,B91,"y")&amp;IF(DATEDIF(C91,B91,"y")=1," year "," years ")&amp;DATEDIF(C91,B91,"ym")&amp;IF(DATEDIF(C91,B91,"ym")=1," month"," months"),IF(DATEDIF(C91,B91,"m")&gt;=1,DATEDIF(C91,B91,"m")&amp;IF(DATEDIF(C91,B91,"m")=1," month"," months"),DATEDIF(C91,B91,"d")&amp;IF(DATEDIF(C91,B91,"d")=1," day"," days"))))</f>
      </c>
      <c r="E91" s="100"/>
      <c r="F91" s="100"/>
      <c r="G91" s="100"/>
      <c r="H91" s="100"/>
      <c r="I91" s="100"/>
      <c r="J91" s="101"/>
      <c r="K91" s="100"/>
      <c r="L91" s="100"/>
      <c r="M91" s="102" t="str">
        <f>IFERROR(VLOOKUP(G91,Reference!$I$2:$J$175,2,FALSE()),"Operations")</f>
        <v>Operations</v>
      </c>
    </row>
    <row r="92" spans="1:13" ht="15" customHeight="1" x14ac:dyDescent="0.25">
      <c r="A92" s="103"/>
      <c r="B92" s="104"/>
      <c r="C92" s="104"/>
      <c r="D92" s="103">
        <f>IF(OR(B92="",C92=""),"",IF(DATEDIF(C92,B92,"y")&gt;=1,DATEDIF(C92,B92,"y")&amp;IF(DATEDIF(C92,B92,"y")=1," year "," years ")&amp;DATEDIF(C92,B92,"ym")&amp;IF(DATEDIF(C92,B92,"ym")=1," month"," months"),IF(DATEDIF(C92,B92,"m")&gt;=1,DATEDIF(C92,B92,"m")&amp;IF(DATEDIF(C92,B92,"m")=1," month"," months"),DATEDIF(C92,B92,"d")&amp;IF(DATEDIF(C92,B92,"d")=1," day"," days"))))</f>
      </c>
      <c r="E92" s="103"/>
      <c r="F92" s="103"/>
      <c r="G92" s="103"/>
      <c r="H92" s="103"/>
      <c r="I92" s="103"/>
      <c r="J92" s="104"/>
      <c r="K92" s="103"/>
      <c r="L92" s="103"/>
      <c r="M92" s="105" t="str">
        <f>IFERROR(VLOOKUP(G92,Reference!$I$2:$J$175,2,FALSE()),"Operations")</f>
        <v>Operations</v>
      </c>
    </row>
    <row r="93" spans="1:13" ht="15" customHeight="1" x14ac:dyDescent="0.25">
      <c r="A93" s="100"/>
      <c r="B93" s="101"/>
      <c r="C93" s="101"/>
      <c r="D93" s="100">
        <f>IF(OR(B93="",C93=""),"",IF(DATEDIF(C93,B93,"y")&gt;=1,DATEDIF(C93,B93,"y")&amp;IF(DATEDIF(C93,B93,"y")=1," year "," years ")&amp;DATEDIF(C93,B93,"ym")&amp;IF(DATEDIF(C93,B93,"ym")=1," month"," months"),IF(DATEDIF(C93,B93,"m")&gt;=1,DATEDIF(C93,B93,"m")&amp;IF(DATEDIF(C93,B93,"m")=1," month"," months"),DATEDIF(C93,B93,"d")&amp;IF(DATEDIF(C93,B93,"d")=1," day"," days"))))</f>
      </c>
      <c r="E93" s="100"/>
      <c r="F93" s="100"/>
      <c r="G93" s="100"/>
      <c r="H93" s="100"/>
      <c r="I93" s="100"/>
      <c r="J93" s="101"/>
      <c r="K93" s="100"/>
      <c r="L93" s="100"/>
      <c r="M93" s="102" t="str">
        <f>IFERROR(VLOOKUP(G93,Reference!$I$2:$J$175,2,FALSE()),"Operations")</f>
        <v>Operations</v>
      </c>
    </row>
    <row r="94" spans="1:13" ht="15" customHeight="1" x14ac:dyDescent="0.25">
      <c r="A94" s="103"/>
      <c r="B94" s="104"/>
      <c r="C94" s="104"/>
      <c r="D94" s="103">
        <f>IF(OR(B94="",C94=""),"",IF(DATEDIF(C94,B94,"y")&gt;=1,DATEDIF(C94,B94,"y")&amp;IF(DATEDIF(C94,B94,"y")=1," year "," years ")&amp;DATEDIF(C94,B94,"ym")&amp;IF(DATEDIF(C94,B94,"ym")=1," month"," months"),IF(DATEDIF(C94,B94,"m")&gt;=1,DATEDIF(C94,B94,"m")&amp;IF(DATEDIF(C94,B94,"m")=1," month"," months"),DATEDIF(C94,B94,"d")&amp;IF(DATEDIF(C94,B94,"d")=1," day"," days"))))</f>
      </c>
      <c r="E94" s="103"/>
      <c r="F94" s="103"/>
      <c r="G94" s="103"/>
      <c r="H94" s="103"/>
      <c r="I94" s="103"/>
      <c r="J94" s="104"/>
      <c r="K94" s="103"/>
      <c r="L94" s="103"/>
      <c r="M94" s="105" t="str">
        <f>IFERROR(VLOOKUP(G94,Reference!$I$2:$J$175,2,FALSE()),"Operations")</f>
        <v>Operations</v>
      </c>
    </row>
    <row r="95" spans="1:13" ht="15" customHeight="1" x14ac:dyDescent="0.25">
      <c r="A95" s="100"/>
      <c r="B95" s="101"/>
      <c r="C95" s="101"/>
      <c r="D95" s="100">
        <f>IF(OR(B95="",C95=""),"",IF(DATEDIF(C95,B95,"y")&gt;=1,DATEDIF(C95,B95,"y")&amp;IF(DATEDIF(C95,B95,"y")=1," year "," years ")&amp;DATEDIF(C95,B95,"ym")&amp;IF(DATEDIF(C95,B95,"ym")=1," month"," months"),IF(DATEDIF(C95,B95,"m")&gt;=1,DATEDIF(C95,B95,"m")&amp;IF(DATEDIF(C95,B95,"m")=1," month"," months"),DATEDIF(C95,B95,"d")&amp;IF(DATEDIF(C95,B95,"d")=1," day"," days"))))</f>
      </c>
      <c r="E95" s="100"/>
      <c r="F95" s="100"/>
      <c r="G95" s="100"/>
      <c r="H95" s="100"/>
      <c r="I95" s="100"/>
      <c r="J95" s="101"/>
      <c r="K95" s="100"/>
      <c r="L95" s="100"/>
      <c r="M95" s="102" t="str">
        <f>IFERROR(VLOOKUP(G95,Reference!$I$2:$J$175,2,FALSE()),"Operations")</f>
        <v>Operations</v>
      </c>
    </row>
    <row r="96" spans="1:13" ht="15" customHeight="1" x14ac:dyDescent="0.25">
      <c r="A96" s="103"/>
      <c r="B96" s="104"/>
      <c r="C96" s="104"/>
      <c r="D96" s="103">
        <f>IF(OR(B96="",C96=""),"",IF(DATEDIF(C96,B96,"y")&gt;=1,DATEDIF(C96,B96,"y")&amp;IF(DATEDIF(C96,B96,"y")=1," year "," years ")&amp;DATEDIF(C96,B96,"ym")&amp;IF(DATEDIF(C96,B96,"ym")=1," month"," months"),IF(DATEDIF(C96,B96,"m")&gt;=1,DATEDIF(C96,B96,"m")&amp;IF(DATEDIF(C96,B96,"m")=1," month"," months"),DATEDIF(C96,B96,"d")&amp;IF(DATEDIF(C96,B96,"d")=1," day"," days"))))</f>
      </c>
      <c r="E96" s="103"/>
      <c r="F96" s="103"/>
      <c r="G96" s="103"/>
      <c r="H96" s="103"/>
      <c r="I96" s="103"/>
      <c r="J96" s="104"/>
      <c r="K96" s="103"/>
      <c r="L96" s="103"/>
      <c r="M96" s="105" t="str">
        <f>IFERROR(VLOOKUP(G96,Reference!$I$2:$J$175,2,FALSE()),"Operations")</f>
        <v>Operations</v>
      </c>
    </row>
    <row r="97" spans="1:13" ht="15" customHeight="1" x14ac:dyDescent="0.25">
      <c r="A97" s="100"/>
      <c r="B97" s="101"/>
      <c r="C97" s="101"/>
      <c r="D97" s="100">
        <f>IF(OR(B97="",C97=""),"",IF(DATEDIF(C97,B97,"y")&gt;=1,DATEDIF(C97,B97,"y")&amp;IF(DATEDIF(C97,B97,"y")=1," year "," years ")&amp;DATEDIF(C97,B97,"ym")&amp;IF(DATEDIF(C97,B97,"ym")=1," month"," months"),IF(DATEDIF(C97,B97,"m")&gt;=1,DATEDIF(C97,B97,"m")&amp;IF(DATEDIF(C97,B97,"m")=1," month"," months"),DATEDIF(C97,B97,"d")&amp;IF(DATEDIF(C97,B97,"d")=1," day"," days"))))</f>
      </c>
      <c r="E97" s="100"/>
      <c r="F97" s="100"/>
      <c r="G97" s="100"/>
      <c r="H97" s="100"/>
      <c r="I97" s="100"/>
      <c r="J97" s="101"/>
      <c r="K97" s="100"/>
      <c r="L97" s="100"/>
      <c r="M97" s="102" t="str">
        <f>IFERROR(VLOOKUP(G97,Reference!$I$2:$J$175,2,FALSE()),"Operations")</f>
        <v>Operations</v>
      </c>
    </row>
    <row r="98" spans="1:13" ht="15" customHeight="1" x14ac:dyDescent="0.25">
      <c r="A98" s="103"/>
      <c r="B98" s="104"/>
      <c r="C98" s="104"/>
      <c r="D98" s="103">
        <f>IF(OR(B98="",C98=""),"",IF(DATEDIF(C98,B98,"y")&gt;=1,DATEDIF(C98,B98,"y")&amp;IF(DATEDIF(C98,B98,"y")=1," year "," years ")&amp;DATEDIF(C98,B98,"ym")&amp;IF(DATEDIF(C98,B98,"ym")=1," month"," months"),IF(DATEDIF(C98,B98,"m")&gt;=1,DATEDIF(C98,B98,"m")&amp;IF(DATEDIF(C98,B98,"m")=1," month"," months"),DATEDIF(C98,B98,"d")&amp;IF(DATEDIF(C98,B98,"d")=1," day"," days"))))</f>
      </c>
      <c r="E98" s="103"/>
      <c r="F98" s="103"/>
      <c r="G98" s="103"/>
      <c r="H98" s="103"/>
      <c r="I98" s="103"/>
      <c r="J98" s="104"/>
      <c r="K98" s="103"/>
      <c r="L98" s="103"/>
      <c r="M98" s="105" t="str">
        <f>IFERROR(VLOOKUP(G98,Reference!$I$2:$J$175,2,FALSE()),"Operations")</f>
        <v>Operations</v>
      </c>
    </row>
    <row r="99" spans="1:13" ht="15" customHeight="1" x14ac:dyDescent="0.25">
      <c r="A99" s="100"/>
      <c r="B99" s="101"/>
      <c r="C99" s="101"/>
      <c r="D99" s="100">
        <f>IF(OR(B99="",C99=""),"",IF(DATEDIF(C99,B99,"y")&gt;=1,DATEDIF(C99,B99,"y")&amp;IF(DATEDIF(C99,B99,"y")=1," year "," years ")&amp;DATEDIF(C99,B99,"ym")&amp;IF(DATEDIF(C99,B99,"ym")=1," month"," months"),IF(DATEDIF(C99,B99,"m")&gt;=1,DATEDIF(C99,B99,"m")&amp;IF(DATEDIF(C99,B99,"m")=1," month"," months"),DATEDIF(C99,B99,"d")&amp;IF(DATEDIF(C99,B99,"d")=1," day"," days"))))</f>
      </c>
      <c r="E99" s="100"/>
      <c r="F99" s="100"/>
      <c r="G99" s="100"/>
      <c r="H99" s="100"/>
      <c r="I99" s="100"/>
      <c r="J99" s="101"/>
      <c r="K99" s="100"/>
      <c r="L99" s="100"/>
      <c r="M99" s="102" t="str">
        <f>IFERROR(VLOOKUP(G99,Reference!$I$2:$J$175,2,FALSE()),"Operations")</f>
        <v>Operations</v>
      </c>
    </row>
    <row r="100" spans="1:13" ht="15" customHeight="1" x14ac:dyDescent="0.25">
      <c r="A100" s="103"/>
      <c r="B100" s="104"/>
      <c r="C100" s="104"/>
      <c r="D100" s="103">
        <f>IF(OR(B100="",C100=""),"",IF(DATEDIF(C100,B100,"y")&gt;=1,DATEDIF(C100,B100,"y")&amp;IF(DATEDIF(C100,B100,"y")=1," year "," years ")&amp;DATEDIF(C100,B100,"ym")&amp;IF(DATEDIF(C100,B100,"ym")=1," month"," months"),IF(DATEDIF(C100,B100,"m")&gt;=1,DATEDIF(C100,B100,"m")&amp;IF(DATEDIF(C100,B100,"m")=1," month"," months"),DATEDIF(C100,B100,"d")&amp;IF(DATEDIF(C100,B100,"d")=1," day"," days"))))</f>
      </c>
      <c r="E100" s="103"/>
      <c r="F100" s="103"/>
      <c r="G100" s="103"/>
      <c r="H100" s="103"/>
      <c r="I100" s="103"/>
      <c r="J100" s="104"/>
      <c r="K100" s="103"/>
      <c r="L100" s="103"/>
      <c r="M100" s="105" t="str">
        <f>IFERROR(VLOOKUP(G100,Reference!$I$2:$J$175,2,FALSE()),"Operations")</f>
        <v>Operations</v>
      </c>
    </row>
    <row r="101" spans="1:13" ht="15" customHeight="1" x14ac:dyDescent="0.25">
      <c r="A101" s="100"/>
      <c r="B101" s="101"/>
      <c r="C101" s="101"/>
      <c r="D101" s="100">
        <f>IF(OR(B101="",C101=""),"",IF(DATEDIF(C101,B101,"y")&gt;=1,DATEDIF(C101,B101,"y")&amp;IF(DATEDIF(C101,B101,"y")=1," year "," years ")&amp;DATEDIF(C101,B101,"ym")&amp;IF(DATEDIF(C101,B101,"ym")=1," month"," months"),IF(DATEDIF(C101,B101,"m")&gt;=1,DATEDIF(C101,B101,"m")&amp;IF(DATEDIF(C101,B101,"m")=1," month"," months"),DATEDIF(C101,B101,"d")&amp;IF(DATEDIF(C101,B101,"d")=1," day"," days"))))</f>
      </c>
      <c r="E101" s="100"/>
      <c r="F101" s="100"/>
      <c r="G101" s="100"/>
      <c r="H101" s="100"/>
      <c r="I101" s="100"/>
      <c r="J101" s="101"/>
      <c r="K101" s="100"/>
      <c r="L101" s="100"/>
      <c r="M101" s="102" t="str">
        <f>IFERROR(VLOOKUP(G101,Reference!$I$2:$J$175,2,FALSE()),"Operations")</f>
        <v>Operations</v>
      </c>
    </row>
    <row r="102" spans="1:13" ht="15" customHeight="1" x14ac:dyDescent="0.25">
      <c r="A102" s="103"/>
      <c r="B102" s="104"/>
      <c r="C102" s="104"/>
      <c r="D102" s="103">
        <f>IF(OR(B102="",C102=""),"",IF(DATEDIF(C102,B102,"y")&gt;=1,DATEDIF(C102,B102,"y")&amp;IF(DATEDIF(C102,B102,"y")=1," year "," years ")&amp;DATEDIF(C102,B102,"ym")&amp;IF(DATEDIF(C102,B102,"ym")=1," month"," months"),IF(DATEDIF(C102,B102,"m")&gt;=1,DATEDIF(C102,B102,"m")&amp;IF(DATEDIF(C102,B102,"m")=1," month"," months"),DATEDIF(C102,B102,"d")&amp;IF(DATEDIF(C102,B102,"d")=1," day"," days"))))</f>
      </c>
      <c r="E102" s="103"/>
      <c r="F102" s="103"/>
      <c r="G102" s="103"/>
      <c r="H102" s="103"/>
      <c r="I102" s="103"/>
      <c r="J102" s="104"/>
      <c r="K102" s="103"/>
      <c r="L102" s="103"/>
      <c r="M102" s="105" t="str">
        <f>IFERROR(VLOOKUP(G102,Reference!$I$2:$J$175,2,FALSE()),"Operations")</f>
        <v>Operations</v>
      </c>
    </row>
    <row r="103" spans="1:13" ht="15" customHeight="1" x14ac:dyDescent="0.25">
      <c r="A103" s="100"/>
      <c r="B103" s="101"/>
      <c r="C103" s="101"/>
      <c r="D103" s="100">
        <f>IF(OR(B103="",C103=""),"",IF(DATEDIF(C103,B103,"y")&gt;=1,DATEDIF(C103,B103,"y")&amp;IF(DATEDIF(C103,B103,"y")=1," year "," years ")&amp;DATEDIF(C103,B103,"ym")&amp;IF(DATEDIF(C103,B103,"ym")=1," month"," months"),IF(DATEDIF(C103,B103,"m")&gt;=1,DATEDIF(C103,B103,"m")&amp;IF(DATEDIF(C103,B103,"m")=1," month"," months"),DATEDIF(C103,B103,"d")&amp;IF(DATEDIF(C103,B103,"d")=1," day"," days"))))</f>
      </c>
      <c r="E103" s="100"/>
      <c r="F103" s="100"/>
      <c r="G103" s="100"/>
      <c r="H103" s="100"/>
      <c r="I103" s="100"/>
      <c r="J103" s="101"/>
      <c r="K103" s="100"/>
      <c r="L103" s="100"/>
      <c r="M103" s="102" t="str">
        <f>IFERROR(VLOOKUP(G103,Reference!$I$2:$J$175,2,FALSE()),"Operations")</f>
        <v>Operations</v>
      </c>
    </row>
    <row r="104" spans="1:13" ht="15" customHeight="1" x14ac:dyDescent="0.25">
      <c r="A104" s="103"/>
      <c r="B104" s="104"/>
      <c r="C104" s="104"/>
      <c r="D104" s="103">
        <f>IF(OR(B104="",C104=""),"",IF(DATEDIF(C104,B104,"y")&gt;=1,DATEDIF(C104,B104,"y")&amp;IF(DATEDIF(C104,B104,"y")=1," year "," years ")&amp;DATEDIF(C104,B104,"ym")&amp;IF(DATEDIF(C104,B104,"ym")=1," month"," months"),IF(DATEDIF(C104,B104,"m")&gt;=1,DATEDIF(C104,B104,"m")&amp;IF(DATEDIF(C104,B104,"m")=1," month"," months"),DATEDIF(C104,B104,"d")&amp;IF(DATEDIF(C104,B104,"d")=1," day"," days"))))</f>
      </c>
      <c r="E104" s="103"/>
      <c r="F104" s="103"/>
      <c r="G104" s="103"/>
      <c r="H104" s="103"/>
      <c r="I104" s="103"/>
      <c r="J104" s="104"/>
      <c r="K104" s="103"/>
      <c r="L104" s="103"/>
      <c r="M104" s="105" t="str">
        <f>IFERROR(VLOOKUP(G104,Reference!$I$2:$J$175,2,FALSE()),"Operations")</f>
        <v>Operations</v>
      </c>
    </row>
    <row r="105" spans="1:13" ht="15" customHeight="1" x14ac:dyDescent="0.25">
      <c r="A105" s="100"/>
      <c r="B105" s="101"/>
      <c r="C105" s="101"/>
      <c r="D105" s="100">
        <f>IF(OR(B105="",C105=""),"",IF(DATEDIF(C105,B105,"y")&gt;=1,DATEDIF(C105,B105,"y")&amp;IF(DATEDIF(C105,B105,"y")=1," year "," years ")&amp;DATEDIF(C105,B105,"ym")&amp;IF(DATEDIF(C105,B105,"ym")=1," month"," months"),IF(DATEDIF(C105,B105,"m")&gt;=1,DATEDIF(C105,B105,"m")&amp;IF(DATEDIF(C105,B105,"m")=1," month"," months"),DATEDIF(C105,B105,"d")&amp;IF(DATEDIF(C105,B105,"d")=1," day"," days"))))</f>
      </c>
      <c r="E105" s="100"/>
      <c r="F105" s="100"/>
      <c r="G105" s="100"/>
      <c r="H105" s="100"/>
      <c r="I105" s="100"/>
      <c r="J105" s="101"/>
      <c r="K105" s="100"/>
      <c r="L105" s="100"/>
      <c r="M105" s="102" t="str">
        <f>IFERROR(VLOOKUP(G105,Reference!$I$2:$J$175,2,FALSE()),"Operations")</f>
        <v>Operations</v>
      </c>
    </row>
    <row r="106" spans="1:13" ht="15" customHeight="1" x14ac:dyDescent="0.25">
      <c r="A106" s="103"/>
      <c r="B106" s="104"/>
      <c r="C106" s="104"/>
      <c r="D106" s="103">
        <f>IF(OR(B106="",C106=""),"",IF(DATEDIF(C106,B106,"y")&gt;=1,DATEDIF(C106,B106,"y")&amp;IF(DATEDIF(C106,B106,"y")=1," year "," years ")&amp;DATEDIF(C106,B106,"ym")&amp;IF(DATEDIF(C106,B106,"ym")=1," month"," months"),IF(DATEDIF(C106,B106,"m")&gt;=1,DATEDIF(C106,B106,"m")&amp;IF(DATEDIF(C106,B106,"m")=1," month"," months"),DATEDIF(C106,B106,"d")&amp;IF(DATEDIF(C106,B106,"d")=1," day"," days"))))</f>
      </c>
      <c r="E106" s="103"/>
      <c r="F106" s="103"/>
      <c r="G106" s="103"/>
      <c r="H106" s="103"/>
      <c r="I106" s="103"/>
      <c r="J106" s="104"/>
      <c r="K106" s="103"/>
      <c r="L106" s="103"/>
      <c r="M106" s="105" t="str">
        <f>IFERROR(VLOOKUP(G106,Reference!$I$2:$J$175,2,FALSE()),"Operations")</f>
        <v>Operations</v>
      </c>
    </row>
    <row r="107" spans="1:13" ht="15" customHeight="1" x14ac:dyDescent="0.25">
      <c r="A107" s="106" t="s">
        <v>163</v>
      </c>
      <c r="B107" s="107">
        <f>COUNTA(A77:A106)</f>
        <v>0</v>
      </c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</row>
    <row r="108" spans="1:13" ht="6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 spans="1:13" ht="21.75" customHeight="1" x14ac:dyDescent="0.25">
      <c r="A109" s="163" t="s">
        <v>166</v>
      </c>
      <c r="B109" s="163"/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</row>
    <row r="110" spans="1:13" ht="19.5" customHeight="1" x14ac:dyDescent="0.25">
      <c r="A110" s="64" t="s">
        <v>151</v>
      </c>
      <c r="B110" s="64" t="s">
        <v>152</v>
      </c>
      <c r="C110" s="64" t="s">
        <v>153</v>
      </c>
      <c r="D110" s="64" t="s">
        <v>154</v>
      </c>
      <c r="E110" s="64" t="s">
        <v>155</v>
      </c>
      <c r="F110" s="64" t="s">
        <v>156</v>
      </c>
      <c r="G110" s="64" t="s">
        <v>157</v>
      </c>
      <c r="H110" s="64" t="s">
        <v>158</v>
      </c>
      <c r="I110" s="64" t="s">
        <v>159</v>
      </c>
      <c r="J110" s="64" t="s">
        <v>160</v>
      </c>
      <c r="K110" s="64" t="s">
        <v>134</v>
      </c>
      <c r="L110" s="64" t="s">
        <v>161</v>
      </c>
      <c r="M110" s="64" t="s">
        <v>162</v>
      </c>
    </row>
    <row r="111" spans="1:13" ht="15" customHeight="1" x14ac:dyDescent="0.25">
      <c r="A111" s="100"/>
      <c r="B111" s="101"/>
      <c r="C111" s="101"/>
      <c r="D111" s="100">
        <f>IF(OR(B111="",C111=""),"",IF(DATEDIF(C111,B111,"y")&gt;=1,DATEDIF(C111,B111,"y")&amp;IF(DATEDIF(C111,B111,"y")=1," year "," years ")&amp;DATEDIF(C111,B111,"ym")&amp;IF(DATEDIF(C111,B111,"ym")=1," month"," months"),IF(DATEDIF(C111,B111,"m")&gt;=1,DATEDIF(C111,B111,"m")&amp;IF(DATEDIF(C111,B111,"m")=1," month"," months"),DATEDIF(C111,B111,"d")&amp;IF(DATEDIF(C111,B111,"d")=1," day"," days"))))</f>
      </c>
      <c r="E111" s="100"/>
      <c r="F111" s="100"/>
      <c r="G111" s="100"/>
      <c r="H111" s="100"/>
      <c r="I111" s="100"/>
      <c r="J111" s="101"/>
      <c r="K111" s="100"/>
      <c r="L111" s="100"/>
      <c r="M111" s="102" t="str">
        <f>IFERROR(VLOOKUP(G111,Reference!$I$2:$J$175,2,FALSE()),"Operations")</f>
        <v>Operations</v>
      </c>
    </row>
    <row r="112" spans="1:13" ht="15" customHeight="1" x14ac:dyDescent="0.25">
      <c r="A112" s="103"/>
      <c r="B112" s="104"/>
      <c r="C112" s="104"/>
      <c r="D112" s="103">
        <f>IF(OR(B112="",C112=""),"",IF(DATEDIF(C112,B112,"y")&gt;=1,DATEDIF(C112,B112,"y")&amp;IF(DATEDIF(C112,B112,"y")=1," year "," years ")&amp;DATEDIF(C112,B112,"ym")&amp;IF(DATEDIF(C112,B112,"ym")=1," month"," months"),IF(DATEDIF(C112,B112,"m")&gt;=1,DATEDIF(C112,B112,"m")&amp;IF(DATEDIF(C112,B112,"m")=1," month"," months"),DATEDIF(C112,B112,"d")&amp;IF(DATEDIF(C112,B112,"d")=1," day"," days"))))</f>
      </c>
      <c r="E112" s="103"/>
      <c r="F112" s="103"/>
      <c r="G112" s="103"/>
      <c r="H112" s="103"/>
      <c r="I112" s="103"/>
      <c r="J112" s="104"/>
      <c r="K112" s="103"/>
      <c r="L112" s="103"/>
      <c r="M112" s="105" t="str">
        <f>IFERROR(VLOOKUP(G112,Reference!$I$2:$J$175,2,FALSE()),"Operations")</f>
        <v>Operations</v>
      </c>
    </row>
    <row r="113" spans="1:13" ht="15" customHeight="1" x14ac:dyDescent="0.25">
      <c r="A113" s="100"/>
      <c r="B113" s="101"/>
      <c r="C113" s="101"/>
      <c r="D113" s="100">
        <f>IF(OR(B113="",C113=""),"",IF(DATEDIF(C113,B113,"y")&gt;=1,DATEDIF(C113,B113,"y")&amp;IF(DATEDIF(C113,B113,"y")=1," year "," years ")&amp;DATEDIF(C113,B113,"ym")&amp;IF(DATEDIF(C113,B113,"ym")=1," month"," months"),IF(DATEDIF(C113,B113,"m")&gt;=1,DATEDIF(C113,B113,"m")&amp;IF(DATEDIF(C113,B113,"m")=1," month"," months"),DATEDIF(C113,B113,"d")&amp;IF(DATEDIF(C113,B113,"d")=1," day"," days"))))</f>
      </c>
      <c r="E113" s="100"/>
      <c r="F113" s="100"/>
      <c r="G113" s="100"/>
      <c r="H113" s="100"/>
      <c r="I113" s="100"/>
      <c r="J113" s="101"/>
      <c r="K113" s="100"/>
      <c r="L113" s="100"/>
      <c r="M113" s="102" t="str">
        <f>IFERROR(VLOOKUP(G113,Reference!$I$2:$J$175,2,FALSE()),"Operations")</f>
        <v>Operations</v>
      </c>
    </row>
    <row r="114" spans="1:13" ht="15" customHeight="1" x14ac:dyDescent="0.25">
      <c r="A114" s="103"/>
      <c r="B114" s="104"/>
      <c r="C114" s="104"/>
      <c r="D114" s="103">
        <f>IF(OR(B114="",C114=""),"",IF(DATEDIF(C114,B114,"y")&gt;=1,DATEDIF(C114,B114,"y")&amp;IF(DATEDIF(C114,B114,"y")=1," year "," years ")&amp;DATEDIF(C114,B114,"ym")&amp;IF(DATEDIF(C114,B114,"ym")=1," month"," months"),IF(DATEDIF(C114,B114,"m")&gt;=1,DATEDIF(C114,B114,"m")&amp;IF(DATEDIF(C114,B114,"m")=1," month"," months"),DATEDIF(C114,B114,"d")&amp;IF(DATEDIF(C114,B114,"d")=1," day"," days"))))</f>
      </c>
      <c r="E114" s="103"/>
      <c r="F114" s="103"/>
      <c r="G114" s="103"/>
      <c r="H114" s="103"/>
      <c r="I114" s="103"/>
      <c r="J114" s="104"/>
      <c r="K114" s="103"/>
      <c r="L114" s="103"/>
      <c r="M114" s="105" t="str">
        <f>IFERROR(VLOOKUP(G114,Reference!$I$2:$J$175,2,FALSE()),"Operations")</f>
        <v>Operations</v>
      </c>
    </row>
    <row r="115" spans="1:13" ht="15" customHeight="1" x14ac:dyDescent="0.25">
      <c r="A115" s="100"/>
      <c r="B115" s="101"/>
      <c r="C115" s="101"/>
      <c r="D115" s="100">
        <f>IF(OR(B115="",C115=""),"",IF(DATEDIF(C115,B115,"y")&gt;=1,DATEDIF(C115,B115,"y")&amp;IF(DATEDIF(C115,B115,"y")=1," year "," years ")&amp;DATEDIF(C115,B115,"ym")&amp;IF(DATEDIF(C115,B115,"ym")=1," month"," months"),IF(DATEDIF(C115,B115,"m")&gt;=1,DATEDIF(C115,B115,"m")&amp;IF(DATEDIF(C115,B115,"m")=1," month"," months"),DATEDIF(C115,B115,"d")&amp;IF(DATEDIF(C115,B115,"d")=1," day"," days"))))</f>
      </c>
      <c r="E115" s="100"/>
      <c r="F115" s="100"/>
      <c r="G115" s="100"/>
      <c r="H115" s="100"/>
      <c r="I115" s="100"/>
      <c r="J115" s="101"/>
      <c r="K115" s="100"/>
      <c r="L115" s="100"/>
      <c r="M115" s="102" t="str">
        <f>IFERROR(VLOOKUP(G115,Reference!$I$2:$J$175,2,FALSE()),"Operations")</f>
        <v>Operations</v>
      </c>
    </row>
    <row r="116" spans="1:13" ht="15" customHeight="1" x14ac:dyDescent="0.25">
      <c r="A116" s="103"/>
      <c r="B116" s="104"/>
      <c r="C116" s="104"/>
      <c r="D116" s="103">
        <f>IF(OR(B116="",C116=""),"",IF(DATEDIF(C116,B116,"y")&gt;=1,DATEDIF(C116,B116,"y")&amp;IF(DATEDIF(C116,B116,"y")=1," year "," years ")&amp;DATEDIF(C116,B116,"ym")&amp;IF(DATEDIF(C116,B116,"ym")=1," month"," months"),IF(DATEDIF(C116,B116,"m")&gt;=1,DATEDIF(C116,B116,"m")&amp;IF(DATEDIF(C116,B116,"m")=1," month"," months"),DATEDIF(C116,B116,"d")&amp;IF(DATEDIF(C116,B116,"d")=1," day"," days"))))</f>
      </c>
      <c r="E116" s="103"/>
      <c r="F116" s="103"/>
      <c r="G116" s="103"/>
      <c r="H116" s="103"/>
      <c r="I116" s="103"/>
      <c r="J116" s="104"/>
      <c r="K116" s="103"/>
      <c r="L116" s="103"/>
      <c r="M116" s="105" t="str">
        <f>IFERROR(VLOOKUP(G116,Reference!$I$2:$J$175,2,FALSE()),"Operations")</f>
        <v>Operations</v>
      </c>
    </row>
    <row r="117" spans="1:13" ht="15" customHeight="1" x14ac:dyDescent="0.25">
      <c r="A117" s="100"/>
      <c r="B117" s="101"/>
      <c r="C117" s="101"/>
      <c r="D117" s="100">
        <f>IF(OR(B117="",C117=""),"",IF(DATEDIF(C117,B117,"y")&gt;=1,DATEDIF(C117,B117,"y")&amp;IF(DATEDIF(C117,B117,"y")=1," year "," years ")&amp;DATEDIF(C117,B117,"ym")&amp;IF(DATEDIF(C117,B117,"ym")=1," month"," months"),IF(DATEDIF(C117,B117,"m")&gt;=1,DATEDIF(C117,B117,"m")&amp;IF(DATEDIF(C117,B117,"m")=1," month"," months"),DATEDIF(C117,B117,"d")&amp;IF(DATEDIF(C117,B117,"d")=1," day"," days"))))</f>
      </c>
      <c r="E117" s="100"/>
      <c r="F117" s="100"/>
      <c r="G117" s="100"/>
      <c r="H117" s="100"/>
      <c r="I117" s="100"/>
      <c r="J117" s="101"/>
      <c r="K117" s="100"/>
      <c r="L117" s="100"/>
      <c r="M117" s="102" t="str">
        <f>IFERROR(VLOOKUP(G117,Reference!$I$2:$J$175,2,FALSE()),"Operations")</f>
        <v>Operations</v>
      </c>
    </row>
    <row r="118" spans="1:13" ht="15" customHeight="1" x14ac:dyDescent="0.25">
      <c r="A118" s="103"/>
      <c r="B118" s="104"/>
      <c r="C118" s="104"/>
      <c r="D118" s="103">
        <f>IF(OR(B118="",C118=""),"",IF(DATEDIF(C118,B118,"y")&gt;=1,DATEDIF(C118,B118,"y")&amp;IF(DATEDIF(C118,B118,"y")=1," year "," years ")&amp;DATEDIF(C118,B118,"ym")&amp;IF(DATEDIF(C118,B118,"ym")=1," month"," months"),IF(DATEDIF(C118,B118,"m")&gt;=1,DATEDIF(C118,B118,"m")&amp;IF(DATEDIF(C118,B118,"m")=1," month"," months"),DATEDIF(C118,B118,"d")&amp;IF(DATEDIF(C118,B118,"d")=1," day"," days"))))</f>
      </c>
      <c r="E118" s="103"/>
      <c r="F118" s="103"/>
      <c r="G118" s="103"/>
      <c r="H118" s="103"/>
      <c r="I118" s="103"/>
      <c r="J118" s="104"/>
      <c r="K118" s="103"/>
      <c r="L118" s="103"/>
      <c r="M118" s="105" t="str">
        <f>IFERROR(VLOOKUP(G118,Reference!$I$2:$J$175,2,FALSE()),"Operations")</f>
        <v>Operations</v>
      </c>
    </row>
    <row r="119" spans="1:13" ht="15" customHeight="1" x14ac:dyDescent="0.25">
      <c r="A119" s="100"/>
      <c r="B119" s="101"/>
      <c r="C119" s="101"/>
      <c r="D119" s="100">
        <f>IF(OR(B119="",C119=""),"",IF(DATEDIF(C119,B119,"y")&gt;=1,DATEDIF(C119,B119,"y")&amp;IF(DATEDIF(C119,B119,"y")=1," year "," years ")&amp;DATEDIF(C119,B119,"ym")&amp;IF(DATEDIF(C119,B119,"ym")=1," month"," months"),IF(DATEDIF(C119,B119,"m")&gt;=1,DATEDIF(C119,B119,"m")&amp;IF(DATEDIF(C119,B119,"m")=1," month"," months"),DATEDIF(C119,B119,"d")&amp;IF(DATEDIF(C119,B119,"d")=1," day"," days"))))</f>
      </c>
      <c r="E119" s="100"/>
      <c r="F119" s="100"/>
      <c r="G119" s="100"/>
      <c r="H119" s="100"/>
      <c r="I119" s="100"/>
      <c r="J119" s="101"/>
      <c r="K119" s="100"/>
      <c r="L119" s="100"/>
      <c r="M119" s="102" t="str">
        <f>IFERROR(VLOOKUP(G119,Reference!$I$2:$J$175,2,FALSE()),"Operations")</f>
        <v>Operations</v>
      </c>
    </row>
    <row r="120" spans="1:13" ht="15" customHeight="1" x14ac:dyDescent="0.25">
      <c r="A120" s="103"/>
      <c r="B120" s="104"/>
      <c r="C120" s="104"/>
      <c r="D120" s="103">
        <f>IF(OR(B120="",C120=""),"",IF(DATEDIF(C120,B120,"y")&gt;=1,DATEDIF(C120,B120,"y")&amp;IF(DATEDIF(C120,B120,"y")=1," year "," years ")&amp;DATEDIF(C120,B120,"ym")&amp;IF(DATEDIF(C120,B120,"ym")=1," month"," months"),IF(DATEDIF(C120,B120,"m")&gt;=1,DATEDIF(C120,B120,"m")&amp;IF(DATEDIF(C120,B120,"m")=1," month"," months"),DATEDIF(C120,B120,"d")&amp;IF(DATEDIF(C120,B120,"d")=1," day"," days"))))</f>
      </c>
      <c r="E120" s="103"/>
      <c r="F120" s="103"/>
      <c r="G120" s="103"/>
      <c r="H120" s="103"/>
      <c r="I120" s="103"/>
      <c r="J120" s="104"/>
      <c r="K120" s="103"/>
      <c r="L120" s="103"/>
      <c r="M120" s="105" t="str">
        <f>IFERROR(VLOOKUP(G120,Reference!$I$2:$J$175,2,FALSE()),"Operations")</f>
        <v>Operations</v>
      </c>
    </row>
    <row r="121" spans="1:13" ht="15" customHeight="1" x14ac:dyDescent="0.25">
      <c r="A121" s="100"/>
      <c r="B121" s="101"/>
      <c r="C121" s="101"/>
      <c r="D121" s="100">
        <f>IF(OR(B121="",C121=""),"",IF(DATEDIF(C121,B121,"y")&gt;=1,DATEDIF(C121,B121,"y")&amp;IF(DATEDIF(C121,B121,"y")=1," year "," years ")&amp;DATEDIF(C121,B121,"ym")&amp;IF(DATEDIF(C121,B121,"ym")=1," month"," months"),IF(DATEDIF(C121,B121,"m")&gt;=1,DATEDIF(C121,B121,"m")&amp;IF(DATEDIF(C121,B121,"m")=1," month"," months"),DATEDIF(C121,B121,"d")&amp;IF(DATEDIF(C121,B121,"d")=1," day"," days"))))</f>
      </c>
      <c r="E121" s="100"/>
      <c r="F121" s="100"/>
      <c r="G121" s="100"/>
      <c r="H121" s="100"/>
      <c r="I121" s="100"/>
      <c r="J121" s="101"/>
      <c r="K121" s="100"/>
      <c r="L121" s="100"/>
      <c r="M121" s="102" t="str">
        <f>IFERROR(VLOOKUP(G121,Reference!$I$2:$J$175,2,FALSE()),"Operations")</f>
        <v>Operations</v>
      </c>
    </row>
    <row r="122" spans="1:13" ht="15" customHeight="1" x14ac:dyDescent="0.25">
      <c r="A122" s="103"/>
      <c r="B122" s="104"/>
      <c r="C122" s="104"/>
      <c r="D122" s="103">
        <f>IF(OR(B122="",C122=""),"",IF(DATEDIF(C122,B122,"y")&gt;=1,DATEDIF(C122,B122,"y")&amp;IF(DATEDIF(C122,B122,"y")=1," year "," years ")&amp;DATEDIF(C122,B122,"ym")&amp;IF(DATEDIF(C122,B122,"ym")=1," month"," months"),IF(DATEDIF(C122,B122,"m")&gt;=1,DATEDIF(C122,B122,"m")&amp;IF(DATEDIF(C122,B122,"m")=1," month"," months"),DATEDIF(C122,B122,"d")&amp;IF(DATEDIF(C122,B122,"d")=1," day"," days"))))</f>
      </c>
      <c r="E122" s="103"/>
      <c r="F122" s="103"/>
      <c r="G122" s="103"/>
      <c r="H122" s="103"/>
      <c r="I122" s="103"/>
      <c r="J122" s="104"/>
      <c r="K122" s="103"/>
      <c r="L122" s="103"/>
      <c r="M122" s="105" t="str">
        <f>IFERROR(VLOOKUP(G122,Reference!$I$2:$J$175,2,FALSE()),"Operations")</f>
        <v>Operations</v>
      </c>
    </row>
    <row r="123" spans="1:13" ht="15" customHeight="1" x14ac:dyDescent="0.25">
      <c r="A123" s="100"/>
      <c r="B123" s="101"/>
      <c r="C123" s="101"/>
      <c r="D123" s="100">
        <f>IF(OR(B123="",C123=""),"",IF(DATEDIF(C123,B123,"y")&gt;=1,DATEDIF(C123,B123,"y")&amp;IF(DATEDIF(C123,B123,"y")=1," year "," years ")&amp;DATEDIF(C123,B123,"ym")&amp;IF(DATEDIF(C123,B123,"ym")=1," month"," months"),IF(DATEDIF(C123,B123,"m")&gt;=1,DATEDIF(C123,B123,"m")&amp;IF(DATEDIF(C123,B123,"m")=1," month"," months"),DATEDIF(C123,B123,"d")&amp;IF(DATEDIF(C123,B123,"d")=1," day"," days"))))</f>
      </c>
      <c r="E123" s="100"/>
      <c r="F123" s="100"/>
      <c r="G123" s="100"/>
      <c r="H123" s="100"/>
      <c r="I123" s="100"/>
      <c r="J123" s="101"/>
      <c r="K123" s="100"/>
      <c r="L123" s="100"/>
      <c r="M123" s="102" t="str">
        <f>IFERROR(VLOOKUP(G123,Reference!$I$2:$J$175,2,FALSE()),"Operations")</f>
        <v>Operations</v>
      </c>
    </row>
    <row r="124" spans="1:13" ht="15" customHeight="1" x14ac:dyDescent="0.25">
      <c r="A124" s="103"/>
      <c r="B124" s="104"/>
      <c r="C124" s="104"/>
      <c r="D124" s="103">
        <f>IF(OR(B124="",C124=""),"",IF(DATEDIF(C124,B124,"y")&gt;=1,DATEDIF(C124,B124,"y")&amp;IF(DATEDIF(C124,B124,"y")=1," year "," years ")&amp;DATEDIF(C124,B124,"ym")&amp;IF(DATEDIF(C124,B124,"ym")=1," month"," months"),IF(DATEDIF(C124,B124,"m")&gt;=1,DATEDIF(C124,B124,"m")&amp;IF(DATEDIF(C124,B124,"m")=1," month"," months"),DATEDIF(C124,B124,"d")&amp;IF(DATEDIF(C124,B124,"d")=1," day"," days"))))</f>
      </c>
      <c r="E124" s="103"/>
      <c r="F124" s="103"/>
      <c r="G124" s="103"/>
      <c r="H124" s="103"/>
      <c r="I124" s="103"/>
      <c r="J124" s="104"/>
      <c r="K124" s="103"/>
      <c r="L124" s="103"/>
      <c r="M124" s="105" t="str">
        <f>IFERROR(VLOOKUP(G124,Reference!$I$2:$J$175,2,FALSE()),"Operations")</f>
        <v>Operations</v>
      </c>
    </row>
    <row r="125" spans="1:13" ht="15" customHeight="1" x14ac:dyDescent="0.25">
      <c r="A125" s="100"/>
      <c r="B125" s="101"/>
      <c r="C125" s="101"/>
      <c r="D125" s="100">
        <f>IF(OR(B125="",C125=""),"",IF(DATEDIF(C125,B125,"y")&gt;=1,DATEDIF(C125,B125,"y")&amp;IF(DATEDIF(C125,B125,"y")=1," year "," years ")&amp;DATEDIF(C125,B125,"ym")&amp;IF(DATEDIF(C125,B125,"ym")=1," month"," months"),IF(DATEDIF(C125,B125,"m")&gt;=1,DATEDIF(C125,B125,"m")&amp;IF(DATEDIF(C125,B125,"m")=1," month"," months"),DATEDIF(C125,B125,"d")&amp;IF(DATEDIF(C125,B125,"d")=1," day"," days"))))</f>
      </c>
      <c r="E125" s="100"/>
      <c r="F125" s="100"/>
      <c r="G125" s="100"/>
      <c r="H125" s="100"/>
      <c r="I125" s="100"/>
      <c r="J125" s="101"/>
      <c r="K125" s="100"/>
      <c r="L125" s="100"/>
      <c r="M125" s="102" t="str">
        <f>IFERROR(VLOOKUP(G125,Reference!$I$2:$J$175,2,FALSE()),"Operations")</f>
        <v>Operations</v>
      </c>
    </row>
    <row r="126" spans="1:13" ht="15" customHeight="1" x14ac:dyDescent="0.25">
      <c r="A126" s="103"/>
      <c r="B126" s="104"/>
      <c r="C126" s="104"/>
      <c r="D126" s="103">
        <f>IF(OR(B126="",C126=""),"",IF(DATEDIF(C126,B126,"y")&gt;=1,DATEDIF(C126,B126,"y")&amp;IF(DATEDIF(C126,B126,"y")=1," year "," years ")&amp;DATEDIF(C126,B126,"ym")&amp;IF(DATEDIF(C126,B126,"ym")=1," month"," months"),IF(DATEDIF(C126,B126,"m")&gt;=1,DATEDIF(C126,B126,"m")&amp;IF(DATEDIF(C126,B126,"m")=1," month"," months"),DATEDIF(C126,B126,"d")&amp;IF(DATEDIF(C126,B126,"d")=1," day"," days"))))</f>
      </c>
      <c r="E126" s="103"/>
      <c r="F126" s="103"/>
      <c r="G126" s="103"/>
      <c r="H126" s="103"/>
      <c r="I126" s="103"/>
      <c r="J126" s="104"/>
      <c r="K126" s="103"/>
      <c r="L126" s="103"/>
      <c r="M126" s="105" t="str">
        <f>IFERROR(VLOOKUP(G126,Reference!$I$2:$J$175,2,FALSE()),"Operations")</f>
        <v>Operations</v>
      </c>
    </row>
    <row r="127" spans="1:13" ht="15" customHeight="1" x14ac:dyDescent="0.25">
      <c r="A127" s="100"/>
      <c r="B127" s="101"/>
      <c r="C127" s="101"/>
      <c r="D127" s="100">
        <f>IF(OR(B127="",C127=""),"",IF(DATEDIF(C127,B127,"y")&gt;=1,DATEDIF(C127,B127,"y")&amp;IF(DATEDIF(C127,B127,"y")=1," year "," years ")&amp;DATEDIF(C127,B127,"ym")&amp;IF(DATEDIF(C127,B127,"ym")=1," month"," months"),IF(DATEDIF(C127,B127,"m")&gt;=1,DATEDIF(C127,B127,"m")&amp;IF(DATEDIF(C127,B127,"m")=1," month"," months"),DATEDIF(C127,B127,"d")&amp;IF(DATEDIF(C127,B127,"d")=1," day"," days"))))</f>
      </c>
      <c r="E127" s="100"/>
      <c r="F127" s="100"/>
      <c r="G127" s="100"/>
      <c r="H127" s="100"/>
      <c r="I127" s="100"/>
      <c r="J127" s="101"/>
      <c r="K127" s="100"/>
      <c r="L127" s="100"/>
      <c r="M127" s="102" t="str">
        <f>IFERROR(VLOOKUP(G127,Reference!$I$2:$J$175,2,FALSE()),"Operations")</f>
        <v>Operations</v>
      </c>
    </row>
    <row r="128" spans="1:13" ht="15" customHeight="1" x14ac:dyDescent="0.25">
      <c r="A128" s="103"/>
      <c r="B128" s="104"/>
      <c r="C128" s="104"/>
      <c r="D128" s="103">
        <f>IF(OR(B128="",C128=""),"",IF(DATEDIF(C128,B128,"y")&gt;=1,DATEDIF(C128,B128,"y")&amp;IF(DATEDIF(C128,B128,"y")=1," year "," years ")&amp;DATEDIF(C128,B128,"ym")&amp;IF(DATEDIF(C128,B128,"ym")=1," month"," months"),IF(DATEDIF(C128,B128,"m")&gt;=1,DATEDIF(C128,B128,"m")&amp;IF(DATEDIF(C128,B128,"m")=1," month"," months"),DATEDIF(C128,B128,"d")&amp;IF(DATEDIF(C128,B128,"d")=1," day"," days"))))</f>
      </c>
      <c r="E128" s="103"/>
      <c r="F128" s="103"/>
      <c r="G128" s="103"/>
      <c r="H128" s="103"/>
      <c r="I128" s="103"/>
      <c r="J128" s="104"/>
      <c r="K128" s="103"/>
      <c r="L128" s="103"/>
      <c r="M128" s="105" t="str">
        <f>IFERROR(VLOOKUP(G128,Reference!$I$2:$J$175,2,FALSE()),"Operations")</f>
        <v>Operations</v>
      </c>
    </row>
    <row r="129" spans="1:13" ht="15" customHeight="1" x14ac:dyDescent="0.25">
      <c r="A129" s="100"/>
      <c r="B129" s="101"/>
      <c r="C129" s="101"/>
      <c r="D129" s="100">
        <f>IF(OR(B129="",C129=""),"",IF(DATEDIF(C129,B129,"y")&gt;=1,DATEDIF(C129,B129,"y")&amp;IF(DATEDIF(C129,B129,"y")=1," year "," years ")&amp;DATEDIF(C129,B129,"ym")&amp;IF(DATEDIF(C129,B129,"ym")=1," month"," months"),IF(DATEDIF(C129,B129,"m")&gt;=1,DATEDIF(C129,B129,"m")&amp;IF(DATEDIF(C129,B129,"m")=1," month"," months"),DATEDIF(C129,B129,"d")&amp;IF(DATEDIF(C129,B129,"d")=1," day"," days"))))</f>
      </c>
      <c r="E129" s="100"/>
      <c r="F129" s="100"/>
      <c r="G129" s="100"/>
      <c r="H129" s="100"/>
      <c r="I129" s="100"/>
      <c r="J129" s="101"/>
      <c r="K129" s="100"/>
      <c r="L129" s="100"/>
      <c r="M129" s="102" t="str">
        <f>IFERROR(VLOOKUP(G129,Reference!$I$2:$J$175,2,FALSE()),"Operations")</f>
        <v>Operations</v>
      </c>
    </row>
    <row r="130" spans="1:13" ht="15" customHeight="1" x14ac:dyDescent="0.25">
      <c r="A130" s="103"/>
      <c r="B130" s="104"/>
      <c r="C130" s="104"/>
      <c r="D130" s="103">
        <f>IF(OR(B130="",C130=""),"",IF(DATEDIF(C130,B130,"y")&gt;=1,DATEDIF(C130,B130,"y")&amp;IF(DATEDIF(C130,B130,"y")=1," year "," years ")&amp;DATEDIF(C130,B130,"ym")&amp;IF(DATEDIF(C130,B130,"ym")=1," month"," months"),IF(DATEDIF(C130,B130,"m")&gt;=1,DATEDIF(C130,B130,"m")&amp;IF(DATEDIF(C130,B130,"m")=1," month"," months"),DATEDIF(C130,B130,"d")&amp;IF(DATEDIF(C130,B130,"d")=1," day"," days"))))</f>
      </c>
      <c r="E130" s="103"/>
      <c r="F130" s="103"/>
      <c r="G130" s="103"/>
      <c r="H130" s="103"/>
      <c r="I130" s="103"/>
      <c r="J130" s="104"/>
      <c r="K130" s="103"/>
      <c r="L130" s="103"/>
      <c r="M130" s="105" t="str">
        <f>IFERROR(VLOOKUP(G130,Reference!$I$2:$J$175,2,FALSE()),"Operations")</f>
        <v>Operations</v>
      </c>
    </row>
    <row r="131" spans="1:13" ht="15" customHeight="1" x14ac:dyDescent="0.25">
      <c r="A131" s="100"/>
      <c r="B131" s="101"/>
      <c r="C131" s="101"/>
      <c r="D131" s="100">
        <f>IF(OR(B131="",C131=""),"",IF(DATEDIF(C131,B131,"y")&gt;=1,DATEDIF(C131,B131,"y")&amp;IF(DATEDIF(C131,B131,"y")=1," year "," years ")&amp;DATEDIF(C131,B131,"ym")&amp;IF(DATEDIF(C131,B131,"ym")=1," month"," months"),IF(DATEDIF(C131,B131,"m")&gt;=1,DATEDIF(C131,B131,"m")&amp;IF(DATEDIF(C131,B131,"m")=1," month"," months"),DATEDIF(C131,B131,"d")&amp;IF(DATEDIF(C131,B131,"d")=1," day"," days"))))</f>
      </c>
      <c r="E131" s="100"/>
      <c r="F131" s="100"/>
      <c r="G131" s="100"/>
      <c r="H131" s="100"/>
      <c r="I131" s="100"/>
      <c r="J131" s="101"/>
      <c r="K131" s="100"/>
      <c r="L131" s="100"/>
      <c r="M131" s="102" t="str">
        <f>IFERROR(VLOOKUP(G131,Reference!$I$2:$J$175,2,FALSE()),"Operations")</f>
        <v>Operations</v>
      </c>
    </row>
    <row r="132" spans="1:13" ht="15" customHeight="1" x14ac:dyDescent="0.25">
      <c r="A132" s="103"/>
      <c r="B132" s="104"/>
      <c r="C132" s="104"/>
      <c r="D132" s="103">
        <f>IF(OR(B132="",C132=""),"",IF(DATEDIF(C132,B132,"y")&gt;=1,DATEDIF(C132,B132,"y")&amp;IF(DATEDIF(C132,B132,"y")=1," year "," years ")&amp;DATEDIF(C132,B132,"ym")&amp;IF(DATEDIF(C132,B132,"ym")=1," month"," months"),IF(DATEDIF(C132,B132,"m")&gt;=1,DATEDIF(C132,B132,"m")&amp;IF(DATEDIF(C132,B132,"m")=1," month"," months"),DATEDIF(C132,B132,"d")&amp;IF(DATEDIF(C132,B132,"d")=1," day"," days"))))</f>
      </c>
      <c r="E132" s="103"/>
      <c r="F132" s="103"/>
      <c r="G132" s="103"/>
      <c r="H132" s="103"/>
      <c r="I132" s="103"/>
      <c r="J132" s="104"/>
      <c r="K132" s="103"/>
      <c r="L132" s="103"/>
      <c r="M132" s="105" t="str">
        <f>IFERROR(VLOOKUP(G132,Reference!$I$2:$J$175,2,FALSE()),"Operations")</f>
        <v>Operations</v>
      </c>
    </row>
    <row r="133" spans="1:13" ht="15" customHeight="1" x14ac:dyDescent="0.25">
      <c r="A133" s="100"/>
      <c r="B133" s="101"/>
      <c r="C133" s="101"/>
      <c r="D133" s="100">
        <f>IF(OR(B133="",C133=""),"",IF(DATEDIF(C133,B133,"y")&gt;=1,DATEDIF(C133,B133,"y")&amp;IF(DATEDIF(C133,B133,"y")=1," year "," years ")&amp;DATEDIF(C133,B133,"ym")&amp;IF(DATEDIF(C133,B133,"ym")=1," month"," months"),IF(DATEDIF(C133,B133,"m")&gt;=1,DATEDIF(C133,B133,"m")&amp;IF(DATEDIF(C133,B133,"m")=1," month"," months"),DATEDIF(C133,B133,"d")&amp;IF(DATEDIF(C133,B133,"d")=1," day"," days"))))</f>
      </c>
      <c r="E133" s="100"/>
      <c r="F133" s="100"/>
      <c r="G133" s="100"/>
      <c r="H133" s="100"/>
      <c r="I133" s="100"/>
      <c r="J133" s="101"/>
      <c r="K133" s="100"/>
      <c r="L133" s="100"/>
      <c r="M133" s="102" t="str">
        <f>IFERROR(VLOOKUP(G133,Reference!$I$2:$J$175,2,FALSE()),"Operations")</f>
        <v>Operations</v>
      </c>
    </row>
    <row r="134" spans="1:13" ht="15" customHeight="1" x14ac:dyDescent="0.25">
      <c r="A134" s="103"/>
      <c r="B134" s="104"/>
      <c r="C134" s="104"/>
      <c r="D134" s="103">
        <f>IF(OR(B134="",C134=""),"",IF(DATEDIF(C134,B134,"y")&gt;=1,DATEDIF(C134,B134,"y")&amp;IF(DATEDIF(C134,B134,"y")=1," year "," years ")&amp;DATEDIF(C134,B134,"ym")&amp;IF(DATEDIF(C134,B134,"ym")=1," month"," months"),IF(DATEDIF(C134,B134,"m")&gt;=1,DATEDIF(C134,B134,"m")&amp;IF(DATEDIF(C134,B134,"m")=1," month"," months"),DATEDIF(C134,B134,"d")&amp;IF(DATEDIF(C134,B134,"d")=1," day"," days"))))</f>
      </c>
      <c r="E134" s="103"/>
      <c r="F134" s="103"/>
      <c r="G134" s="103"/>
      <c r="H134" s="103"/>
      <c r="I134" s="103"/>
      <c r="J134" s="104"/>
      <c r="K134" s="103"/>
      <c r="L134" s="103"/>
      <c r="M134" s="105" t="str">
        <f>IFERROR(VLOOKUP(G134,Reference!$I$2:$J$175,2,FALSE()),"Operations")</f>
        <v>Operations</v>
      </c>
    </row>
    <row r="135" spans="1:13" ht="15" customHeight="1" x14ac:dyDescent="0.25">
      <c r="A135" s="100"/>
      <c r="B135" s="101"/>
      <c r="C135" s="101"/>
      <c r="D135" s="100">
        <f>IF(OR(B135="",C135=""),"",IF(DATEDIF(C135,B135,"y")&gt;=1,DATEDIF(C135,B135,"y")&amp;IF(DATEDIF(C135,B135,"y")=1," year "," years ")&amp;DATEDIF(C135,B135,"ym")&amp;IF(DATEDIF(C135,B135,"ym")=1," month"," months"),IF(DATEDIF(C135,B135,"m")&gt;=1,DATEDIF(C135,B135,"m")&amp;IF(DATEDIF(C135,B135,"m")=1," month"," months"),DATEDIF(C135,B135,"d")&amp;IF(DATEDIF(C135,B135,"d")=1," day"," days"))))</f>
      </c>
      <c r="E135" s="100"/>
      <c r="F135" s="100"/>
      <c r="G135" s="100"/>
      <c r="H135" s="100"/>
      <c r="I135" s="100"/>
      <c r="J135" s="101"/>
      <c r="K135" s="100"/>
      <c r="L135" s="100"/>
      <c r="M135" s="102" t="str">
        <f>IFERROR(VLOOKUP(G135,Reference!$I$2:$J$175,2,FALSE()),"Operations")</f>
        <v>Operations</v>
      </c>
    </row>
    <row r="136" spans="1:13" ht="15" customHeight="1" x14ac:dyDescent="0.25">
      <c r="A136" s="103"/>
      <c r="B136" s="104"/>
      <c r="C136" s="104"/>
      <c r="D136" s="103">
        <f>IF(OR(B136="",C136=""),"",IF(DATEDIF(C136,B136,"y")&gt;=1,DATEDIF(C136,B136,"y")&amp;IF(DATEDIF(C136,B136,"y")=1," year "," years ")&amp;DATEDIF(C136,B136,"ym")&amp;IF(DATEDIF(C136,B136,"ym")=1," month"," months"),IF(DATEDIF(C136,B136,"m")&gt;=1,DATEDIF(C136,B136,"m")&amp;IF(DATEDIF(C136,B136,"m")=1," month"," months"),DATEDIF(C136,B136,"d")&amp;IF(DATEDIF(C136,B136,"d")=1," day"," days"))))</f>
      </c>
      <c r="E136" s="103"/>
      <c r="F136" s="103"/>
      <c r="G136" s="103"/>
      <c r="H136" s="103"/>
      <c r="I136" s="103"/>
      <c r="J136" s="104"/>
      <c r="K136" s="103"/>
      <c r="L136" s="103"/>
      <c r="M136" s="105" t="str">
        <f>IFERROR(VLOOKUP(G136,Reference!$I$2:$J$175,2,FALSE()),"Operations")</f>
        <v>Operations</v>
      </c>
    </row>
    <row r="137" spans="1:13" ht="15" customHeight="1" x14ac:dyDescent="0.25">
      <c r="A137" s="100"/>
      <c r="B137" s="101"/>
      <c r="C137" s="101"/>
      <c r="D137" s="100">
        <f>IF(OR(B137="",C137=""),"",IF(DATEDIF(C137,B137,"y")&gt;=1,DATEDIF(C137,B137,"y")&amp;IF(DATEDIF(C137,B137,"y")=1," year "," years ")&amp;DATEDIF(C137,B137,"ym")&amp;IF(DATEDIF(C137,B137,"ym")=1," month"," months"),IF(DATEDIF(C137,B137,"m")&gt;=1,DATEDIF(C137,B137,"m")&amp;IF(DATEDIF(C137,B137,"m")=1," month"," months"),DATEDIF(C137,B137,"d")&amp;IF(DATEDIF(C137,B137,"d")=1," day"," days"))))</f>
      </c>
      <c r="E137" s="100"/>
      <c r="F137" s="100"/>
      <c r="G137" s="100"/>
      <c r="H137" s="100"/>
      <c r="I137" s="100"/>
      <c r="J137" s="101"/>
      <c r="K137" s="100"/>
      <c r="L137" s="100"/>
      <c r="M137" s="102" t="str">
        <f>IFERROR(VLOOKUP(G137,Reference!$I$2:$J$175,2,FALSE()),"Operations")</f>
        <v>Operations</v>
      </c>
    </row>
    <row r="138" spans="1:13" ht="15" customHeight="1" x14ac:dyDescent="0.25">
      <c r="A138" s="103"/>
      <c r="B138" s="104"/>
      <c r="C138" s="104"/>
      <c r="D138" s="103">
        <f>IF(OR(B138="",C138=""),"",IF(DATEDIF(C138,B138,"y")&gt;=1,DATEDIF(C138,B138,"y")&amp;IF(DATEDIF(C138,B138,"y")=1," year "," years ")&amp;DATEDIF(C138,B138,"ym")&amp;IF(DATEDIF(C138,B138,"ym")=1," month"," months"),IF(DATEDIF(C138,B138,"m")&gt;=1,DATEDIF(C138,B138,"m")&amp;IF(DATEDIF(C138,B138,"m")=1," month"," months"),DATEDIF(C138,B138,"d")&amp;IF(DATEDIF(C138,B138,"d")=1," day"," days"))))</f>
      </c>
      <c r="E138" s="103"/>
      <c r="F138" s="103"/>
      <c r="G138" s="103"/>
      <c r="H138" s="103"/>
      <c r="I138" s="103"/>
      <c r="J138" s="104"/>
      <c r="K138" s="103"/>
      <c r="L138" s="103"/>
      <c r="M138" s="105" t="str">
        <f>IFERROR(VLOOKUP(G138,Reference!$I$2:$J$175,2,FALSE()),"Operations")</f>
        <v>Operations</v>
      </c>
    </row>
    <row r="139" spans="1:13" ht="15" customHeight="1" x14ac:dyDescent="0.25">
      <c r="A139" s="100"/>
      <c r="B139" s="101"/>
      <c r="C139" s="101"/>
      <c r="D139" s="100">
        <f>IF(OR(B139="",C139=""),"",IF(DATEDIF(C139,B139,"y")&gt;=1,DATEDIF(C139,B139,"y")&amp;IF(DATEDIF(C139,B139,"y")=1," year "," years ")&amp;DATEDIF(C139,B139,"ym")&amp;IF(DATEDIF(C139,B139,"ym")=1," month"," months"),IF(DATEDIF(C139,B139,"m")&gt;=1,DATEDIF(C139,B139,"m")&amp;IF(DATEDIF(C139,B139,"m")=1," month"," months"),DATEDIF(C139,B139,"d")&amp;IF(DATEDIF(C139,B139,"d")=1," day"," days"))))</f>
      </c>
      <c r="E139" s="100"/>
      <c r="F139" s="100"/>
      <c r="G139" s="100"/>
      <c r="H139" s="100"/>
      <c r="I139" s="100"/>
      <c r="J139" s="101"/>
      <c r="K139" s="100"/>
      <c r="L139" s="100"/>
      <c r="M139" s="102" t="str">
        <f>IFERROR(VLOOKUP(G139,Reference!$I$2:$J$175,2,FALSE()),"Operations")</f>
        <v>Operations</v>
      </c>
    </row>
    <row r="140" spans="1:13" ht="15" customHeight="1" x14ac:dyDescent="0.25">
      <c r="A140" s="103"/>
      <c r="B140" s="104"/>
      <c r="C140" s="104"/>
      <c r="D140" s="103">
        <f>IF(OR(B140="",C140=""),"",IF(DATEDIF(C140,B140,"y")&gt;=1,DATEDIF(C140,B140,"y")&amp;IF(DATEDIF(C140,B140,"y")=1," year "," years ")&amp;DATEDIF(C140,B140,"ym")&amp;IF(DATEDIF(C140,B140,"ym")=1," month"," months"),IF(DATEDIF(C140,B140,"m")&gt;=1,DATEDIF(C140,B140,"m")&amp;IF(DATEDIF(C140,B140,"m")=1," month"," months"),DATEDIF(C140,B140,"d")&amp;IF(DATEDIF(C140,B140,"d")=1," day"," days"))))</f>
      </c>
      <c r="E140" s="103"/>
      <c r="F140" s="103"/>
      <c r="G140" s="103"/>
      <c r="H140" s="103"/>
      <c r="I140" s="103"/>
      <c r="J140" s="104"/>
      <c r="K140" s="103"/>
      <c r="L140" s="103"/>
      <c r="M140" s="105" t="str">
        <f>IFERROR(VLOOKUP(G140,Reference!$I$2:$J$175,2,FALSE()),"Operations")</f>
        <v>Operations</v>
      </c>
    </row>
    <row r="141" spans="1:13" ht="15" customHeight="1" x14ac:dyDescent="0.25">
      <c r="A141" s="106" t="s">
        <v>163</v>
      </c>
      <c r="B141" s="107">
        <f>COUNTA(A111:A140)</f>
        <v>0</v>
      </c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</row>
    <row r="142" spans="1:13" ht="6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</row>
    <row r="143" spans="1:13" ht="21.75" customHeight="1" x14ac:dyDescent="0.25">
      <c r="A143" s="163" t="s">
        <v>167</v>
      </c>
      <c r="B143" s="163"/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</row>
    <row r="144" spans="1:13" ht="19.5" customHeight="1" x14ac:dyDescent="0.25">
      <c r="A144" s="64" t="s">
        <v>151</v>
      </c>
      <c r="B144" s="64" t="s">
        <v>152</v>
      </c>
      <c r="C144" s="64" t="s">
        <v>153</v>
      </c>
      <c r="D144" s="64" t="s">
        <v>154</v>
      </c>
      <c r="E144" s="64" t="s">
        <v>155</v>
      </c>
      <c r="F144" s="64" t="s">
        <v>156</v>
      </c>
      <c r="G144" s="64" t="s">
        <v>157</v>
      </c>
      <c r="H144" s="64" t="s">
        <v>158</v>
      </c>
      <c r="I144" s="64" t="s">
        <v>159</v>
      </c>
      <c r="J144" s="64" t="s">
        <v>160</v>
      </c>
      <c r="K144" s="64" t="s">
        <v>134</v>
      </c>
      <c r="L144" s="64" t="s">
        <v>161</v>
      </c>
      <c r="M144" s="64" t="s">
        <v>162</v>
      </c>
    </row>
    <row r="145" spans="1:13" ht="15" customHeight="1" x14ac:dyDescent="0.25">
      <c r="A145" s="100"/>
      <c r="B145" s="101"/>
      <c r="C145" s="101"/>
      <c r="D145" s="100">
        <f>IF(OR(B145="",C145=""),"",IF(DATEDIF(C145,B145,"y")&gt;=1,DATEDIF(C145,B145,"y")&amp;IF(DATEDIF(C145,B145,"y")=1," year "," years ")&amp;DATEDIF(C145,B145,"ym")&amp;IF(DATEDIF(C145,B145,"ym")=1," month"," months"),IF(DATEDIF(C145,B145,"m")&gt;=1,DATEDIF(C145,B145,"m")&amp;IF(DATEDIF(C145,B145,"m")=1," month"," months"),DATEDIF(C145,B145,"d")&amp;IF(DATEDIF(C145,B145,"d")=1," day"," days"))))</f>
      </c>
      <c r="E145" s="100"/>
      <c r="F145" s="100"/>
      <c r="G145" s="100"/>
      <c r="H145" s="100"/>
      <c r="I145" s="100"/>
      <c r="J145" s="101"/>
      <c r="K145" s="100"/>
      <c r="L145" s="100"/>
      <c r="M145" s="102" t="str">
        <f>IFERROR(VLOOKUP(G145,Reference!$I$2:$J$175,2,FALSE()),"Operations")</f>
        <v>Operations</v>
      </c>
    </row>
    <row r="146" spans="1:13" ht="15" customHeight="1" x14ac:dyDescent="0.25">
      <c r="A146" s="103"/>
      <c r="B146" s="104"/>
      <c r="C146" s="104"/>
      <c r="D146" s="103">
        <f>IF(OR(B146="",C146=""),"",IF(DATEDIF(C146,B146,"y")&gt;=1,DATEDIF(C146,B146,"y")&amp;IF(DATEDIF(C146,B146,"y")=1," year "," years ")&amp;DATEDIF(C146,B146,"ym")&amp;IF(DATEDIF(C146,B146,"ym")=1," month"," months"),IF(DATEDIF(C146,B146,"m")&gt;=1,DATEDIF(C146,B146,"m")&amp;IF(DATEDIF(C146,B146,"m")=1," month"," months"),DATEDIF(C146,B146,"d")&amp;IF(DATEDIF(C146,B146,"d")=1," day"," days"))))</f>
      </c>
      <c r="E146" s="103"/>
      <c r="F146" s="103"/>
      <c r="G146" s="103"/>
      <c r="H146" s="103"/>
      <c r="I146" s="103"/>
      <c r="J146" s="104"/>
      <c r="K146" s="103"/>
      <c r="L146" s="103"/>
      <c r="M146" s="105" t="str">
        <f>IFERROR(VLOOKUP(G146,Reference!$I$2:$J$175,2,FALSE()),"Operations")</f>
        <v>Operations</v>
      </c>
    </row>
    <row r="147" spans="1:13" ht="15" customHeight="1" x14ac:dyDescent="0.25">
      <c r="A147" s="100"/>
      <c r="B147" s="101"/>
      <c r="C147" s="101"/>
      <c r="D147" s="100">
        <f>IF(OR(B147="",C147=""),"",IF(DATEDIF(C147,B147,"y")&gt;=1,DATEDIF(C147,B147,"y")&amp;IF(DATEDIF(C147,B147,"y")=1," year "," years ")&amp;DATEDIF(C147,B147,"ym")&amp;IF(DATEDIF(C147,B147,"ym")=1," month"," months"),IF(DATEDIF(C147,B147,"m")&gt;=1,DATEDIF(C147,B147,"m")&amp;IF(DATEDIF(C147,B147,"m")=1," month"," months"),DATEDIF(C147,B147,"d")&amp;IF(DATEDIF(C147,B147,"d")=1," day"," days"))))</f>
      </c>
      <c r="E147" s="100"/>
      <c r="F147" s="100"/>
      <c r="G147" s="100"/>
      <c r="H147" s="100"/>
      <c r="I147" s="100"/>
      <c r="J147" s="101"/>
      <c r="K147" s="100"/>
      <c r="L147" s="100"/>
      <c r="M147" s="102" t="str">
        <f>IFERROR(VLOOKUP(G147,Reference!$I$2:$J$175,2,FALSE()),"Operations")</f>
        <v>Operations</v>
      </c>
    </row>
    <row r="148" spans="1:13" ht="15" customHeight="1" x14ac:dyDescent="0.25">
      <c r="A148" s="103"/>
      <c r="B148" s="104"/>
      <c r="C148" s="104"/>
      <c r="D148" s="103">
        <f>IF(OR(B148="",C148=""),"",IF(DATEDIF(C148,B148,"y")&gt;=1,DATEDIF(C148,B148,"y")&amp;IF(DATEDIF(C148,B148,"y")=1," year "," years ")&amp;DATEDIF(C148,B148,"ym")&amp;IF(DATEDIF(C148,B148,"ym")=1," month"," months"),IF(DATEDIF(C148,B148,"m")&gt;=1,DATEDIF(C148,B148,"m")&amp;IF(DATEDIF(C148,B148,"m")=1," month"," months"),DATEDIF(C148,B148,"d")&amp;IF(DATEDIF(C148,B148,"d")=1," day"," days"))))</f>
      </c>
      <c r="E148" s="103"/>
      <c r="F148" s="103"/>
      <c r="G148" s="103"/>
      <c r="H148" s="103"/>
      <c r="I148" s="103"/>
      <c r="J148" s="104"/>
      <c r="K148" s="103"/>
      <c r="L148" s="103"/>
      <c r="M148" s="105" t="str">
        <f>IFERROR(VLOOKUP(G148,Reference!$I$2:$J$175,2,FALSE()),"Operations")</f>
        <v>Operations</v>
      </c>
    </row>
    <row r="149" spans="1:13" ht="15" customHeight="1" x14ac:dyDescent="0.25">
      <c r="A149" s="100"/>
      <c r="B149" s="101"/>
      <c r="C149" s="101"/>
      <c r="D149" s="100">
        <f>IF(OR(B149="",C149=""),"",IF(DATEDIF(C149,B149,"y")&gt;=1,DATEDIF(C149,B149,"y")&amp;IF(DATEDIF(C149,B149,"y")=1," year "," years ")&amp;DATEDIF(C149,B149,"ym")&amp;IF(DATEDIF(C149,B149,"ym")=1," month"," months"),IF(DATEDIF(C149,B149,"m")&gt;=1,DATEDIF(C149,B149,"m")&amp;IF(DATEDIF(C149,B149,"m")=1," month"," months"),DATEDIF(C149,B149,"d")&amp;IF(DATEDIF(C149,B149,"d")=1," day"," days"))))</f>
      </c>
      <c r="E149" s="100"/>
      <c r="F149" s="100"/>
      <c r="G149" s="100"/>
      <c r="H149" s="100"/>
      <c r="I149" s="100"/>
      <c r="J149" s="101"/>
      <c r="K149" s="100"/>
      <c r="L149" s="100"/>
      <c r="M149" s="102" t="str">
        <f>IFERROR(VLOOKUP(G149,Reference!$I$2:$J$175,2,FALSE()),"Operations")</f>
        <v>Operations</v>
      </c>
    </row>
    <row r="150" spans="1:13" ht="15" customHeight="1" x14ac:dyDescent="0.25">
      <c r="A150" s="103"/>
      <c r="B150" s="104"/>
      <c r="C150" s="104"/>
      <c r="D150" s="103">
        <f>IF(OR(B150="",C150=""),"",IF(DATEDIF(C150,B150,"y")&gt;=1,DATEDIF(C150,B150,"y")&amp;IF(DATEDIF(C150,B150,"y")=1," year "," years ")&amp;DATEDIF(C150,B150,"ym")&amp;IF(DATEDIF(C150,B150,"ym")=1," month"," months"),IF(DATEDIF(C150,B150,"m")&gt;=1,DATEDIF(C150,B150,"m")&amp;IF(DATEDIF(C150,B150,"m")=1," month"," months"),DATEDIF(C150,B150,"d")&amp;IF(DATEDIF(C150,B150,"d")=1," day"," days"))))</f>
      </c>
      <c r="E150" s="103"/>
      <c r="F150" s="103"/>
      <c r="G150" s="103"/>
      <c r="H150" s="103"/>
      <c r="I150" s="103"/>
      <c r="J150" s="104"/>
      <c r="K150" s="103"/>
      <c r="L150" s="103"/>
      <c r="M150" s="105" t="str">
        <f>IFERROR(VLOOKUP(G150,Reference!$I$2:$J$175,2,FALSE()),"Operations")</f>
        <v>Operations</v>
      </c>
    </row>
    <row r="151" spans="1:13" ht="15" customHeight="1" x14ac:dyDescent="0.25">
      <c r="A151" s="100"/>
      <c r="B151" s="101"/>
      <c r="C151" s="101"/>
      <c r="D151" s="100">
        <f>IF(OR(B151="",C151=""),"",IF(DATEDIF(C151,B151,"y")&gt;=1,DATEDIF(C151,B151,"y")&amp;IF(DATEDIF(C151,B151,"y")=1," year "," years ")&amp;DATEDIF(C151,B151,"ym")&amp;IF(DATEDIF(C151,B151,"ym")=1," month"," months"),IF(DATEDIF(C151,B151,"m")&gt;=1,DATEDIF(C151,B151,"m")&amp;IF(DATEDIF(C151,B151,"m")=1," month"," months"),DATEDIF(C151,B151,"d")&amp;IF(DATEDIF(C151,B151,"d")=1," day"," days"))))</f>
      </c>
      <c r="E151" s="100"/>
      <c r="F151" s="100"/>
      <c r="G151" s="100"/>
      <c r="H151" s="100"/>
      <c r="I151" s="100"/>
      <c r="J151" s="101"/>
      <c r="K151" s="100"/>
      <c r="L151" s="100"/>
      <c r="M151" s="102" t="str">
        <f>IFERROR(VLOOKUP(G151,Reference!$I$2:$J$175,2,FALSE()),"Operations")</f>
        <v>Operations</v>
      </c>
    </row>
    <row r="152" spans="1:13" ht="15" customHeight="1" x14ac:dyDescent="0.25">
      <c r="A152" s="103"/>
      <c r="B152" s="104"/>
      <c r="C152" s="104"/>
      <c r="D152" s="103">
        <f>IF(OR(B152="",C152=""),"",IF(DATEDIF(C152,B152,"y")&gt;=1,DATEDIF(C152,B152,"y")&amp;IF(DATEDIF(C152,B152,"y")=1," year "," years ")&amp;DATEDIF(C152,B152,"ym")&amp;IF(DATEDIF(C152,B152,"ym")=1," month"," months"),IF(DATEDIF(C152,B152,"m")&gt;=1,DATEDIF(C152,B152,"m")&amp;IF(DATEDIF(C152,B152,"m")=1," month"," months"),DATEDIF(C152,B152,"d")&amp;IF(DATEDIF(C152,B152,"d")=1," day"," days"))))</f>
      </c>
      <c r="E152" s="103"/>
      <c r="F152" s="103"/>
      <c r="G152" s="103"/>
      <c r="H152" s="103"/>
      <c r="I152" s="103"/>
      <c r="J152" s="104"/>
      <c r="K152" s="103"/>
      <c r="L152" s="103"/>
      <c r="M152" s="105" t="str">
        <f>IFERROR(VLOOKUP(G152,Reference!$I$2:$J$175,2,FALSE()),"Operations")</f>
        <v>Operations</v>
      </c>
    </row>
    <row r="153" spans="1:13" ht="15" customHeight="1" x14ac:dyDescent="0.25">
      <c r="A153" s="100"/>
      <c r="B153" s="101"/>
      <c r="C153" s="101"/>
      <c r="D153" s="100">
        <f>IF(OR(B153="",C153=""),"",IF(DATEDIF(C153,B153,"y")&gt;=1,DATEDIF(C153,B153,"y")&amp;IF(DATEDIF(C153,B153,"y")=1," year "," years ")&amp;DATEDIF(C153,B153,"ym")&amp;IF(DATEDIF(C153,B153,"ym")=1," month"," months"),IF(DATEDIF(C153,B153,"m")&gt;=1,DATEDIF(C153,B153,"m")&amp;IF(DATEDIF(C153,B153,"m")=1," month"," months"),DATEDIF(C153,B153,"d")&amp;IF(DATEDIF(C153,B153,"d")=1," day"," days"))))</f>
      </c>
      <c r="E153" s="100"/>
      <c r="F153" s="100"/>
      <c r="G153" s="100"/>
      <c r="H153" s="100"/>
      <c r="I153" s="100"/>
      <c r="J153" s="101"/>
      <c r="K153" s="100"/>
      <c r="L153" s="100"/>
      <c r="M153" s="102" t="str">
        <f>IFERROR(VLOOKUP(G153,Reference!$I$2:$J$175,2,FALSE()),"Operations")</f>
        <v>Operations</v>
      </c>
    </row>
    <row r="154" spans="1:13" ht="15" customHeight="1" x14ac:dyDescent="0.25">
      <c r="A154" s="103"/>
      <c r="B154" s="104"/>
      <c r="C154" s="104"/>
      <c r="D154" s="103">
        <f>IF(OR(B154="",C154=""),"",IF(DATEDIF(C154,B154,"y")&gt;=1,DATEDIF(C154,B154,"y")&amp;IF(DATEDIF(C154,B154,"y")=1," year "," years ")&amp;DATEDIF(C154,B154,"ym")&amp;IF(DATEDIF(C154,B154,"ym")=1," month"," months"),IF(DATEDIF(C154,B154,"m")&gt;=1,DATEDIF(C154,B154,"m")&amp;IF(DATEDIF(C154,B154,"m")=1," month"," months"),DATEDIF(C154,B154,"d")&amp;IF(DATEDIF(C154,B154,"d")=1," day"," days"))))</f>
      </c>
      <c r="E154" s="103"/>
      <c r="F154" s="103"/>
      <c r="G154" s="103"/>
      <c r="H154" s="103"/>
      <c r="I154" s="103"/>
      <c r="J154" s="104"/>
      <c r="K154" s="103"/>
      <c r="L154" s="103"/>
      <c r="M154" s="105" t="str">
        <f>IFERROR(VLOOKUP(G154,Reference!$I$2:$J$175,2,FALSE()),"Operations")</f>
        <v>Operations</v>
      </c>
    </row>
    <row r="155" spans="1:13" ht="15" customHeight="1" x14ac:dyDescent="0.25">
      <c r="A155" s="100"/>
      <c r="B155" s="101"/>
      <c r="C155" s="101"/>
      <c r="D155" s="100">
        <f>IF(OR(B155="",C155=""),"",IF(DATEDIF(C155,B155,"y")&gt;=1,DATEDIF(C155,B155,"y")&amp;IF(DATEDIF(C155,B155,"y")=1," year "," years ")&amp;DATEDIF(C155,B155,"ym")&amp;IF(DATEDIF(C155,B155,"ym")=1," month"," months"),IF(DATEDIF(C155,B155,"m")&gt;=1,DATEDIF(C155,B155,"m")&amp;IF(DATEDIF(C155,B155,"m")=1," month"," months"),DATEDIF(C155,B155,"d")&amp;IF(DATEDIF(C155,B155,"d")=1," day"," days"))))</f>
      </c>
      <c r="E155" s="100"/>
      <c r="F155" s="100"/>
      <c r="G155" s="100"/>
      <c r="H155" s="100"/>
      <c r="I155" s="100"/>
      <c r="J155" s="101"/>
      <c r="K155" s="100"/>
      <c r="L155" s="100"/>
      <c r="M155" s="102" t="str">
        <f>IFERROR(VLOOKUP(G155,Reference!$I$2:$J$175,2,FALSE()),"Operations")</f>
        <v>Operations</v>
      </c>
    </row>
    <row r="156" spans="1:13" ht="15" customHeight="1" x14ac:dyDescent="0.25">
      <c r="A156" s="103"/>
      <c r="B156" s="104"/>
      <c r="C156" s="104"/>
      <c r="D156" s="103">
        <f>IF(OR(B156="",C156=""),"",IF(DATEDIF(C156,B156,"y")&gt;=1,DATEDIF(C156,B156,"y")&amp;IF(DATEDIF(C156,B156,"y")=1," year "," years ")&amp;DATEDIF(C156,B156,"ym")&amp;IF(DATEDIF(C156,B156,"ym")=1," month"," months"),IF(DATEDIF(C156,B156,"m")&gt;=1,DATEDIF(C156,B156,"m")&amp;IF(DATEDIF(C156,B156,"m")=1," month"," months"),DATEDIF(C156,B156,"d")&amp;IF(DATEDIF(C156,B156,"d")=1," day"," days"))))</f>
      </c>
      <c r="E156" s="103"/>
      <c r="F156" s="103"/>
      <c r="G156" s="103"/>
      <c r="H156" s="103"/>
      <c r="I156" s="103"/>
      <c r="J156" s="104"/>
      <c r="K156" s="103"/>
      <c r="L156" s="103"/>
      <c r="M156" s="105" t="str">
        <f>IFERROR(VLOOKUP(G156,Reference!$I$2:$J$175,2,FALSE()),"Operations")</f>
        <v>Operations</v>
      </c>
    </row>
    <row r="157" spans="1:13" ht="15" customHeight="1" x14ac:dyDescent="0.25">
      <c r="A157" s="100"/>
      <c r="B157" s="101"/>
      <c r="C157" s="101"/>
      <c r="D157" s="100">
        <f>IF(OR(B157="",C157=""),"",IF(DATEDIF(C157,B157,"y")&gt;=1,DATEDIF(C157,B157,"y")&amp;IF(DATEDIF(C157,B157,"y")=1," year "," years ")&amp;DATEDIF(C157,B157,"ym")&amp;IF(DATEDIF(C157,B157,"ym")=1," month"," months"),IF(DATEDIF(C157,B157,"m")&gt;=1,DATEDIF(C157,B157,"m")&amp;IF(DATEDIF(C157,B157,"m")=1," month"," months"),DATEDIF(C157,B157,"d")&amp;IF(DATEDIF(C157,B157,"d")=1," day"," days"))))</f>
      </c>
      <c r="E157" s="100"/>
      <c r="F157" s="100"/>
      <c r="G157" s="100"/>
      <c r="H157" s="100"/>
      <c r="I157" s="100"/>
      <c r="J157" s="101"/>
      <c r="K157" s="100"/>
      <c r="L157" s="100"/>
      <c r="M157" s="102" t="str">
        <f>IFERROR(VLOOKUP(G157,Reference!$I$2:$J$175,2,FALSE()),"Operations")</f>
        <v>Operations</v>
      </c>
    </row>
    <row r="158" spans="1:13" ht="15" customHeight="1" x14ac:dyDescent="0.25">
      <c r="A158" s="103"/>
      <c r="B158" s="104"/>
      <c r="C158" s="104"/>
      <c r="D158" s="103">
        <f>IF(OR(B158="",C158=""),"",IF(DATEDIF(C158,B158,"y")&gt;=1,DATEDIF(C158,B158,"y")&amp;IF(DATEDIF(C158,B158,"y")=1," year "," years ")&amp;DATEDIF(C158,B158,"ym")&amp;IF(DATEDIF(C158,B158,"ym")=1," month"," months"),IF(DATEDIF(C158,B158,"m")&gt;=1,DATEDIF(C158,B158,"m")&amp;IF(DATEDIF(C158,B158,"m")=1," month"," months"),DATEDIF(C158,B158,"d")&amp;IF(DATEDIF(C158,B158,"d")=1," day"," days"))))</f>
      </c>
      <c r="E158" s="103"/>
      <c r="F158" s="103"/>
      <c r="G158" s="103"/>
      <c r="H158" s="103"/>
      <c r="I158" s="103"/>
      <c r="J158" s="104"/>
      <c r="K158" s="103"/>
      <c r="L158" s="103"/>
      <c r="M158" s="105" t="str">
        <f>IFERROR(VLOOKUP(G158,Reference!$I$2:$J$175,2,FALSE()),"Operations")</f>
        <v>Operations</v>
      </c>
    </row>
    <row r="159" spans="1:13" ht="15" customHeight="1" x14ac:dyDescent="0.25">
      <c r="A159" s="100"/>
      <c r="B159" s="101"/>
      <c r="C159" s="101"/>
      <c r="D159" s="100">
        <f>IF(OR(B159="",C159=""),"",IF(DATEDIF(C159,B159,"y")&gt;=1,DATEDIF(C159,B159,"y")&amp;IF(DATEDIF(C159,B159,"y")=1," year "," years ")&amp;DATEDIF(C159,B159,"ym")&amp;IF(DATEDIF(C159,B159,"ym")=1," month"," months"),IF(DATEDIF(C159,B159,"m")&gt;=1,DATEDIF(C159,B159,"m")&amp;IF(DATEDIF(C159,B159,"m")=1," month"," months"),DATEDIF(C159,B159,"d")&amp;IF(DATEDIF(C159,B159,"d")=1," day"," days"))))</f>
      </c>
      <c r="E159" s="100"/>
      <c r="F159" s="100"/>
      <c r="G159" s="100"/>
      <c r="H159" s="100"/>
      <c r="I159" s="100"/>
      <c r="J159" s="101"/>
      <c r="K159" s="100"/>
      <c r="L159" s="100"/>
      <c r="M159" s="102" t="str">
        <f>IFERROR(VLOOKUP(G159,Reference!$I$2:$J$175,2,FALSE()),"Operations")</f>
        <v>Operations</v>
      </c>
    </row>
    <row r="160" spans="1:13" ht="15" customHeight="1" x14ac:dyDescent="0.25">
      <c r="A160" s="103"/>
      <c r="B160" s="104"/>
      <c r="C160" s="104"/>
      <c r="D160" s="103">
        <f>IF(OR(B160="",C160=""),"",IF(DATEDIF(C160,B160,"y")&gt;=1,DATEDIF(C160,B160,"y")&amp;IF(DATEDIF(C160,B160,"y")=1," year "," years ")&amp;DATEDIF(C160,B160,"ym")&amp;IF(DATEDIF(C160,B160,"ym")=1," month"," months"),IF(DATEDIF(C160,B160,"m")&gt;=1,DATEDIF(C160,B160,"m")&amp;IF(DATEDIF(C160,B160,"m")=1," month"," months"),DATEDIF(C160,B160,"d")&amp;IF(DATEDIF(C160,B160,"d")=1," day"," days"))))</f>
      </c>
      <c r="E160" s="103"/>
      <c r="F160" s="103"/>
      <c r="G160" s="103"/>
      <c r="H160" s="103"/>
      <c r="I160" s="103"/>
      <c r="J160" s="104"/>
      <c r="K160" s="103"/>
      <c r="L160" s="103"/>
      <c r="M160" s="105" t="str">
        <f>IFERROR(VLOOKUP(G160,Reference!$I$2:$J$175,2,FALSE()),"Operations")</f>
        <v>Operations</v>
      </c>
    </row>
    <row r="161" spans="1:13" ht="15" customHeight="1" x14ac:dyDescent="0.25">
      <c r="A161" s="100"/>
      <c r="B161" s="101"/>
      <c r="C161" s="101"/>
      <c r="D161" s="100">
        <f>IF(OR(B161="",C161=""),"",IF(DATEDIF(C161,B161,"y")&gt;=1,DATEDIF(C161,B161,"y")&amp;IF(DATEDIF(C161,B161,"y")=1," year "," years ")&amp;DATEDIF(C161,B161,"ym")&amp;IF(DATEDIF(C161,B161,"ym")=1," month"," months"),IF(DATEDIF(C161,B161,"m")&gt;=1,DATEDIF(C161,B161,"m")&amp;IF(DATEDIF(C161,B161,"m")=1," month"," months"),DATEDIF(C161,B161,"d")&amp;IF(DATEDIF(C161,B161,"d")=1," day"," days"))))</f>
      </c>
      <c r="E161" s="100"/>
      <c r="F161" s="100"/>
      <c r="G161" s="100"/>
      <c r="H161" s="100"/>
      <c r="I161" s="100"/>
      <c r="J161" s="101"/>
      <c r="K161" s="100"/>
      <c r="L161" s="100"/>
      <c r="M161" s="102" t="str">
        <f>IFERROR(VLOOKUP(G161,Reference!$I$2:$J$175,2,FALSE()),"Operations")</f>
        <v>Operations</v>
      </c>
    </row>
    <row r="162" spans="1:13" ht="15" customHeight="1" x14ac:dyDescent="0.25">
      <c r="A162" s="103"/>
      <c r="B162" s="104"/>
      <c r="C162" s="104"/>
      <c r="D162" s="103">
        <f>IF(OR(B162="",C162=""),"",IF(DATEDIF(C162,B162,"y")&gt;=1,DATEDIF(C162,B162,"y")&amp;IF(DATEDIF(C162,B162,"y")=1," year "," years ")&amp;DATEDIF(C162,B162,"ym")&amp;IF(DATEDIF(C162,B162,"ym")=1," month"," months"),IF(DATEDIF(C162,B162,"m")&gt;=1,DATEDIF(C162,B162,"m")&amp;IF(DATEDIF(C162,B162,"m")=1," month"," months"),DATEDIF(C162,B162,"d")&amp;IF(DATEDIF(C162,B162,"d")=1," day"," days"))))</f>
      </c>
      <c r="E162" s="103"/>
      <c r="F162" s="103"/>
      <c r="G162" s="103"/>
      <c r="H162" s="103"/>
      <c r="I162" s="103"/>
      <c r="J162" s="104"/>
      <c r="K162" s="103"/>
      <c r="L162" s="103"/>
      <c r="M162" s="105" t="str">
        <f>IFERROR(VLOOKUP(G162,Reference!$I$2:$J$175,2,FALSE()),"Operations")</f>
        <v>Operations</v>
      </c>
    </row>
    <row r="163" spans="1:13" ht="15" customHeight="1" x14ac:dyDescent="0.25">
      <c r="A163" s="100"/>
      <c r="B163" s="101"/>
      <c r="C163" s="101"/>
      <c r="D163" s="100">
        <f>IF(OR(B163="",C163=""),"",IF(DATEDIF(C163,B163,"y")&gt;=1,DATEDIF(C163,B163,"y")&amp;IF(DATEDIF(C163,B163,"y")=1," year "," years ")&amp;DATEDIF(C163,B163,"ym")&amp;IF(DATEDIF(C163,B163,"ym")=1," month"," months"),IF(DATEDIF(C163,B163,"m")&gt;=1,DATEDIF(C163,B163,"m")&amp;IF(DATEDIF(C163,B163,"m")=1," month"," months"),DATEDIF(C163,B163,"d")&amp;IF(DATEDIF(C163,B163,"d")=1," day"," days"))))</f>
      </c>
      <c r="E163" s="100"/>
      <c r="F163" s="100"/>
      <c r="G163" s="100"/>
      <c r="H163" s="100"/>
      <c r="I163" s="100"/>
      <c r="J163" s="101"/>
      <c r="K163" s="100"/>
      <c r="L163" s="100"/>
      <c r="M163" s="102" t="str">
        <f>IFERROR(VLOOKUP(G163,Reference!$I$2:$J$175,2,FALSE()),"Operations")</f>
        <v>Operations</v>
      </c>
    </row>
    <row r="164" spans="1:13" ht="15" customHeight="1" x14ac:dyDescent="0.25">
      <c r="A164" s="103"/>
      <c r="B164" s="104"/>
      <c r="C164" s="104"/>
      <c r="D164" s="103">
        <f>IF(OR(B164="",C164=""),"",IF(DATEDIF(C164,B164,"y")&gt;=1,DATEDIF(C164,B164,"y")&amp;IF(DATEDIF(C164,B164,"y")=1," year "," years ")&amp;DATEDIF(C164,B164,"ym")&amp;IF(DATEDIF(C164,B164,"ym")=1," month"," months"),IF(DATEDIF(C164,B164,"m")&gt;=1,DATEDIF(C164,B164,"m")&amp;IF(DATEDIF(C164,B164,"m")=1," month"," months"),DATEDIF(C164,B164,"d")&amp;IF(DATEDIF(C164,B164,"d")=1," day"," days"))))</f>
      </c>
      <c r="E164" s="103"/>
      <c r="F164" s="103"/>
      <c r="G164" s="103"/>
      <c r="H164" s="103"/>
      <c r="I164" s="103"/>
      <c r="J164" s="104"/>
      <c r="K164" s="103"/>
      <c r="L164" s="103"/>
      <c r="M164" s="105" t="str">
        <f>IFERROR(VLOOKUP(G164,Reference!$I$2:$J$175,2,FALSE()),"Operations")</f>
        <v>Operations</v>
      </c>
    </row>
    <row r="165" spans="1:13" ht="15" customHeight="1" x14ac:dyDescent="0.25">
      <c r="A165" s="100"/>
      <c r="B165" s="101"/>
      <c r="C165" s="101"/>
      <c r="D165" s="100">
        <f>IF(OR(B165="",C165=""),"",IF(DATEDIF(C165,B165,"y")&gt;=1,DATEDIF(C165,B165,"y")&amp;IF(DATEDIF(C165,B165,"y")=1," year "," years ")&amp;DATEDIF(C165,B165,"ym")&amp;IF(DATEDIF(C165,B165,"ym")=1," month"," months"),IF(DATEDIF(C165,B165,"m")&gt;=1,DATEDIF(C165,B165,"m")&amp;IF(DATEDIF(C165,B165,"m")=1," month"," months"),DATEDIF(C165,B165,"d")&amp;IF(DATEDIF(C165,B165,"d")=1," day"," days"))))</f>
      </c>
      <c r="E165" s="100"/>
      <c r="F165" s="100"/>
      <c r="G165" s="100"/>
      <c r="H165" s="100"/>
      <c r="I165" s="100"/>
      <c r="J165" s="101"/>
      <c r="K165" s="100"/>
      <c r="L165" s="100"/>
      <c r="M165" s="102" t="str">
        <f>IFERROR(VLOOKUP(G165,Reference!$I$2:$J$175,2,FALSE()),"Operations")</f>
        <v>Operations</v>
      </c>
    </row>
    <row r="166" spans="1:13" ht="15" customHeight="1" x14ac:dyDescent="0.25">
      <c r="A166" s="103"/>
      <c r="B166" s="104"/>
      <c r="C166" s="104"/>
      <c r="D166" s="103">
        <f>IF(OR(B166="",C166=""),"",IF(DATEDIF(C166,B166,"y")&gt;=1,DATEDIF(C166,B166,"y")&amp;IF(DATEDIF(C166,B166,"y")=1," year "," years ")&amp;DATEDIF(C166,B166,"ym")&amp;IF(DATEDIF(C166,B166,"ym")=1," month"," months"),IF(DATEDIF(C166,B166,"m")&gt;=1,DATEDIF(C166,B166,"m")&amp;IF(DATEDIF(C166,B166,"m")=1," month"," months"),DATEDIF(C166,B166,"d")&amp;IF(DATEDIF(C166,B166,"d")=1," day"," days"))))</f>
      </c>
      <c r="E166" s="103"/>
      <c r="F166" s="103"/>
      <c r="G166" s="103"/>
      <c r="H166" s="103"/>
      <c r="I166" s="103"/>
      <c r="J166" s="104"/>
      <c r="K166" s="103"/>
      <c r="L166" s="103"/>
      <c r="M166" s="105" t="str">
        <f>IFERROR(VLOOKUP(G166,Reference!$I$2:$J$175,2,FALSE()),"Operations")</f>
        <v>Operations</v>
      </c>
    </row>
    <row r="167" spans="1:13" ht="15" customHeight="1" x14ac:dyDescent="0.25">
      <c r="A167" s="100"/>
      <c r="B167" s="101"/>
      <c r="C167" s="101"/>
      <c r="D167" s="100">
        <f>IF(OR(B167="",C167=""),"",IF(DATEDIF(C167,B167,"y")&gt;=1,DATEDIF(C167,B167,"y")&amp;IF(DATEDIF(C167,B167,"y")=1," year "," years ")&amp;DATEDIF(C167,B167,"ym")&amp;IF(DATEDIF(C167,B167,"ym")=1," month"," months"),IF(DATEDIF(C167,B167,"m")&gt;=1,DATEDIF(C167,B167,"m")&amp;IF(DATEDIF(C167,B167,"m")=1," month"," months"),DATEDIF(C167,B167,"d")&amp;IF(DATEDIF(C167,B167,"d")=1," day"," days"))))</f>
      </c>
      <c r="E167" s="100"/>
      <c r="F167" s="100"/>
      <c r="G167" s="100"/>
      <c r="H167" s="100"/>
      <c r="I167" s="100"/>
      <c r="J167" s="101"/>
      <c r="K167" s="100"/>
      <c r="L167" s="100"/>
      <c r="M167" s="102" t="str">
        <f>IFERROR(VLOOKUP(G167,Reference!$I$2:$J$175,2,FALSE()),"Operations")</f>
        <v>Operations</v>
      </c>
    </row>
    <row r="168" spans="1:13" ht="15" customHeight="1" x14ac:dyDescent="0.25">
      <c r="A168" s="103"/>
      <c r="B168" s="104"/>
      <c r="C168" s="104"/>
      <c r="D168" s="103">
        <f>IF(OR(B168="",C168=""),"",IF(DATEDIF(C168,B168,"y")&gt;=1,DATEDIF(C168,B168,"y")&amp;IF(DATEDIF(C168,B168,"y")=1," year "," years ")&amp;DATEDIF(C168,B168,"ym")&amp;IF(DATEDIF(C168,B168,"ym")=1," month"," months"),IF(DATEDIF(C168,B168,"m")&gt;=1,DATEDIF(C168,B168,"m")&amp;IF(DATEDIF(C168,B168,"m")=1," month"," months"),DATEDIF(C168,B168,"d")&amp;IF(DATEDIF(C168,B168,"d")=1," day"," days"))))</f>
      </c>
      <c r="E168" s="103"/>
      <c r="F168" s="103"/>
      <c r="G168" s="103"/>
      <c r="H168" s="103"/>
      <c r="I168" s="103"/>
      <c r="J168" s="104"/>
      <c r="K168" s="103"/>
      <c r="L168" s="103"/>
      <c r="M168" s="105" t="str">
        <f>IFERROR(VLOOKUP(G168,Reference!$I$2:$J$175,2,FALSE()),"Operations")</f>
        <v>Operations</v>
      </c>
    </row>
    <row r="169" spans="1:13" ht="15" customHeight="1" x14ac:dyDescent="0.25">
      <c r="A169" s="100"/>
      <c r="B169" s="101"/>
      <c r="C169" s="101"/>
      <c r="D169" s="100">
        <f>IF(OR(B169="",C169=""),"",IF(DATEDIF(C169,B169,"y")&gt;=1,DATEDIF(C169,B169,"y")&amp;IF(DATEDIF(C169,B169,"y")=1," year "," years ")&amp;DATEDIF(C169,B169,"ym")&amp;IF(DATEDIF(C169,B169,"ym")=1," month"," months"),IF(DATEDIF(C169,B169,"m")&gt;=1,DATEDIF(C169,B169,"m")&amp;IF(DATEDIF(C169,B169,"m")=1," month"," months"),DATEDIF(C169,B169,"d")&amp;IF(DATEDIF(C169,B169,"d")=1," day"," days"))))</f>
      </c>
      <c r="E169" s="100"/>
      <c r="F169" s="100"/>
      <c r="G169" s="100"/>
      <c r="H169" s="100"/>
      <c r="I169" s="100"/>
      <c r="J169" s="101"/>
      <c r="K169" s="100"/>
      <c r="L169" s="100"/>
      <c r="M169" s="102" t="str">
        <f>IFERROR(VLOOKUP(G169,Reference!$I$2:$J$175,2,FALSE()),"Operations")</f>
        <v>Operations</v>
      </c>
    </row>
    <row r="170" spans="1:13" ht="15" customHeight="1" x14ac:dyDescent="0.25">
      <c r="A170" s="103"/>
      <c r="B170" s="104"/>
      <c r="C170" s="104"/>
      <c r="D170" s="103">
        <f>IF(OR(B170="",C170=""),"",IF(DATEDIF(C170,B170,"y")&gt;=1,DATEDIF(C170,B170,"y")&amp;IF(DATEDIF(C170,B170,"y")=1," year "," years ")&amp;DATEDIF(C170,B170,"ym")&amp;IF(DATEDIF(C170,B170,"ym")=1," month"," months"),IF(DATEDIF(C170,B170,"m")&gt;=1,DATEDIF(C170,B170,"m")&amp;IF(DATEDIF(C170,B170,"m")=1," month"," months"),DATEDIF(C170,B170,"d")&amp;IF(DATEDIF(C170,B170,"d")=1," day"," days"))))</f>
      </c>
      <c r="E170" s="103"/>
      <c r="F170" s="103"/>
      <c r="G170" s="103"/>
      <c r="H170" s="103"/>
      <c r="I170" s="103"/>
      <c r="J170" s="104"/>
      <c r="K170" s="103"/>
      <c r="L170" s="103"/>
      <c r="M170" s="105" t="str">
        <f>IFERROR(VLOOKUP(G170,Reference!$I$2:$J$175,2,FALSE()),"Operations")</f>
        <v>Operations</v>
      </c>
    </row>
    <row r="171" spans="1:13" ht="15" customHeight="1" x14ac:dyDescent="0.25">
      <c r="A171" s="100"/>
      <c r="B171" s="101"/>
      <c r="C171" s="101"/>
      <c r="D171" s="100">
        <f>IF(OR(B171="",C171=""),"",IF(DATEDIF(C171,B171,"y")&gt;=1,DATEDIF(C171,B171,"y")&amp;IF(DATEDIF(C171,B171,"y")=1," year "," years ")&amp;DATEDIF(C171,B171,"ym")&amp;IF(DATEDIF(C171,B171,"ym")=1," month"," months"),IF(DATEDIF(C171,B171,"m")&gt;=1,DATEDIF(C171,B171,"m")&amp;IF(DATEDIF(C171,B171,"m")=1," month"," months"),DATEDIF(C171,B171,"d")&amp;IF(DATEDIF(C171,B171,"d")=1," day"," days"))))</f>
      </c>
      <c r="E171" s="100"/>
      <c r="F171" s="100"/>
      <c r="G171" s="100"/>
      <c r="H171" s="100"/>
      <c r="I171" s="100"/>
      <c r="J171" s="101"/>
      <c r="K171" s="100"/>
      <c r="L171" s="100"/>
      <c r="M171" s="102" t="str">
        <f>IFERROR(VLOOKUP(G171,Reference!$I$2:$J$175,2,FALSE()),"Operations")</f>
        <v>Operations</v>
      </c>
    </row>
    <row r="172" spans="1:13" ht="15" customHeight="1" x14ac:dyDescent="0.25">
      <c r="A172" s="103"/>
      <c r="B172" s="104"/>
      <c r="C172" s="104"/>
      <c r="D172" s="103">
        <f>IF(OR(B172="",C172=""),"",IF(DATEDIF(C172,B172,"y")&gt;=1,DATEDIF(C172,B172,"y")&amp;IF(DATEDIF(C172,B172,"y")=1," year "," years ")&amp;DATEDIF(C172,B172,"ym")&amp;IF(DATEDIF(C172,B172,"ym")=1," month"," months"),IF(DATEDIF(C172,B172,"m")&gt;=1,DATEDIF(C172,B172,"m")&amp;IF(DATEDIF(C172,B172,"m")=1," month"," months"),DATEDIF(C172,B172,"d")&amp;IF(DATEDIF(C172,B172,"d")=1," day"," days"))))</f>
      </c>
      <c r="E172" s="103"/>
      <c r="F172" s="103"/>
      <c r="G172" s="103"/>
      <c r="H172" s="103"/>
      <c r="I172" s="103"/>
      <c r="J172" s="104"/>
      <c r="K172" s="103"/>
      <c r="L172" s="103"/>
      <c r="M172" s="105" t="str">
        <f>IFERROR(VLOOKUP(G172,Reference!$I$2:$J$175,2,FALSE()),"Operations")</f>
        <v>Operations</v>
      </c>
    </row>
    <row r="173" spans="1:13" ht="15" customHeight="1" x14ac:dyDescent="0.25">
      <c r="A173" s="100"/>
      <c r="B173" s="101"/>
      <c r="C173" s="101"/>
      <c r="D173" s="100">
        <f>IF(OR(B173="",C173=""),"",IF(DATEDIF(C173,B173,"y")&gt;=1,DATEDIF(C173,B173,"y")&amp;IF(DATEDIF(C173,B173,"y")=1," year "," years ")&amp;DATEDIF(C173,B173,"ym")&amp;IF(DATEDIF(C173,B173,"ym")=1," month"," months"),IF(DATEDIF(C173,B173,"m")&gt;=1,DATEDIF(C173,B173,"m")&amp;IF(DATEDIF(C173,B173,"m")=1," month"," months"),DATEDIF(C173,B173,"d")&amp;IF(DATEDIF(C173,B173,"d")=1," day"," days"))))</f>
      </c>
      <c r="E173" s="100"/>
      <c r="F173" s="100"/>
      <c r="G173" s="100"/>
      <c r="H173" s="100"/>
      <c r="I173" s="100"/>
      <c r="J173" s="101"/>
      <c r="K173" s="100"/>
      <c r="L173" s="100"/>
      <c r="M173" s="102" t="str">
        <f>IFERROR(VLOOKUP(G173,Reference!$I$2:$J$175,2,FALSE()),"Operations")</f>
        <v>Operations</v>
      </c>
    </row>
    <row r="174" spans="1:13" ht="15" customHeight="1" x14ac:dyDescent="0.25">
      <c r="A174" s="103"/>
      <c r="B174" s="104"/>
      <c r="C174" s="104"/>
      <c r="D174" s="103">
        <f>IF(OR(B174="",C174=""),"",IF(DATEDIF(C174,B174,"y")&gt;=1,DATEDIF(C174,B174,"y")&amp;IF(DATEDIF(C174,B174,"y")=1," year "," years ")&amp;DATEDIF(C174,B174,"ym")&amp;IF(DATEDIF(C174,B174,"ym")=1," month"," months"),IF(DATEDIF(C174,B174,"m")&gt;=1,DATEDIF(C174,B174,"m")&amp;IF(DATEDIF(C174,B174,"m")=1," month"," months"),DATEDIF(C174,B174,"d")&amp;IF(DATEDIF(C174,B174,"d")=1," day"," days"))))</f>
      </c>
      <c r="E174" s="103"/>
      <c r="F174" s="103"/>
      <c r="G174" s="103"/>
      <c r="H174" s="103"/>
      <c r="I174" s="103"/>
      <c r="J174" s="104"/>
      <c r="K174" s="103"/>
      <c r="L174" s="103"/>
      <c r="M174" s="105" t="str">
        <f>IFERROR(VLOOKUP(G174,Reference!$I$2:$J$175,2,FALSE()),"Operations")</f>
        <v>Operations</v>
      </c>
    </row>
    <row r="175" spans="1:13" ht="15" customHeight="1" x14ac:dyDescent="0.25">
      <c r="A175" s="106" t="s">
        <v>163</v>
      </c>
      <c r="B175" s="107">
        <f>COUNTA(A145:A174)</f>
        <v>0</v>
      </c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</row>
    <row r="176" spans="1:13" ht="6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</row>
    <row r="177" spans="1:13" ht="21.75" customHeight="1" x14ac:dyDescent="0.25">
      <c r="A177" s="163" t="s">
        <v>168</v>
      </c>
      <c r="B177" s="163"/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</row>
    <row r="178" spans="1:13" ht="19.5" customHeight="1" x14ac:dyDescent="0.25">
      <c r="A178" s="64" t="s">
        <v>151</v>
      </c>
      <c r="B178" s="64" t="s">
        <v>152</v>
      </c>
      <c r="C178" s="64" t="s">
        <v>153</v>
      </c>
      <c r="D178" s="64" t="s">
        <v>154</v>
      </c>
      <c r="E178" s="64" t="s">
        <v>155</v>
      </c>
      <c r="F178" s="64" t="s">
        <v>156</v>
      </c>
      <c r="G178" s="64" t="s">
        <v>157</v>
      </c>
      <c r="H178" s="64" t="s">
        <v>158</v>
      </c>
      <c r="I178" s="64" t="s">
        <v>159</v>
      </c>
      <c r="J178" s="64" t="s">
        <v>160</v>
      </c>
      <c r="K178" s="64" t="s">
        <v>134</v>
      </c>
      <c r="L178" s="64" t="s">
        <v>161</v>
      </c>
      <c r="M178" s="64" t="s">
        <v>162</v>
      </c>
    </row>
    <row r="179" spans="1:13" ht="15" customHeight="1" x14ac:dyDescent="0.25">
      <c r="A179" s="100"/>
      <c r="B179" s="101"/>
      <c r="C179" s="101"/>
      <c r="D179" s="100">
        <f>IF(OR(B179="",C179=""),"",IF(DATEDIF(C179,B179,"y")&gt;=1,DATEDIF(C179,B179,"y")&amp;IF(DATEDIF(C179,B179,"y")=1," year "," years ")&amp;DATEDIF(C179,B179,"ym")&amp;IF(DATEDIF(C179,B179,"ym")=1," month"," months"),IF(DATEDIF(C179,B179,"m")&gt;=1,DATEDIF(C179,B179,"m")&amp;IF(DATEDIF(C179,B179,"m")=1," month"," months"),DATEDIF(C179,B179,"d")&amp;IF(DATEDIF(C179,B179,"d")=1," day"," days"))))</f>
      </c>
      <c r="E179" s="100"/>
      <c r="F179" s="100"/>
      <c r="G179" s="100"/>
      <c r="H179" s="100"/>
      <c r="I179" s="100"/>
      <c r="J179" s="101"/>
      <c r="K179" s="100"/>
      <c r="L179" s="100"/>
      <c r="M179" s="102" t="str">
        <f>IFERROR(VLOOKUP(G179,Reference!$I$2:$J$175,2,FALSE()),"Operations")</f>
        <v>Operations</v>
      </c>
    </row>
    <row r="180" spans="1:13" ht="15" customHeight="1" x14ac:dyDescent="0.25">
      <c r="A180" s="103"/>
      <c r="B180" s="104"/>
      <c r="C180" s="104"/>
      <c r="D180" s="103">
        <f>IF(OR(B180="",C180=""),"",IF(DATEDIF(C180,B180,"y")&gt;=1,DATEDIF(C180,B180,"y")&amp;IF(DATEDIF(C180,B180,"y")=1," year "," years ")&amp;DATEDIF(C180,B180,"ym")&amp;IF(DATEDIF(C180,B180,"ym")=1," month"," months"),IF(DATEDIF(C180,B180,"m")&gt;=1,DATEDIF(C180,B180,"m")&amp;IF(DATEDIF(C180,B180,"m")=1," month"," months"),DATEDIF(C180,B180,"d")&amp;IF(DATEDIF(C180,B180,"d")=1," day"," days"))))</f>
      </c>
      <c r="E180" s="103"/>
      <c r="F180" s="103"/>
      <c r="G180" s="103"/>
      <c r="H180" s="103"/>
      <c r="I180" s="103"/>
      <c r="J180" s="104"/>
      <c r="K180" s="103"/>
      <c r="L180" s="103"/>
      <c r="M180" s="105" t="str">
        <f>IFERROR(VLOOKUP(G180,Reference!$I$2:$J$175,2,FALSE()),"Operations")</f>
        <v>Operations</v>
      </c>
    </row>
    <row r="181" spans="1:13" ht="15" customHeight="1" x14ac:dyDescent="0.25">
      <c r="A181" s="100"/>
      <c r="B181" s="101"/>
      <c r="C181" s="101"/>
      <c r="D181" s="100">
        <f>IF(OR(B181="",C181=""),"",IF(DATEDIF(C181,B181,"y")&gt;=1,DATEDIF(C181,B181,"y")&amp;IF(DATEDIF(C181,B181,"y")=1," year "," years ")&amp;DATEDIF(C181,B181,"ym")&amp;IF(DATEDIF(C181,B181,"ym")=1," month"," months"),IF(DATEDIF(C181,B181,"m")&gt;=1,DATEDIF(C181,B181,"m")&amp;IF(DATEDIF(C181,B181,"m")=1," month"," months"),DATEDIF(C181,B181,"d")&amp;IF(DATEDIF(C181,B181,"d")=1," day"," days"))))</f>
      </c>
      <c r="E181" s="100"/>
      <c r="F181" s="100"/>
      <c r="G181" s="100"/>
      <c r="H181" s="100"/>
      <c r="I181" s="100"/>
      <c r="J181" s="101"/>
      <c r="K181" s="100"/>
      <c r="L181" s="100"/>
      <c r="M181" s="102" t="str">
        <f>IFERROR(VLOOKUP(G181,Reference!$I$2:$J$175,2,FALSE()),"Operations")</f>
        <v>Operations</v>
      </c>
    </row>
    <row r="182" spans="1:13" ht="15" customHeight="1" x14ac:dyDescent="0.25">
      <c r="A182" s="103"/>
      <c r="B182" s="104"/>
      <c r="C182" s="104"/>
      <c r="D182" s="103">
        <f>IF(OR(B182="",C182=""),"",IF(DATEDIF(C182,B182,"y")&gt;=1,DATEDIF(C182,B182,"y")&amp;IF(DATEDIF(C182,B182,"y")=1," year "," years ")&amp;DATEDIF(C182,B182,"ym")&amp;IF(DATEDIF(C182,B182,"ym")=1," month"," months"),IF(DATEDIF(C182,B182,"m")&gt;=1,DATEDIF(C182,B182,"m")&amp;IF(DATEDIF(C182,B182,"m")=1," month"," months"),DATEDIF(C182,B182,"d")&amp;IF(DATEDIF(C182,B182,"d")=1," day"," days"))))</f>
      </c>
      <c r="E182" s="103"/>
      <c r="F182" s="103"/>
      <c r="G182" s="103"/>
      <c r="H182" s="103"/>
      <c r="I182" s="103"/>
      <c r="J182" s="104"/>
      <c r="K182" s="103"/>
      <c r="L182" s="103"/>
      <c r="M182" s="105" t="str">
        <f>IFERROR(VLOOKUP(G182,Reference!$I$2:$J$175,2,FALSE()),"Operations")</f>
        <v>Operations</v>
      </c>
    </row>
    <row r="183" spans="1:13" ht="15" customHeight="1" x14ac:dyDescent="0.25">
      <c r="A183" s="100"/>
      <c r="B183" s="101"/>
      <c r="C183" s="101"/>
      <c r="D183" s="100">
        <f>IF(OR(B183="",C183=""),"",IF(DATEDIF(C183,B183,"y")&gt;=1,DATEDIF(C183,B183,"y")&amp;IF(DATEDIF(C183,B183,"y")=1," year "," years ")&amp;DATEDIF(C183,B183,"ym")&amp;IF(DATEDIF(C183,B183,"ym")=1," month"," months"),IF(DATEDIF(C183,B183,"m")&gt;=1,DATEDIF(C183,B183,"m")&amp;IF(DATEDIF(C183,B183,"m")=1," month"," months"),DATEDIF(C183,B183,"d")&amp;IF(DATEDIF(C183,B183,"d")=1," day"," days"))))</f>
      </c>
      <c r="E183" s="100"/>
      <c r="F183" s="100"/>
      <c r="G183" s="100"/>
      <c r="H183" s="100"/>
      <c r="I183" s="100"/>
      <c r="J183" s="101"/>
      <c r="K183" s="100"/>
      <c r="L183" s="100"/>
      <c r="M183" s="102" t="str">
        <f>IFERROR(VLOOKUP(G183,Reference!$I$2:$J$175,2,FALSE()),"Operations")</f>
        <v>Operations</v>
      </c>
    </row>
    <row r="184" spans="1:13" ht="15" customHeight="1" x14ac:dyDescent="0.25">
      <c r="A184" s="103"/>
      <c r="B184" s="104"/>
      <c r="C184" s="104"/>
      <c r="D184" s="103">
        <f>IF(OR(B184="",C184=""),"",IF(DATEDIF(C184,B184,"y")&gt;=1,DATEDIF(C184,B184,"y")&amp;IF(DATEDIF(C184,B184,"y")=1," year "," years ")&amp;DATEDIF(C184,B184,"ym")&amp;IF(DATEDIF(C184,B184,"ym")=1," month"," months"),IF(DATEDIF(C184,B184,"m")&gt;=1,DATEDIF(C184,B184,"m")&amp;IF(DATEDIF(C184,B184,"m")=1," month"," months"),DATEDIF(C184,B184,"d")&amp;IF(DATEDIF(C184,B184,"d")=1," day"," days"))))</f>
      </c>
      <c r="E184" s="103"/>
      <c r="F184" s="103"/>
      <c r="G184" s="103"/>
      <c r="H184" s="103"/>
      <c r="I184" s="103"/>
      <c r="J184" s="104"/>
      <c r="K184" s="103"/>
      <c r="L184" s="103"/>
      <c r="M184" s="105" t="str">
        <f>IFERROR(VLOOKUP(G184,Reference!$I$2:$J$175,2,FALSE()),"Operations")</f>
        <v>Operations</v>
      </c>
    </row>
    <row r="185" spans="1:13" ht="15" customHeight="1" x14ac:dyDescent="0.25">
      <c r="A185" s="100"/>
      <c r="B185" s="101"/>
      <c r="C185" s="101"/>
      <c r="D185" s="100">
        <f>IF(OR(B185="",C185=""),"",IF(DATEDIF(C185,B185,"y")&gt;=1,DATEDIF(C185,B185,"y")&amp;IF(DATEDIF(C185,B185,"y")=1," year "," years ")&amp;DATEDIF(C185,B185,"ym")&amp;IF(DATEDIF(C185,B185,"ym")=1," month"," months"),IF(DATEDIF(C185,B185,"m")&gt;=1,DATEDIF(C185,B185,"m")&amp;IF(DATEDIF(C185,B185,"m")=1," month"," months"),DATEDIF(C185,B185,"d")&amp;IF(DATEDIF(C185,B185,"d")=1," day"," days"))))</f>
      </c>
      <c r="E185" s="100"/>
      <c r="F185" s="100"/>
      <c r="G185" s="100"/>
      <c r="H185" s="100"/>
      <c r="I185" s="100"/>
      <c r="J185" s="101"/>
      <c r="K185" s="100"/>
      <c r="L185" s="100"/>
      <c r="M185" s="102" t="str">
        <f>IFERROR(VLOOKUP(G185,Reference!$I$2:$J$175,2,FALSE()),"Operations")</f>
        <v>Operations</v>
      </c>
    </row>
    <row r="186" spans="1:13" ht="15" customHeight="1" x14ac:dyDescent="0.25">
      <c r="A186" s="103"/>
      <c r="B186" s="104"/>
      <c r="C186" s="104"/>
      <c r="D186" s="103">
        <f>IF(OR(B186="",C186=""),"",IF(DATEDIF(C186,B186,"y")&gt;=1,DATEDIF(C186,B186,"y")&amp;IF(DATEDIF(C186,B186,"y")=1," year "," years ")&amp;DATEDIF(C186,B186,"ym")&amp;IF(DATEDIF(C186,B186,"ym")=1," month"," months"),IF(DATEDIF(C186,B186,"m")&gt;=1,DATEDIF(C186,B186,"m")&amp;IF(DATEDIF(C186,B186,"m")=1," month"," months"),DATEDIF(C186,B186,"d")&amp;IF(DATEDIF(C186,B186,"d")=1," day"," days"))))</f>
      </c>
      <c r="E186" s="103"/>
      <c r="F186" s="103"/>
      <c r="G186" s="103"/>
      <c r="H186" s="103"/>
      <c r="I186" s="103"/>
      <c r="J186" s="104"/>
      <c r="K186" s="103"/>
      <c r="L186" s="103"/>
      <c r="M186" s="105" t="str">
        <f>IFERROR(VLOOKUP(G186,Reference!$I$2:$J$175,2,FALSE()),"Operations")</f>
        <v>Operations</v>
      </c>
    </row>
    <row r="187" spans="1:13" ht="15" customHeight="1" x14ac:dyDescent="0.25">
      <c r="A187" s="100"/>
      <c r="B187" s="101"/>
      <c r="C187" s="101"/>
      <c r="D187" s="100">
        <f>IF(OR(B187="",C187=""),"",IF(DATEDIF(C187,B187,"y")&gt;=1,DATEDIF(C187,B187,"y")&amp;IF(DATEDIF(C187,B187,"y")=1," year "," years ")&amp;DATEDIF(C187,B187,"ym")&amp;IF(DATEDIF(C187,B187,"ym")=1," month"," months"),IF(DATEDIF(C187,B187,"m")&gt;=1,DATEDIF(C187,B187,"m")&amp;IF(DATEDIF(C187,B187,"m")=1," month"," months"),DATEDIF(C187,B187,"d")&amp;IF(DATEDIF(C187,B187,"d")=1," day"," days"))))</f>
      </c>
      <c r="E187" s="100"/>
      <c r="F187" s="100"/>
      <c r="G187" s="100"/>
      <c r="H187" s="100"/>
      <c r="I187" s="100"/>
      <c r="J187" s="101"/>
      <c r="K187" s="100"/>
      <c r="L187" s="100"/>
      <c r="M187" s="102" t="str">
        <f>IFERROR(VLOOKUP(G187,Reference!$I$2:$J$175,2,FALSE()),"Operations")</f>
        <v>Operations</v>
      </c>
    </row>
    <row r="188" spans="1:13" ht="15" customHeight="1" x14ac:dyDescent="0.25">
      <c r="A188" s="103"/>
      <c r="B188" s="104"/>
      <c r="C188" s="104"/>
      <c r="D188" s="103">
        <f>IF(OR(B188="",C188=""),"",IF(DATEDIF(C188,B188,"y")&gt;=1,DATEDIF(C188,B188,"y")&amp;IF(DATEDIF(C188,B188,"y")=1," year "," years ")&amp;DATEDIF(C188,B188,"ym")&amp;IF(DATEDIF(C188,B188,"ym")=1," month"," months"),IF(DATEDIF(C188,B188,"m")&gt;=1,DATEDIF(C188,B188,"m")&amp;IF(DATEDIF(C188,B188,"m")=1," month"," months"),DATEDIF(C188,B188,"d")&amp;IF(DATEDIF(C188,B188,"d")=1," day"," days"))))</f>
      </c>
      <c r="E188" s="103"/>
      <c r="F188" s="103"/>
      <c r="G188" s="103"/>
      <c r="H188" s="103"/>
      <c r="I188" s="103"/>
      <c r="J188" s="104"/>
      <c r="K188" s="103"/>
      <c r="L188" s="103"/>
      <c r="M188" s="105" t="str">
        <f>IFERROR(VLOOKUP(G188,Reference!$I$2:$J$175,2,FALSE()),"Operations")</f>
        <v>Operations</v>
      </c>
    </row>
    <row r="189" spans="1:13" ht="15" customHeight="1" x14ac:dyDescent="0.25">
      <c r="A189" s="100"/>
      <c r="B189" s="101"/>
      <c r="C189" s="101"/>
      <c r="D189" s="100">
        <f>IF(OR(B189="",C189=""),"",IF(DATEDIF(C189,B189,"y")&gt;=1,DATEDIF(C189,B189,"y")&amp;IF(DATEDIF(C189,B189,"y")=1," year "," years ")&amp;DATEDIF(C189,B189,"ym")&amp;IF(DATEDIF(C189,B189,"ym")=1," month"," months"),IF(DATEDIF(C189,B189,"m")&gt;=1,DATEDIF(C189,B189,"m")&amp;IF(DATEDIF(C189,B189,"m")=1," month"," months"),DATEDIF(C189,B189,"d")&amp;IF(DATEDIF(C189,B189,"d")=1," day"," days"))))</f>
      </c>
      <c r="E189" s="100"/>
      <c r="F189" s="100"/>
      <c r="G189" s="100"/>
      <c r="H189" s="100"/>
      <c r="I189" s="100"/>
      <c r="J189" s="101"/>
      <c r="K189" s="100"/>
      <c r="L189" s="100"/>
      <c r="M189" s="102" t="str">
        <f>IFERROR(VLOOKUP(G189,Reference!$I$2:$J$175,2,FALSE()),"Operations")</f>
        <v>Operations</v>
      </c>
    </row>
    <row r="190" spans="1:13" ht="15" customHeight="1" x14ac:dyDescent="0.25">
      <c r="A190" s="103"/>
      <c r="B190" s="104"/>
      <c r="C190" s="104"/>
      <c r="D190" s="103">
        <f>IF(OR(B190="",C190=""),"",IF(DATEDIF(C190,B190,"y")&gt;=1,DATEDIF(C190,B190,"y")&amp;IF(DATEDIF(C190,B190,"y")=1," year "," years ")&amp;DATEDIF(C190,B190,"ym")&amp;IF(DATEDIF(C190,B190,"ym")=1," month"," months"),IF(DATEDIF(C190,B190,"m")&gt;=1,DATEDIF(C190,B190,"m")&amp;IF(DATEDIF(C190,B190,"m")=1," month"," months"),DATEDIF(C190,B190,"d")&amp;IF(DATEDIF(C190,B190,"d")=1," day"," days"))))</f>
      </c>
      <c r="E190" s="103"/>
      <c r="F190" s="103"/>
      <c r="G190" s="103"/>
      <c r="H190" s="103"/>
      <c r="I190" s="103"/>
      <c r="J190" s="104"/>
      <c r="K190" s="103"/>
      <c r="L190" s="103"/>
      <c r="M190" s="105" t="str">
        <f>IFERROR(VLOOKUP(G190,Reference!$I$2:$J$175,2,FALSE()),"Operations")</f>
        <v>Operations</v>
      </c>
    </row>
    <row r="191" spans="1:13" ht="15" customHeight="1" x14ac:dyDescent="0.25">
      <c r="A191" s="100"/>
      <c r="B191" s="101"/>
      <c r="C191" s="101"/>
      <c r="D191" s="100">
        <f>IF(OR(B191="",C191=""),"",IF(DATEDIF(C191,B191,"y")&gt;=1,DATEDIF(C191,B191,"y")&amp;IF(DATEDIF(C191,B191,"y")=1," year "," years ")&amp;DATEDIF(C191,B191,"ym")&amp;IF(DATEDIF(C191,B191,"ym")=1," month"," months"),IF(DATEDIF(C191,B191,"m")&gt;=1,DATEDIF(C191,B191,"m")&amp;IF(DATEDIF(C191,B191,"m")=1," month"," months"),DATEDIF(C191,B191,"d")&amp;IF(DATEDIF(C191,B191,"d")=1," day"," days"))))</f>
      </c>
      <c r="E191" s="100"/>
      <c r="F191" s="100"/>
      <c r="G191" s="100"/>
      <c r="H191" s="100"/>
      <c r="I191" s="100"/>
      <c r="J191" s="101"/>
      <c r="K191" s="100"/>
      <c r="L191" s="100"/>
      <c r="M191" s="102" t="str">
        <f>IFERROR(VLOOKUP(G191,Reference!$I$2:$J$175,2,FALSE()),"Operations")</f>
        <v>Operations</v>
      </c>
    </row>
    <row r="192" spans="1:13" ht="15" customHeight="1" x14ac:dyDescent="0.25">
      <c r="A192" s="103"/>
      <c r="B192" s="104"/>
      <c r="C192" s="104"/>
      <c r="D192" s="103">
        <f>IF(OR(B192="",C192=""),"",IF(DATEDIF(C192,B192,"y")&gt;=1,DATEDIF(C192,B192,"y")&amp;IF(DATEDIF(C192,B192,"y")=1," year "," years ")&amp;DATEDIF(C192,B192,"ym")&amp;IF(DATEDIF(C192,B192,"ym")=1," month"," months"),IF(DATEDIF(C192,B192,"m")&gt;=1,DATEDIF(C192,B192,"m")&amp;IF(DATEDIF(C192,B192,"m")=1," month"," months"),DATEDIF(C192,B192,"d")&amp;IF(DATEDIF(C192,B192,"d")=1," day"," days"))))</f>
      </c>
      <c r="E192" s="103"/>
      <c r="F192" s="103"/>
      <c r="G192" s="103"/>
      <c r="H192" s="103"/>
      <c r="I192" s="103"/>
      <c r="J192" s="104"/>
      <c r="K192" s="103"/>
      <c r="L192" s="103"/>
      <c r="M192" s="105" t="str">
        <f>IFERROR(VLOOKUP(G192,Reference!$I$2:$J$175,2,FALSE()),"Operations")</f>
        <v>Operations</v>
      </c>
    </row>
    <row r="193" spans="1:13" ht="15" customHeight="1" x14ac:dyDescent="0.25">
      <c r="A193" s="100"/>
      <c r="B193" s="101"/>
      <c r="C193" s="101"/>
      <c r="D193" s="100">
        <f>IF(OR(B193="",C193=""),"",IF(DATEDIF(C193,B193,"y")&gt;=1,DATEDIF(C193,B193,"y")&amp;IF(DATEDIF(C193,B193,"y")=1," year "," years ")&amp;DATEDIF(C193,B193,"ym")&amp;IF(DATEDIF(C193,B193,"ym")=1," month"," months"),IF(DATEDIF(C193,B193,"m")&gt;=1,DATEDIF(C193,B193,"m")&amp;IF(DATEDIF(C193,B193,"m")=1," month"," months"),DATEDIF(C193,B193,"d")&amp;IF(DATEDIF(C193,B193,"d")=1," day"," days"))))</f>
      </c>
      <c r="E193" s="100"/>
      <c r="F193" s="100"/>
      <c r="G193" s="100"/>
      <c r="H193" s="100"/>
      <c r="I193" s="100"/>
      <c r="J193" s="101"/>
      <c r="K193" s="100"/>
      <c r="L193" s="100"/>
      <c r="M193" s="102" t="str">
        <f>IFERROR(VLOOKUP(G193,Reference!$I$2:$J$175,2,FALSE()),"Operations")</f>
        <v>Operations</v>
      </c>
    </row>
    <row r="194" spans="1:13" ht="15" customHeight="1" x14ac:dyDescent="0.25">
      <c r="A194" s="103"/>
      <c r="B194" s="104"/>
      <c r="C194" s="104"/>
      <c r="D194" s="103">
        <f>IF(OR(B194="",C194=""),"",IF(DATEDIF(C194,B194,"y")&gt;=1,DATEDIF(C194,B194,"y")&amp;IF(DATEDIF(C194,B194,"y")=1," year "," years ")&amp;DATEDIF(C194,B194,"ym")&amp;IF(DATEDIF(C194,B194,"ym")=1," month"," months"),IF(DATEDIF(C194,B194,"m")&gt;=1,DATEDIF(C194,B194,"m")&amp;IF(DATEDIF(C194,B194,"m")=1," month"," months"),DATEDIF(C194,B194,"d")&amp;IF(DATEDIF(C194,B194,"d")=1," day"," days"))))</f>
      </c>
      <c r="E194" s="103"/>
      <c r="F194" s="103"/>
      <c r="G194" s="103"/>
      <c r="H194" s="103"/>
      <c r="I194" s="103"/>
      <c r="J194" s="104"/>
      <c r="K194" s="103"/>
      <c r="L194" s="103"/>
      <c r="M194" s="105" t="str">
        <f>IFERROR(VLOOKUP(G194,Reference!$I$2:$J$175,2,FALSE()),"Operations")</f>
        <v>Operations</v>
      </c>
    </row>
    <row r="195" spans="1:13" ht="15" customHeight="1" x14ac:dyDescent="0.25">
      <c r="A195" s="100"/>
      <c r="B195" s="101"/>
      <c r="C195" s="101"/>
      <c r="D195" s="100">
        <f>IF(OR(B195="",C195=""),"",IF(DATEDIF(C195,B195,"y")&gt;=1,DATEDIF(C195,B195,"y")&amp;IF(DATEDIF(C195,B195,"y")=1," year "," years ")&amp;DATEDIF(C195,B195,"ym")&amp;IF(DATEDIF(C195,B195,"ym")=1," month"," months"),IF(DATEDIF(C195,B195,"m")&gt;=1,DATEDIF(C195,B195,"m")&amp;IF(DATEDIF(C195,B195,"m")=1," month"," months"),DATEDIF(C195,B195,"d")&amp;IF(DATEDIF(C195,B195,"d")=1," day"," days"))))</f>
      </c>
      <c r="E195" s="100"/>
      <c r="F195" s="100"/>
      <c r="G195" s="100"/>
      <c r="H195" s="100"/>
      <c r="I195" s="100"/>
      <c r="J195" s="101"/>
      <c r="K195" s="100"/>
      <c r="L195" s="100"/>
      <c r="M195" s="102" t="str">
        <f>IFERROR(VLOOKUP(G195,Reference!$I$2:$J$175,2,FALSE()),"Operations")</f>
        <v>Operations</v>
      </c>
    </row>
    <row r="196" spans="1:13" ht="15" customHeight="1" x14ac:dyDescent="0.25">
      <c r="A196" s="103"/>
      <c r="B196" s="104"/>
      <c r="C196" s="104"/>
      <c r="D196" s="103">
        <f>IF(OR(B196="",C196=""),"",IF(DATEDIF(C196,B196,"y")&gt;=1,DATEDIF(C196,B196,"y")&amp;IF(DATEDIF(C196,B196,"y")=1," year "," years ")&amp;DATEDIF(C196,B196,"ym")&amp;IF(DATEDIF(C196,B196,"ym")=1," month"," months"),IF(DATEDIF(C196,B196,"m")&gt;=1,DATEDIF(C196,B196,"m")&amp;IF(DATEDIF(C196,B196,"m")=1," month"," months"),DATEDIF(C196,B196,"d")&amp;IF(DATEDIF(C196,B196,"d")=1," day"," days"))))</f>
      </c>
      <c r="E196" s="103"/>
      <c r="F196" s="103"/>
      <c r="G196" s="103"/>
      <c r="H196" s="103"/>
      <c r="I196" s="103"/>
      <c r="J196" s="104"/>
      <c r="K196" s="103"/>
      <c r="L196" s="103"/>
      <c r="M196" s="105" t="str">
        <f>IFERROR(VLOOKUP(G196,Reference!$I$2:$J$175,2,FALSE()),"Operations")</f>
        <v>Operations</v>
      </c>
    </row>
    <row r="197" spans="1:13" ht="15" customHeight="1" x14ac:dyDescent="0.25">
      <c r="A197" s="100"/>
      <c r="B197" s="101"/>
      <c r="C197" s="101"/>
      <c r="D197" s="100">
        <f>IF(OR(B197="",C197=""),"",IF(DATEDIF(C197,B197,"y")&gt;=1,DATEDIF(C197,B197,"y")&amp;IF(DATEDIF(C197,B197,"y")=1," year "," years ")&amp;DATEDIF(C197,B197,"ym")&amp;IF(DATEDIF(C197,B197,"ym")=1," month"," months"),IF(DATEDIF(C197,B197,"m")&gt;=1,DATEDIF(C197,B197,"m")&amp;IF(DATEDIF(C197,B197,"m")=1," month"," months"),DATEDIF(C197,B197,"d")&amp;IF(DATEDIF(C197,B197,"d")=1," day"," days"))))</f>
      </c>
      <c r="E197" s="100"/>
      <c r="F197" s="100"/>
      <c r="G197" s="100"/>
      <c r="H197" s="100"/>
      <c r="I197" s="100"/>
      <c r="J197" s="101"/>
      <c r="K197" s="100"/>
      <c r="L197" s="100"/>
      <c r="M197" s="102" t="str">
        <f>IFERROR(VLOOKUP(G197,Reference!$I$2:$J$175,2,FALSE()),"Operations")</f>
        <v>Operations</v>
      </c>
    </row>
    <row r="198" spans="1:13" ht="15" customHeight="1" x14ac:dyDescent="0.25">
      <c r="A198" s="103"/>
      <c r="B198" s="104"/>
      <c r="C198" s="104"/>
      <c r="D198" s="103">
        <f>IF(OR(B198="",C198=""),"",IF(DATEDIF(C198,B198,"y")&gt;=1,DATEDIF(C198,B198,"y")&amp;IF(DATEDIF(C198,B198,"y")=1," year "," years ")&amp;DATEDIF(C198,B198,"ym")&amp;IF(DATEDIF(C198,B198,"ym")=1," month"," months"),IF(DATEDIF(C198,B198,"m")&gt;=1,DATEDIF(C198,B198,"m")&amp;IF(DATEDIF(C198,B198,"m")=1," month"," months"),DATEDIF(C198,B198,"d")&amp;IF(DATEDIF(C198,B198,"d")=1," day"," days"))))</f>
      </c>
      <c r="E198" s="103"/>
      <c r="F198" s="103"/>
      <c r="G198" s="103"/>
      <c r="H198" s="103"/>
      <c r="I198" s="103"/>
      <c r="J198" s="104"/>
      <c r="K198" s="103"/>
      <c r="L198" s="103"/>
      <c r="M198" s="105" t="str">
        <f>IFERROR(VLOOKUP(G198,Reference!$I$2:$J$175,2,FALSE()),"Operations")</f>
        <v>Operations</v>
      </c>
    </row>
    <row r="199" spans="1:13" ht="15" customHeight="1" x14ac:dyDescent="0.25">
      <c r="A199" s="100"/>
      <c r="B199" s="101"/>
      <c r="C199" s="101"/>
      <c r="D199" s="100">
        <f>IF(OR(B199="",C199=""),"",IF(DATEDIF(C199,B199,"y")&gt;=1,DATEDIF(C199,B199,"y")&amp;IF(DATEDIF(C199,B199,"y")=1," year "," years ")&amp;DATEDIF(C199,B199,"ym")&amp;IF(DATEDIF(C199,B199,"ym")=1," month"," months"),IF(DATEDIF(C199,B199,"m")&gt;=1,DATEDIF(C199,B199,"m")&amp;IF(DATEDIF(C199,B199,"m")=1," month"," months"),DATEDIF(C199,B199,"d")&amp;IF(DATEDIF(C199,B199,"d")=1," day"," days"))))</f>
      </c>
      <c r="E199" s="100"/>
      <c r="F199" s="100"/>
      <c r="G199" s="100"/>
      <c r="H199" s="100"/>
      <c r="I199" s="100"/>
      <c r="J199" s="101"/>
      <c r="K199" s="100"/>
      <c r="L199" s="100"/>
      <c r="M199" s="102" t="str">
        <f>IFERROR(VLOOKUP(G199,Reference!$I$2:$J$175,2,FALSE()),"Operations")</f>
        <v>Operations</v>
      </c>
    </row>
    <row r="200" spans="1:13" ht="15" customHeight="1" x14ac:dyDescent="0.25">
      <c r="A200" s="103"/>
      <c r="B200" s="104"/>
      <c r="C200" s="104"/>
      <c r="D200" s="103">
        <f>IF(OR(B200="",C200=""),"",IF(DATEDIF(C200,B200,"y")&gt;=1,DATEDIF(C200,B200,"y")&amp;IF(DATEDIF(C200,B200,"y")=1," year "," years ")&amp;DATEDIF(C200,B200,"ym")&amp;IF(DATEDIF(C200,B200,"ym")=1," month"," months"),IF(DATEDIF(C200,B200,"m")&gt;=1,DATEDIF(C200,B200,"m")&amp;IF(DATEDIF(C200,B200,"m")=1," month"," months"),DATEDIF(C200,B200,"d")&amp;IF(DATEDIF(C200,B200,"d")=1," day"," days"))))</f>
      </c>
      <c r="E200" s="103"/>
      <c r="F200" s="103"/>
      <c r="G200" s="103"/>
      <c r="H200" s="103"/>
      <c r="I200" s="103"/>
      <c r="J200" s="104"/>
      <c r="K200" s="103"/>
      <c r="L200" s="103"/>
      <c r="M200" s="105" t="str">
        <f>IFERROR(VLOOKUP(G200,Reference!$I$2:$J$175,2,FALSE()),"Operations")</f>
        <v>Operations</v>
      </c>
    </row>
    <row r="201" spans="1:13" ht="15" customHeight="1" x14ac:dyDescent="0.25">
      <c r="A201" s="100"/>
      <c r="B201" s="101"/>
      <c r="C201" s="101"/>
      <c r="D201" s="100">
        <f>IF(OR(B201="",C201=""),"",IF(DATEDIF(C201,B201,"y")&gt;=1,DATEDIF(C201,B201,"y")&amp;IF(DATEDIF(C201,B201,"y")=1," year "," years ")&amp;DATEDIF(C201,B201,"ym")&amp;IF(DATEDIF(C201,B201,"ym")=1," month"," months"),IF(DATEDIF(C201,B201,"m")&gt;=1,DATEDIF(C201,B201,"m")&amp;IF(DATEDIF(C201,B201,"m")=1," month"," months"),DATEDIF(C201,B201,"d")&amp;IF(DATEDIF(C201,B201,"d")=1," day"," days"))))</f>
      </c>
      <c r="E201" s="100"/>
      <c r="F201" s="100"/>
      <c r="G201" s="100"/>
      <c r="H201" s="100"/>
      <c r="I201" s="100"/>
      <c r="J201" s="101"/>
      <c r="K201" s="100"/>
      <c r="L201" s="100"/>
      <c r="M201" s="102" t="str">
        <f>IFERROR(VLOOKUP(G201,Reference!$I$2:$J$175,2,FALSE()),"Operations")</f>
        <v>Operations</v>
      </c>
    </row>
    <row r="202" spans="1:13" ht="15" customHeight="1" x14ac:dyDescent="0.25">
      <c r="A202" s="103"/>
      <c r="B202" s="104"/>
      <c r="C202" s="104"/>
      <c r="D202" s="103">
        <f>IF(OR(B202="",C202=""),"",IF(DATEDIF(C202,B202,"y")&gt;=1,DATEDIF(C202,B202,"y")&amp;IF(DATEDIF(C202,B202,"y")=1," year "," years ")&amp;DATEDIF(C202,B202,"ym")&amp;IF(DATEDIF(C202,B202,"ym")=1," month"," months"),IF(DATEDIF(C202,B202,"m")&gt;=1,DATEDIF(C202,B202,"m")&amp;IF(DATEDIF(C202,B202,"m")=1," month"," months"),DATEDIF(C202,B202,"d")&amp;IF(DATEDIF(C202,B202,"d")=1," day"," days"))))</f>
      </c>
      <c r="E202" s="103"/>
      <c r="F202" s="103"/>
      <c r="G202" s="103"/>
      <c r="H202" s="103"/>
      <c r="I202" s="103"/>
      <c r="J202" s="104"/>
      <c r="K202" s="103"/>
      <c r="L202" s="103"/>
      <c r="M202" s="105" t="str">
        <f>IFERROR(VLOOKUP(G202,Reference!$I$2:$J$175,2,FALSE()),"Operations")</f>
        <v>Operations</v>
      </c>
    </row>
    <row r="203" spans="1:13" ht="15" customHeight="1" x14ac:dyDescent="0.25">
      <c r="A203" s="100"/>
      <c r="B203" s="101"/>
      <c r="C203" s="101"/>
      <c r="D203" s="100">
        <f>IF(OR(B203="",C203=""),"",IF(DATEDIF(C203,B203,"y")&gt;=1,DATEDIF(C203,B203,"y")&amp;IF(DATEDIF(C203,B203,"y")=1," year "," years ")&amp;DATEDIF(C203,B203,"ym")&amp;IF(DATEDIF(C203,B203,"ym")=1," month"," months"),IF(DATEDIF(C203,B203,"m")&gt;=1,DATEDIF(C203,B203,"m")&amp;IF(DATEDIF(C203,B203,"m")=1," month"," months"),DATEDIF(C203,B203,"d")&amp;IF(DATEDIF(C203,B203,"d")=1," day"," days"))))</f>
      </c>
      <c r="E203" s="100"/>
      <c r="F203" s="100"/>
      <c r="G203" s="100"/>
      <c r="H203" s="100"/>
      <c r="I203" s="100"/>
      <c r="J203" s="101"/>
      <c r="K203" s="100"/>
      <c r="L203" s="100"/>
      <c r="M203" s="102" t="str">
        <f>IFERROR(VLOOKUP(G203,Reference!$I$2:$J$175,2,FALSE()),"Operations")</f>
        <v>Operations</v>
      </c>
    </row>
    <row r="204" spans="1:13" ht="15" customHeight="1" x14ac:dyDescent="0.25">
      <c r="A204" s="103"/>
      <c r="B204" s="104"/>
      <c r="C204" s="104"/>
      <c r="D204" s="103">
        <f>IF(OR(B204="",C204=""),"",IF(DATEDIF(C204,B204,"y")&gt;=1,DATEDIF(C204,B204,"y")&amp;IF(DATEDIF(C204,B204,"y")=1," year "," years ")&amp;DATEDIF(C204,B204,"ym")&amp;IF(DATEDIF(C204,B204,"ym")=1," month"," months"),IF(DATEDIF(C204,B204,"m")&gt;=1,DATEDIF(C204,B204,"m")&amp;IF(DATEDIF(C204,B204,"m")=1," month"," months"),DATEDIF(C204,B204,"d")&amp;IF(DATEDIF(C204,B204,"d")=1," day"," days"))))</f>
      </c>
      <c r="E204" s="103"/>
      <c r="F204" s="103"/>
      <c r="G204" s="103"/>
      <c r="H204" s="103"/>
      <c r="I204" s="103"/>
      <c r="J204" s="104"/>
      <c r="K204" s="103"/>
      <c r="L204" s="103"/>
      <c r="M204" s="105" t="str">
        <f>IFERROR(VLOOKUP(G204,Reference!$I$2:$J$175,2,FALSE()),"Operations")</f>
        <v>Operations</v>
      </c>
    </row>
    <row r="205" spans="1:13" ht="15" customHeight="1" x14ac:dyDescent="0.25">
      <c r="A205" s="100"/>
      <c r="B205" s="101"/>
      <c r="C205" s="101"/>
      <c r="D205" s="100">
        <f>IF(OR(B205="",C205=""),"",IF(DATEDIF(C205,B205,"y")&gt;=1,DATEDIF(C205,B205,"y")&amp;IF(DATEDIF(C205,B205,"y")=1," year "," years ")&amp;DATEDIF(C205,B205,"ym")&amp;IF(DATEDIF(C205,B205,"ym")=1," month"," months"),IF(DATEDIF(C205,B205,"m")&gt;=1,DATEDIF(C205,B205,"m")&amp;IF(DATEDIF(C205,B205,"m")=1," month"," months"),DATEDIF(C205,B205,"d")&amp;IF(DATEDIF(C205,B205,"d")=1," day"," days"))))</f>
      </c>
      <c r="E205" s="100"/>
      <c r="F205" s="100"/>
      <c r="G205" s="100"/>
      <c r="H205" s="100"/>
      <c r="I205" s="100"/>
      <c r="J205" s="101"/>
      <c r="K205" s="100"/>
      <c r="L205" s="100"/>
      <c r="M205" s="102" t="str">
        <f>IFERROR(VLOOKUP(G205,Reference!$I$2:$J$175,2,FALSE()),"Operations")</f>
        <v>Operations</v>
      </c>
    </row>
    <row r="206" spans="1:13" ht="15" customHeight="1" x14ac:dyDescent="0.25">
      <c r="A206" s="103"/>
      <c r="B206" s="104"/>
      <c r="C206" s="104"/>
      <c r="D206" s="103">
        <f>IF(OR(B206="",C206=""),"",IF(DATEDIF(C206,B206,"y")&gt;=1,DATEDIF(C206,B206,"y")&amp;IF(DATEDIF(C206,B206,"y")=1," year "," years ")&amp;DATEDIF(C206,B206,"ym")&amp;IF(DATEDIF(C206,B206,"ym")=1," month"," months"),IF(DATEDIF(C206,B206,"m")&gt;=1,DATEDIF(C206,B206,"m")&amp;IF(DATEDIF(C206,B206,"m")=1," month"," months"),DATEDIF(C206,B206,"d")&amp;IF(DATEDIF(C206,B206,"d")=1," day"," days"))))</f>
      </c>
      <c r="E206" s="103"/>
      <c r="F206" s="103"/>
      <c r="G206" s="103"/>
      <c r="H206" s="103"/>
      <c r="I206" s="103"/>
      <c r="J206" s="104"/>
      <c r="K206" s="103"/>
      <c r="L206" s="103"/>
      <c r="M206" s="105" t="str">
        <f>IFERROR(VLOOKUP(G206,Reference!$I$2:$J$175,2,FALSE()),"Operations")</f>
        <v>Operations</v>
      </c>
    </row>
    <row r="207" spans="1:13" ht="15" customHeight="1" x14ac:dyDescent="0.25">
      <c r="A207" s="100"/>
      <c r="B207" s="101"/>
      <c r="C207" s="101"/>
      <c r="D207" s="100">
        <f>IF(OR(B207="",C207=""),"",IF(DATEDIF(C207,B207,"y")&gt;=1,DATEDIF(C207,B207,"y")&amp;IF(DATEDIF(C207,B207,"y")=1," year "," years ")&amp;DATEDIF(C207,B207,"ym")&amp;IF(DATEDIF(C207,B207,"ym")=1," month"," months"),IF(DATEDIF(C207,B207,"m")&gt;=1,DATEDIF(C207,B207,"m")&amp;IF(DATEDIF(C207,B207,"m")=1," month"," months"),DATEDIF(C207,B207,"d")&amp;IF(DATEDIF(C207,B207,"d")=1," day"," days"))))</f>
      </c>
      <c r="E207" s="100"/>
      <c r="F207" s="100"/>
      <c r="G207" s="100"/>
      <c r="H207" s="100"/>
      <c r="I207" s="100"/>
      <c r="J207" s="101"/>
      <c r="K207" s="100"/>
      <c r="L207" s="100"/>
      <c r="M207" s="102" t="str">
        <f>IFERROR(VLOOKUP(G207,Reference!$I$2:$J$175,2,FALSE()),"Operations")</f>
        <v>Operations</v>
      </c>
    </row>
    <row r="208" spans="1:13" ht="15" customHeight="1" x14ac:dyDescent="0.25">
      <c r="A208" s="103"/>
      <c r="B208" s="104"/>
      <c r="C208" s="104"/>
      <c r="D208" s="103">
        <f>IF(OR(B208="",C208=""),"",IF(DATEDIF(C208,B208,"y")&gt;=1,DATEDIF(C208,B208,"y")&amp;IF(DATEDIF(C208,B208,"y")=1," year "," years ")&amp;DATEDIF(C208,B208,"ym")&amp;IF(DATEDIF(C208,B208,"ym")=1," month"," months"),IF(DATEDIF(C208,B208,"m")&gt;=1,DATEDIF(C208,B208,"m")&amp;IF(DATEDIF(C208,B208,"m")=1," month"," months"),DATEDIF(C208,B208,"d")&amp;IF(DATEDIF(C208,B208,"d")=1," day"," days"))))</f>
      </c>
      <c r="E208" s="103"/>
      <c r="F208" s="103"/>
      <c r="G208" s="103"/>
      <c r="H208" s="103"/>
      <c r="I208" s="103"/>
      <c r="J208" s="104"/>
      <c r="K208" s="103"/>
      <c r="L208" s="103"/>
      <c r="M208" s="105" t="str">
        <f>IFERROR(VLOOKUP(G208,Reference!$I$2:$J$175,2,FALSE()),"Operations")</f>
        <v>Operations</v>
      </c>
    </row>
    <row r="209" spans="1:13" ht="15" customHeight="1" x14ac:dyDescent="0.25">
      <c r="A209" s="106" t="s">
        <v>163</v>
      </c>
      <c r="B209" s="107">
        <f>COUNTA(A179:A208)</f>
        <v>0</v>
      </c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</row>
    <row r="210" spans="1:13" ht="6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</row>
    <row r="211" spans="1:13" ht="21.75" customHeight="1" x14ac:dyDescent="0.25">
      <c r="A211" s="163" t="s">
        <v>169</v>
      </c>
      <c r="B211" s="163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</row>
    <row r="212" spans="1:13" ht="19.5" customHeight="1" x14ac:dyDescent="0.25">
      <c r="A212" s="64" t="s">
        <v>151</v>
      </c>
      <c r="B212" s="64" t="s">
        <v>152</v>
      </c>
      <c r="C212" s="64" t="s">
        <v>153</v>
      </c>
      <c r="D212" s="64" t="s">
        <v>154</v>
      </c>
      <c r="E212" s="64" t="s">
        <v>155</v>
      </c>
      <c r="F212" s="64" t="s">
        <v>156</v>
      </c>
      <c r="G212" s="64" t="s">
        <v>157</v>
      </c>
      <c r="H212" s="64" t="s">
        <v>158</v>
      </c>
      <c r="I212" s="64" t="s">
        <v>159</v>
      </c>
      <c r="J212" s="64" t="s">
        <v>160</v>
      </c>
      <c r="K212" s="64" t="s">
        <v>134</v>
      </c>
      <c r="L212" s="64" t="s">
        <v>161</v>
      </c>
      <c r="M212" s="64" t="s">
        <v>162</v>
      </c>
    </row>
    <row r="213" spans="1:13" ht="15" customHeight="1" x14ac:dyDescent="0.25">
      <c r="A213" s="100"/>
      <c r="B213" s="101"/>
      <c r="C213" s="101"/>
      <c r="D213" s="100">
        <f>IF(OR(B213="",C213=""),"",IF(DATEDIF(C213,B213,"y")&gt;=1,DATEDIF(C213,B213,"y")&amp;IF(DATEDIF(C213,B213,"y")=1," year "," years ")&amp;DATEDIF(C213,B213,"ym")&amp;IF(DATEDIF(C213,B213,"ym")=1," month"," months"),IF(DATEDIF(C213,B213,"m")&gt;=1,DATEDIF(C213,B213,"m")&amp;IF(DATEDIF(C213,B213,"m")=1," month"," months"),DATEDIF(C213,B213,"d")&amp;IF(DATEDIF(C213,B213,"d")=1," day"," days"))))</f>
      </c>
      <c r="E213" s="100"/>
      <c r="F213" s="100"/>
      <c r="G213" s="100"/>
      <c r="H213" s="100"/>
      <c r="I213" s="100"/>
      <c r="J213" s="101"/>
      <c r="K213" s="100"/>
      <c r="L213" s="100"/>
      <c r="M213" s="102" t="str">
        <f>IFERROR(VLOOKUP(G213,Reference!$I$2:$J$175,2,FALSE()),"Operations")</f>
        <v>Operations</v>
      </c>
    </row>
    <row r="214" spans="1:13" ht="15" customHeight="1" x14ac:dyDescent="0.25">
      <c r="A214" s="103"/>
      <c r="B214" s="104"/>
      <c r="C214" s="104"/>
      <c r="D214" s="103">
        <f>IF(OR(B214="",C214=""),"",IF(DATEDIF(C214,B214,"y")&gt;=1,DATEDIF(C214,B214,"y")&amp;IF(DATEDIF(C214,B214,"y")=1," year "," years ")&amp;DATEDIF(C214,B214,"ym")&amp;IF(DATEDIF(C214,B214,"ym")=1," month"," months"),IF(DATEDIF(C214,B214,"m")&gt;=1,DATEDIF(C214,B214,"m")&amp;IF(DATEDIF(C214,B214,"m")=1," month"," months"),DATEDIF(C214,B214,"d")&amp;IF(DATEDIF(C214,B214,"d")=1," day"," days"))))</f>
      </c>
      <c r="E214" s="103"/>
      <c r="F214" s="103"/>
      <c r="G214" s="103"/>
      <c r="H214" s="103"/>
      <c r="I214" s="103"/>
      <c r="J214" s="104"/>
      <c r="K214" s="103"/>
      <c r="L214" s="103"/>
      <c r="M214" s="105" t="str">
        <f>IFERROR(VLOOKUP(G214,Reference!$I$2:$J$175,2,FALSE()),"Operations")</f>
        <v>Operations</v>
      </c>
    </row>
    <row r="215" spans="1:13" ht="15" customHeight="1" x14ac:dyDescent="0.25">
      <c r="A215" s="100"/>
      <c r="B215" s="101"/>
      <c r="C215" s="101"/>
      <c r="D215" s="100">
        <f>IF(OR(B215="",C215=""),"",IF(DATEDIF(C215,B215,"y")&gt;=1,DATEDIF(C215,B215,"y")&amp;IF(DATEDIF(C215,B215,"y")=1," year "," years ")&amp;DATEDIF(C215,B215,"ym")&amp;IF(DATEDIF(C215,B215,"ym")=1," month"," months"),IF(DATEDIF(C215,B215,"m")&gt;=1,DATEDIF(C215,B215,"m")&amp;IF(DATEDIF(C215,B215,"m")=1," month"," months"),DATEDIF(C215,B215,"d")&amp;IF(DATEDIF(C215,B215,"d")=1," day"," days"))))</f>
      </c>
      <c r="E215" s="100"/>
      <c r="F215" s="100"/>
      <c r="G215" s="100"/>
      <c r="H215" s="100"/>
      <c r="I215" s="100"/>
      <c r="J215" s="101"/>
      <c r="K215" s="100"/>
      <c r="L215" s="100"/>
      <c r="M215" s="102" t="str">
        <f>IFERROR(VLOOKUP(G215,Reference!$I$2:$J$175,2,FALSE()),"Operations")</f>
        <v>Operations</v>
      </c>
    </row>
    <row r="216" spans="1:13" ht="15" customHeight="1" x14ac:dyDescent="0.25">
      <c r="A216" s="103"/>
      <c r="B216" s="104"/>
      <c r="C216" s="104"/>
      <c r="D216" s="103">
        <f>IF(OR(B216="",C216=""),"",IF(DATEDIF(C216,B216,"y")&gt;=1,DATEDIF(C216,B216,"y")&amp;IF(DATEDIF(C216,B216,"y")=1," year "," years ")&amp;DATEDIF(C216,B216,"ym")&amp;IF(DATEDIF(C216,B216,"ym")=1," month"," months"),IF(DATEDIF(C216,B216,"m")&gt;=1,DATEDIF(C216,B216,"m")&amp;IF(DATEDIF(C216,B216,"m")=1," month"," months"),DATEDIF(C216,B216,"d")&amp;IF(DATEDIF(C216,B216,"d")=1," day"," days"))))</f>
      </c>
      <c r="E216" s="103"/>
      <c r="F216" s="103"/>
      <c r="G216" s="103"/>
      <c r="H216" s="103"/>
      <c r="I216" s="103"/>
      <c r="J216" s="104"/>
      <c r="K216" s="103"/>
      <c r="L216" s="103"/>
      <c r="M216" s="105" t="str">
        <f>IFERROR(VLOOKUP(G216,Reference!$I$2:$J$175,2,FALSE()),"Operations")</f>
        <v>Operations</v>
      </c>
    </row>
    <row r="217" spans="1:13" ht="15" customHeight="1" x14ac:dyDescent="0.25">
      <c r="A217" s="100"/>
      <c r="B217" s="101"/>
      <c r="C217" s="101"/>
      <c r="D217" s="100">
        <f>IF(OR(B217="",C217=""),"",IF(DATEDIF(C217,B217,"y")&gt;=1,DATEDIF(C217,B217,"y")&amp;IF(DATEDIF(C217,B217,"y")=1," year "," years ")&amp;DATEDIF(C217,B217,"ym")&amp;IF(DATEDIF(C217,B217,"ym")=1," month"," months"),IF(DATEDIF(C217,B217,"m")&gt;=1,DATEDIF(C217,B217,"m")&amp;IF(DATEDIF(C217,B217,"m")=1," month"," months"),DATEDIF(C217,B217,"d")&amp;IF(DATEDIF(C217,B217,"d")=1," day"," days"))))</f>
      </c>
      <c r="E217" s="100"/>
      <c r="F217" s="100"/>
      <c r="G217" s="100"/>
      <c r="H217" s="100"/>
      <c r="I217" s="100"/>
      <c r="J217" s="101"/>
      <c r="K217" s="100"/>
      <c r="L217" s="100"/>
      <c r="M217" s="102" t="str">
        <f>IFERROR(VLOOKUP(G217,Reference!$I$2:$J$175,2,FALSE()),"Operations")</f>
        <v>Operations</v>
      </c>
    </row>
    <row r="218" spans="1:13" ht="15" customHeight="1" x14ac:dyDescent="0.25">
      <c r="A218" s="103"/>
      <c r="B218" s="104"/>
      <c r="C218" s="104"/>
      <c r="D218" s="103">
        <f>IF(OR(B218="",C218=""),"",IF(DATEDIF(C218,B218,"y")&gt;=1,DATEDIF(C218,B218,"y")&amp;IF(DATEDIF(C218,B218,"y")=1," year "," years ")&amp;DATEDIF(C218,B218,"ym")&amp;IF(DATEDIF(C218,B218,"ym")=1," month"," months"),IF(DATEDIF(C218,B218,"m")&gt;=1,DATEDIF(C218,B218,"m")&amp;IF(DATEDIF(C218,B218,"m")=1," month"," months"),DATEDIF(C218,B218,"d")&amp;IF(DATEDIF(C218,B218,"d")=1," day"," days"))))</f>
      </c>
      <c r="E218" s="103"/>
      <c r="F218" s="103"/>
      <c r="G218" s="103"/>
      <c r="H218" s="103"/>
      <c r="I218" s="103"/>
      <c r="J218" s="104"/>
      <c r="K218" s="103"/>
      <c r="L218" s="103"/>
      <c r="M218" s="105" t="str">
        <f>IFERROR(VLOOKUP(G218,Reference!$I$2:$J$175,2,FALSE()),"Operations")</f>
        <v>Operations</v>
      </c>
    </row>
    <row r="219" spans="1:13" ht="15" customHeight="1" x14ac:dyDescent="0.25">
      <c r="A219" s="100"/>
      <c r="B219" s="101"/>
      <c r="C219" s="101"/>
      <c r="D219" s="100">
        <f>IF(OR(B219="",C219=""),"",IF(DATEDIF(C219,B219,"y")&gt;=1,DATEDIF(C219,B219,"y")&amp;IF(DATEDIF(C219,B219,"y")=1," year "," years ")&amp;DATEDIF(C219,B219,"ym")&amp;IF(DATEDIF(C219,B219,"ym")=1," month"," months"),IF(DATEDIF(C219,B219,"m")&gt;=1,DATEDIF(C219,B219,"m")&amp;IF(DATEDIF(C219,B219,"m")=1," month"," months"),DATEDIF(C219,B219,"d")&amp;IF(DATEDIF(C219,B219,"d")=1," day"," days"))))</f>
      </c>
      <c r="E219" s="100"/>
      <c r="F219" s="100"/>
      <c r="G219" s="100"/>
      <c r="H219" s="100"/>
      <c r="I219" s="100"/>
      <c r="J219" s="101"/>
      <c r="K219" s="100"/>
      <c r="L219" s="100"/>
      <c r="M219" s="102" t="str">
        <f>IFERROR(VLOOKUP(G219,Reference!$I$2:$J$175,2,FALSE()),"Operations")</f>
        <v>Operations</v>
      </c>
    </row>
    <row r="220" spans="1:13" ht="15" customHeight="1" x14ac:dyDescent="0.25">
      <c r="A220" s="103"/>
      <c r="B220" s="104"/>
      <c r="C220" s="104"/>
      <c r="D220" s="103">
        <f>IF(OR(B220="",C220=""),"",IF(DATEDIF(C220,B220,"y")&gt;=1,DATEDIF(C220,B220,"y")&amp;IF(DATEDIF(C220,B220,"y")=1," year "," years ")&amp;DATEDIF(C220,B220,"ym")&amp;IF(DATEDIF(C220,B220,"ym")=1," month"," months"),IF(DATEDIF(C220,B220,"m")&gt;=1,DATEDIF(C220,B220,"m")&amp;IF(DATEDIF(C220,B220,"m")=1," month"," months"),DATEDIF(C220,B220,"d")&amp;IF(DATEDIF(C220,B220,"d")=1," day"," days"))))</f>
      </c>
      <c r="E220" s="103"/>
      <c r="F220" s="103"/>
      <c r="G220" s="103"/>
      <c r="H220" s="103"/>
      <c r="I220" s="103"/>
      <c r="J220" s="104"/>
      <c r="K220" s="103"/>
      <c r="L220" s="103"/>
      <c r="M220" s="105" t="str">
        <f>IFERROR(VLOOKUP(G220,Reference!$I$2:$J$175,2,FALSE()),"Operations")</f>
        <v>Operations</v>
      </c>
    </row>
    <row r="221" spans="1:13" ht="15" customHeight="1" x14ac:dyDescent="0.25">
      <c r="A221" s="100"/>
      <c r="B221" s="101"/>
      <c r="C221" s="101"/>
      <c r="D221" s="100">
        <f>IF(OR(B221="",C221=""),"",IF(DATEDIF(C221,B221,"y")&gt;=1,DATEDIF(C221,B221,"y")&amp;IF(DATEDIF(C221,B221,"y")=1," year "," years ")&amp;DATEDIF(C221,B221,"ym")&amp;IF(DATEDIF(C221,B221,"ym")=1," month"," months"),IF(DATEDIF(C221,B221,"m")&gt;=1,DATEDIF(C221,B221,"m")&amp;IF(DATEDIF(C221,B221,"m")=1," month"," months"),DATEDIF(C221,B221,"d")&amp;IF(DATEDIF(C221,B221,"d")=1," day"," days"))))</f>
      </c>
      <c r="E221" s="100"/>
      <c r="F221" s="100"/>
      <c r="G221" s="100"/>
      <c r="H221" s="100"/>
      <c r="I221" s="100"/>
      <c r="J221" s="101"/>
      <c r="K221" s="100"/>
      <c r="L221" s="100"/>
      <c r="M221" s="102" t="str">
        <f>IFERROR(VLOOKUP(G221,Reference!$I$2:$J$175,2,FALSE()),"Operations")</f>
        <v>Operations</v>
      </c>
    </row>
    <row r="222" spans="1:13" ht="15" customHeight="1" x14ac:dyDescent="0.25">
      <c r="A222" s="103"/>
      <c r="B222" s="104"/>
      <c r="C222" s="104"/>
      <c r="D222" s="103">
        <f>IF(OR(B222="",C222=""),"",IF(DATEDIF(C222,B222,"y")&gt;=1,DATEDIF(C222,B222,"y")&amp;IF(DATEDIF(C222,B222,"y")=1," year "," years ")&amp;DATEDIF(C222,B222,"ym")&amp;IF(DATEDIF(C222,B222,"ym")=1," month"," months"),IF(DATEDIF(C222,B222,"m")&gt;=1,DATEDIF(C222,B222,"m")&amp;IF(DATEDIF(C222,B222,"m")=1," month"," months"),DATEDIF(C222,B222,"d")&amp;IF(DATEDIF(C222,B222,"d")=1," day"," days"))))</f>
      </c>
      <c r="E222" s="103"/>
      <c r="F222" s="103"/>
      <c r="G222" s="103"/>
      <c r="H222" s="103"/>
      <c r="I222" s="103"/>
      <c r="J222" s="104"/>
      <c r="K222" s="103"/>
      <c r="L222" s="103"/>
      <c r="M222" s="105" t="str">
        <f>IFERROR(VLOOKUP(G222,Reference!$I$2:$J$175,2,FALSE()),"Operations")</f>
        <v>Operations</v>
      </c>
    </row>
    <row r="223" spans="1:13" ht="15" customHeight="1" x14ac:dyDescent="0.25">
      <c r="A223" s="100"/>
      <c r="B223" s="101"/>
      <c r="C223" s="101"/>
      <c r="D223" s="100">
        <f>IF(OR(B223="",C223=""),"",IF(DATEDIF(C223,B223,"y")&gt;=1,DATEDIF(C223,B223,"y")&amp;IF(DATEDIF(C223,B223,"y")=1," year "," years ")&amp;DATEDIF(C223,B223,"ym")&amp;IF(DATEDIF(C223,B223,"ym")=1," month"," months"),IF(DATEDIF(C223,B223,"m")&gt;=1,DATEDIF(C223,B223,"m")&amp;IF(DATEDIF(C223,B223,"m")=1," month"," months"),DATEDIF(C223,B223,"d")&amp;IF(DATEDIF(C223,B223,"d")=1," day"," days"))))</f>
      </c>
      <c r="E223" s="100"/>
      <c r="F223" s="100"/>
      <c r="G223" s="100"/>
      <c r="H223" s="100"/>
      <c r="I223" s="100"/>
      <c r="J223" s="101"/>
      <c r="K223" s="100"/>
      <c r="L223" s="100"/>
      <c r="M223" s="102" t="str">
        <f>IFERROR(VLOOKUP(G223,Reference!$I$2:$J$175,2,FALSE()),"Operations")</f>
        <v>Operations</v>
      </c>
    </row>
    <row r="224" spans="1:13" ht="15" customHeight="1" x14ac:dyDescent="0.25">
      <c r="A224" s="103"/>
      <c r="B224" s="104"/>
      <c r="C224" s="104"/>
      <c r="D224" s="103">
        <f>IF(OR(B224="",C224=""),"",IF(DATEDIF(C224,B224,"y")&gt;=1,DATEDIF(C224,B224,"y")&amp;IF(DATEDIF(C224,B224,"y")=1," year "," years ")&amp;DATEDIF(C224,B224,"ym")&amp;IF(DATEDIF(C224,B224,"ym")=1," month"," months"),IF(DATEDIF(C224,B224,"m")&gt;=1,DATEDIF(C224,B224,"m")&amp;IF(DATEDIF(C224,B224,"m")=1," month"," months"),DATEDIF(C224,B224,"d")&amp;IF(DATEDIF(C224,B224,"d")=1," day"," days"))))</f>
      </c>
      <c r="E224" s="103"/>
      <c r="F224" s="103"/>
      <c r="G224" s="103"/>
      <c r="H224" s="103"/>
      <c r="I224" s="103"/>
      <c r="J224" s="104"/>
      <c r="K224" s="103"/>
      <c r="L224" s="103"/>
      <c r="M224" s="105" t="str">
        <f>IFERROR(VLOOKUP(G224,Reference!$I$2:$J$175,2,FALSE()),"Operations")</f>
        <v>Operations</v>
      </c>
    </row>
    <row r="225" spans="1:13" ht="15" customHeight="1" x14ac:dyDescent="0.25">
      <c r="A225" s="100"/>
      <c r="B225" s="101"/>
      <c r="C225" s="101"/>
      <c r="D225" s="100">
        <f>IF(OR(B225="",C225=""),"",IF(DATEDIF(C225,B225,"y")&gt;=1,DATEDIF(C225,B225,"y")&amp;IF(DATEDIF(C225,B225,"y")=1," year "," years ")&amp;DATEDIF(C225,B225,"ym")&amp;IF(DATEDIF(C225,B225,"ym")=1," month"," months"),IF(DATEDIF(C225,B225,"m")&gt;=1,DATEDIF(C225,B225,"m")&amp;IF(DATEDIF(C225,B225,"m")=1," month"," months"),DATEDIF(C225,B225,"d")&amp;IF(DATEDIF(C225,B225,"d")=1," day"," days"))))</f>
      </c>
      <c r="E225" s="100"/>
      <c r="F225" s="100"/>
      <c r="G225" s="100"/>
      <c r="H225" s="100"/>
      <c r="I225" s="100"/>
      <c r="J225" s="101"/>
      <c r="K225" s="100"/>
      <c r="L225" s="100"/>
      <c r="M225" s="102" t="str">
        <f>IFERROR(VLOOKUP(G225,Reference!$I$2:$J$175,2,FALSE()),"Operations")</f>
        <v>Operations</v>
      </c>
    </row>
    <row r="226" spans="1:13" ht="15" customHeight="1" x14ac:dyDescent="0.25">
      <c r="A226" s="103"/>
      <c r="B226" s="104"/>
      <c r="C226" s="104"/>
      <c r="D226" s="103">
        <f>IF(OR(B226="",C226=""),"",IF(DATEDIF(C226,B226,"y")&gt;=1,DATEDIF(C226,B226,"y")&amp;IF(DATEDIF(C226,B226,"y")=1," year "," years ")&amp;DATEDIF(C226,B226,"ym")&amp;IF(DATEDIF(C226,B226,"ym")=1," month"," months"),IF(DATEDIF(C226,B226,"m")&gt;=1,DATEDIF(C226,B226,"m")&amp;IF(DATEDIF(C226,B226,"m")=1," month"," months"),DATEDIF(C226,B226,"d")&amp;IF(DATEDIF(C226,B226,"d")=1," day"," days"))))</f>
      </c>
      <c r="E226" s="103"/>
      <c r="F226" s="103"/>
      <c r="G226" s="103"/>
      <c r="H226" s="103"/>
      <c r="I226" s="103"/>
      <c r="J226" s="104"/>
      <c r="K226" s="103"/>
      <c r="L226" s="103"/>
      <c r="M226" s="105" t="str">
        <f>IFERROR(VLOOKUP(G226,Reference!$I$2:$J$175,2,FALSE()),"Operations")</f>
        <v>Operations</v>
      </c>
    </row>
    <row r="227" spans="1:13" ht="15" customHeight="1" x14ac:dyDescent="0.25">
      <c r="A227" s="100"/>
      <c r="B227" s="101"/>
      <c r="C227" s="101"/>
      <c r="D227" s="100">
        <f>IF(OR(B227="",C227=""),"",IF(DATEDIF(C227,B227,"y")&gt;=1,DATEDIF(C227,B227,"y")&amp;IF(DATEDIF(C227,B227,"y")=1," year "," years ")&amp;DATEDIF(C227,B227,"ym")&amp;IF(DATEDIF(C227,B227,"ym")=1," month"," months"),IF(DATEDIF(C227,B227,"m")&gt;=1,DATEDIF(C227,B227,"m")&amp;IF(DATEDIF(C227,B227,"m")=1," month"," months"),DATEDIF(C227,B227,"d")&amp;IF(DATEDIF(C227,B227,"d")=1," day"," days"))))</f>
      </c>
      <c r="E227" s="100"/>
      <c r="F227" s="100"/>
      <c r="G227" s="100"/>
      <c r="H227" s="100"/>
      <c r="I227" s="100"/>
      <c r="J227" s="101"/>
      <c r="K227" s="100"/>
      <c r="L227" s="100"/>
      <c r="M227" s="102" t="str">
        <f>IFERROR(VLOOKUP(G227,Reference!$I$2:$J$175,2,FALSE()),"Operations")</f>
        <v>Operations</v>
      </c>
    </row>
    <row r="228" spans="1:13" ht="15" customHeight="1" x14ac:dyDescent="0.25">
      <c r="A228" s="103"/>
      <c r="B228" s="104"/>
      <c r="C228" s="104"/>
      <c r="D228" s="103">
        <f>IF(OR(B228="",C228=""),"",IF(DATEDIF(C228,B228,"y")&gt;=1,DATEDIF(C228,B228,"y")&amp;IF(DATEDIF(C228,B228,"y")=1," year "," years ")&amp;DATEDIF(C228,B228,"ym")&amp;IF(DATEDIF(C228,B228,"ym")=1," month"," months"),IF(DATEDIF(C228,B228,"m")&gt;=1,DATEDIF(C228,B228,"m")&amp;IF(DATEDIF(C228,B228,"m")=1," month"," months"),DATEDIF(C228,B228,"d")&amp;IF(DATEDIF(C228,B228,"d")=1," day"," days"))))</f>
      </c>
      <c r="E228" s="103"/>
      <c r="F228" s="103"/>
      <c r="G228" s="103"/>
      <c r="H228" s="103"/>
      <c r="I228" s="103"/>
      <c r="J228" s="104"/>
      <c r="K228" s="103"/>
      <c r="L228" s="103"/>
      <c r="M228" s="105" t="str">
        <f>IFERROR(VLOOKUP(G228,Reference!$I$2:$J$175,2,FALSE()),"Operations")</f>
        <v>Operations</v>
      </c>
    </row>
    <row r="229" spans="1:13" ht="15" customHeight="1" x14ac:dyDescent="0.25">
      <c r="A229" s="100"/>
      <c r="B229" s="101"/>
      <c r="C229" s="101"/>
      <c r="D229" s="100">
        <f>IF(OR(B229="",C229=""),"",IF(DATEDIF(C229,B229,"y")&gt;=1,DATEDIF(C229,B229,"y")&amp;IF(DATEDIF(C229,B229,"y")=1," year "," years ")&amp;DATEDIF(C229,B229,"ym")&amp;IF(DATEDIF(C229,B229,"ym")=1," month"," months"),IF(DATEDIF(C229,B229,"m")&gt;=1,DATEDIF(C229,B229,"m")&amp;IF(DATEDIF(C229,B229,"m")=1," month"," months"),DATEDIF(C229,B229,"d")&amp;IF(DATEDIF(C229,B229,"d")=1," day"," days"))))</f>
      </c>
      <c r="E229" s="100"/>
      <c r="F229" s="100"/>
      <c r="G229" s="100"/>
      <c r="H229" s="100"/>
      <c r="I229" s="100"/>
      <c r="J229" s="101"/>
      <c r="K229" s="100"/>
      <c r="L229" s="100"/>
      <c r="M229" s="102" t="str">
        <f>IFERROR(VLOOKUP(G229,Reference!$I$2:$J$175,2,FALSE()),"Operations")</f>
        <v>Operations</v>
      </c>
    </row>
    <row r="230" spans="1:13" ht="15" customHeight="1" x14ac:dyDescent="0.25">
      <c r="A230" s="103"/>
      <c r="B230" s="104"/>
      <c r="C230" s="104"/>
      <c r="D230" s="103">
        <f>IF(OR(B230="",C230=""),"",IF(DATEDIF(C230,B230,"y")&gt;=1,DATEDIF(C230,B230,"y")&amp;IF(DATEDIF(C230,B230,"y")=1," year "," years ")&amp;DATEDIF(C230,B230,"ym")&amp;IF(DATEDIF(C230,B230,"ym")=1," month"," months"),IF(DATEDIF(C230,B230,"m")&gt;=1,DATEDIF(C230,B230,"m")&amp;IF(DATEDIF(C230,B230,"m")=1," month"," months"),DATEDIF(C230,B230,"d")&amp;IF(DATEDIF(C230,B230,"d")=1," day"," days"))))</f>
      </c>
      <c r="E230" s="103"/>
      <c r="F230" s="103"/>
      <c r="G230" s="103"/>
      <c r="H230" s="103"/>
      <c r="I230" s="103"/>
      <c r="J230" s="104"/>
      <c r="K230" s="103"/>
      <c r="L230" s="103"/>
      <c r="M230" s="105" t="str">
        <f>IFERROR(VLOOKUP(G230,Reference!$I$2:$J$175,2,FALSE()),"Operations")</f>
        <v>Operations</v>
      </c>
    </row>
    <row r="231" spans="1:13" ht="15" customHeight="1" x14ac:dyDescent="0.25">
      <c r="A231" s="100"/>
      <c r="B231" s="101"/>
      <c r="C231" s="101"/>
      <c r="D231" s="100">
        <f>IF(OR(B231="",C231=""),"",IF(DATEDIF(C231,B231,"y")&gt;=1,DATEDIF(C231,B231,"y")&amp;IF(DATEDIF(C231,B231,"y")=1," year "," years ")&amp;DATEDIF(C231,B231,"ym")&amp;IF(DATEDIF(C231,B231,"ym")=1," month"," months"),IF(DATEDIF(C231,B231,"m")&gt;=1,DATEDIF(C231,B231,"m")&amp;IF(DATEDIF(C231,B231,"m")=1," month"," months"),DATEDIF(C231,B231,"d")&amp;IF(DATEDIF(C231,B231,"d")=1," day"," days"))))</f>
      </c>
      <c r="E231" s="100"/>
      <c r="F231" s="100"/>
      <c r="G231" s="100"/>
      <c r="H231" s="100"/>
      <c r="I231" s="100"/>
      <c r="J231" s="101"/>
      <c r="K231" s="100"/>
      <c r="L231" s="100"/>
      <c r="M231" s="102" t="str">
        <f>IFERROR(VLOOKUP(G231,Reference!$I$2:$J$175,2,FALSE()),"Operations")</f>
        <v>Operations</v>
      </c>
    </row>
    <row r="232" spans="1:13" ht="15" customHeight="1" x14ac:dyDescent="0.25">
      <c r="A232" s="103"/>
      <c r="B232" s="104"/>
      <c r="C232" s="104"/>
      <c r="D232" s="103">
        <f>IF(OR(B232="",C232=""),"",IF(DATEDIF(C232,B232,"y")&gt;=1,DATEDIF(C232,B232,"y")&amp;IF(DATEDIF(C232,B232,"y")=1," year "," years ")&amp;DATEDIF(C232,B232,"ym")&amp;IF(DATEDIF(C232,B232,"ym")=1," month"," months"),IF(DATEDIF(C232,B232,"m")&gt;=1,DATEDIF(C232,B232,"m")&amp;IF(DATEDIF(C232,B232,"m")=1," month"," months"),DATEDIF(C232,B232,"d")&amp;IF(DATEDIF(C232,B232,"d")=1," day"," days"))))</f>
      </c>
      <c r="E232" s="103"/>
      <c r="F232" s="103"/>
      <c r="G232" s="103"/>
      <c r="H232" s="103"/>
      <c r="I232" s="103"/>
      <c r="J232" s="104"/>
      <c r="K232" s="103"/>
      <c r="L232" s="103"/>
      <c r="M232" s="105" t="str">
        <f>IFERROR(VLOOKUP(G232,Reference!$I$2:$J$175,2,FALSE()),"Operations")</f>
        <v>Operations</v>
      </c>
    </row>
    <row r="233" spans="1:13" ht="15" customHeight="1" x14ac:dyDescent="0.25">
      <c r="A233" s="100"/>
      <c r="B233" s="101"/>
      <c r="C233" s="101"/>
      <c r="D233" s="100">
        <f>IF(OR(B233="",C233=""),"",IF(DATEDIF(C233,B233,"y")&gt;=1,DATEDIF(C233,B233,"y")&amp;IF(DATEDIF(C233,B233,"y")=1," year "," years ")&amp;DATEDIF(C233,B233,"ym")&amp;IF(DATEDIF(C233,B233,"ym")=1," month"," months"),IF(DATEDIF(C233,B233,"m")&gt;=1,DATEDIF(C233,B233,"m")&amp;IF(DATEDIF(C233,B233,"m")=1," month"," months"),DATEDIF(C233,B233,"d")&amp;IF(DATEDIF(C233,B233,"d")=1," day"," days"))))</f>
      </c>
      <c r="E233" s="100"/>
      <c r="F233" s="100"/>
      <c r="G233" s="100"/>
      <c r="H233" s="100"/>
      <c r="I233" s="100"/>
      <c r="J233" s="101"/>
      <c r="K233" s="100"/>
      <c r="L233" s="100"/>
      <c r="M233" s="102" t="str">
        <f>IFERROR(VLOOKUP(G233,Reference!$I$2:$J$175,2,FALSE()),"Operations")</f>
        <v>Operations</v>
      </c>
    </row>
    <row r="234" spans="1:13" ht="15" customHeight="1" x14ac:dyDescent="0.25">
      <c r="A234" s="103"/>
      <c r="B234" s="104"/>
      <c r="C234" s="104"/>
      <c r="D234" s="103">
        <f>IF(OR(B234="",C234=""),"",IF(DATEDIF(C234,B234,"y")&gt;=1,DATEDIF(C234,B234,"y")&amp;IF(DATEDIF(C234,B234,"y")=1," year "," years ")&amp;DATEDIF(C234,B234,"ym")&amp;IF(DATEDIF(C234,B234,"ym")=1," month"," months"),IF(DATEDIF(C234,B234,"m")&gt;=1,DATEDIF(C234,B234,"m")&amp;IF(DATEDIF(C234,B234,"m")=1," month"," months"),DATEDIF(C234,B234,"d")&amp;IF(DATEDIF(C234,B234,"d")=1," day"," days"))))</f>
      </c>
      <c r="E234" s="103"/>
      <c r="F234" s="103"/>
      <c r="G234" s="103"/>
      <c r="H234" s="103"/>
      <c r="I234" s="103"/>
      <c r="J234" s="104"/>
      <c r="K234" s="103"/>
      <c r="L234" s="103"/>
      <c r="M234" s="105" t="str">
        <f>IFERROR(VLOOKUP(G234,Reference!$I$2:$J$175,2,FALSE()),"Operations")</f>
        <v>Operations</v>
      </c>
    </row>
    <row r="235" spans="1:13" ht="15" customHeight="1" x14ac:dyDescent="0.25">
      <c r="A235" s="100"/>
      <c r="B235" s="101"/>
      <c r="C235" s="101"/>
      <c r="D235" s="100">
        <f>IF(OR(B235="",C235=""),"",IF(DATEDIF(C235,B235,"y")&gt;=1,DATEDIF(C235,B235,"y")&amp;IF(DATEDIF(C235,B235,"y")=1," year "," years ")&amp;DATEDIF(C235,B235,"ym")&amp;IF(DATEDIF(C235,B235,"ym")=1," month"," months"),IF(DATEDIF(C235,B235,"m")&gt;=1,DATEDIF(C235,B235,"m")&amp;IF(DATEDIF(C235,B235,"m")=1," month"," months"),DATEDIF(C235,B235,"d")&amp;IF(DATEDIF(C235,B235,"d")=1," day"," days"))))</f>
      </c>
      <c r="E235" s="100"/>
      <c r="F235" s="100"/>
      <c r="G235" s="100"/>
      <c r="H235" s="100"/>
      <c r="I235" s="100"/>
      <c r="J235" s="101"/>
      <c r="K235" s="100"/>
      <c r="L235" s="100"/>
      <c r="M235" s="102" t="str">
        <f>IFERROR(VLOOKUP(G235,Reference!$I$2:$J$175,2,FALSE()),"Operations")</f>
        <v>Operations</v>
      </c>
    </row>
    <row r="236" spans="1:13" ht="15" customHeight="1" x14ac:dyDescent="0.25">
      <c r="A236" s="103"/>
      <c r="B236" s="104"/>
      <c r="C236" s="104"/>
      <c r="D236" s="103">
        <f>IF(OR(B236="",C236=""),"",IF(DATEDIF(C236,B236,"y")&gt;=1,DATEDIF(C236,B236,"y")&amp;IF(DATEDIF(C236,B236,"y")=1," year "," years ")&amp;DATEDIF(C236,B236,"ym")&amp;IF(DATEDIF(C236,B236,"ym")=1," month"," months"),IF(DATEDIF(C236,B236,"m")&gt;=1,DATEDIF(C236,B236,"m")&amp;IF(DATEDIF(C236,B236,"m")=1," month"," months"),DATEDIF(C236,B236,"d")&amp;IF(DATEDIF(C236,B236,"d")=1," day"," days"))))</f>
      </c>
      <c r="E236" s="103"/>
      <c r="F236" s="103"/>
      <c r="G236" s="103"/>
      <c r="H236" s="103"/>
      <c r="I236" s="103"/>
      <c r="J236" s="104"/>
      <c r="K236" s="103"/>
      <c r="L236" s="103"/>
      <c r="M236" s="105" t="str">
        <f>IFERROR(VLOOKUP(G236,Reference!$I$2:$J$175,2,FALSE()),"Operations")</f>
        <v>Operations</v>
      </c>
    </row>
    <row r="237" spans="1:13" ht="15" customHeight="1" x14ac:dyDescent="0.25">
      <c r="A237" s="100"/>
      <c r="B237" s="101"/>
      <c r="C237" s="101"/>
      <c r="D237" s="100">
        <f>IF(OR(B237="",C237=""),"",IF(DATEDIF(C237,B237,"y")&gt;=1,DATEDIF(C237,B237,"y")&amp;IF(DATEDIF(C237,B237,"y")=1," year "," years ")&amp;DATEDIF(C237,B237,"ym")&amp;IF(DATEDIF(C237,B237,"ym")=1," month"," months"),IF(DATEDIF(C237,B237,"m")&gt;=1,DATEDIF(C237,B237,"m")&amp;IF(DATEDIF(C237,B237,"m")=1," month"," months"),DATEDIF(C237,B237,"d")&amp;IF(DATEDIF(C237,B237,"d")=1," day"," days"))))</f>
      </c>
      <c r="E237" s="100"/>
      <c r="F237" s="100"/>
      <c r="G237" s="100"/>
      <c r="H237" s="100"/>
      <c r="I237" s="100"/>
      <c r="J237" s="101"/>
      <c r="K237" s="100"/>
      <c r="L237" s="100"/>
      <c r="M237" s="102" t="str">
        <f>IFERROR(VLOOKUP(G237,Reference!$I$2:$J$175,2,FALSE()),"Operations")</f>
        <v>Operations</v>
      </c>
    </row>
    <row r="238" spans="1:13" ht="15" customHeight="1" x14ac:dyDescent="0.25">
      <c r="A238" s="103"/>
      <c r="B238" s="104"/>
      <c r="C238" s="104"/>
      <c r="D238" s="103">
        <f>IF(OR(B238="",C238=""),"",IF(DATEDIF(C238,B238,"y")&gt;=1,DATEDIF(C238,B238,"y")&amp;IF(DATEDIF(C238,B238,"y")=1," year "," years ")&amp;DATEDIF(C238,B238,"ym")&amp;IF(DATEDIF(C238,B238,"ym")=1," month"," months"),IF(DATEDIF(C238,B238,"m")&gt;=1,DATEDIF(C238,B238,"m")&amp;IF(DATEDIF(C238,B238,"m")=1," month"," months"),DATEDIF(C238,B238,"d")&amp;IF(DATEDIF(C238,B238,"d")=1," day"," days"))))</f>
      </c>
      <c r="E238" s="103"/>
      <c r="F238" s="103"/>
      <c r="G238" s="103"/>
      <c r="H238" s="103"/>
      <c r="I238" s="103"/>
      <c r="J238" s="104"/>
      <c r="K238" s="103"/>
      <c r="L238" s="103"/>
      <c r="M238" s="105" t="str">
        <f>IFERROR(VLOOKUP(G238,Reference!$I$2:$J$175,2,FALSE()),"Operations")</f>
        <v>Operations</v>
      </c>
    </row>
    <row r="239" spans="1:13" ht="15" customHeight="1" x14ac:dyDescent="0.25">
      <c r="A239" s="100"/>
      <c r="B239" s="101"/>
      <c r="C239" s="101"/>
      <c r="D239" s="100">
        <f>IF(OR(B239="",C239=""),"",IF(DATEDIF(C239,B239,"y")&gt;=1,DATEDIF(C239,B239,"y")&amp;IF(DATEDIF(C239,B239,"y")=1," year "," years ")&amp;DATEDIF(C239,B239,"ym")&amp;IF(DATEDIF(C239,B239,"ym")=1," month"," months"),IF(DATEDIF(C239,B239,"m")&gt;=1,DATEDIF(C239,B239,"m")&amp;IF(DATEDIF(C239,B239,"m")=1," month"," months"),DATEDIF(C239,B239,"d")&amp;IF(DATEDIF(C239,B239,"d")=1," day"," days"))))</f>
      </c>
      <c r="E239" s="100"/>
      <c r="F239" s="100"/>
      <c r="G239" s="100"/>
      <c r="H239" s="100"/>
      <c r="I239" s="100"/>
      <c r="J239" s="101"/>
      <c r="K239" s="100"/>
      <c r="L239" s="100"/>
      <c r="M239" s="102" t="str">
        <f>IFERROR(VLOOKUP(G239,Reference!$I$2:$J$175,2,FALSE()),"Operations")</f>
        <v>Operations</v>
      </c>
    </row>
    <row r="240" spans="1:13" ht="15" customHeight="1" x14ac:dyDescent="0.25">
      <c r="A240" s="103"/>
      <c r="B240" s="104"/>
      <c r="C240" s="104"/>
      <c r="D240" s="103">
        <f>IF(OR(B240="",C240=""),"",IF(DATEDIF(C240,B240,"y")&gt;=1,DATEDIF(C240,B240,"y")&amp;IF(DATEDIF(C240,B240,"y")=1," year "," years ")&amp;DATEDIF(C240,B240,"ym")&amp;IF(DATEDIF(C240,B240,"ym")=1," month"," months"),IF(DATEDIF(C240,B240,"m")&gt;=1,DATEDIF(C240,B240,"m")&amp;IF(DATEDIF(C240,B240,"m")=1," month"," months"),DATEDIF(C240,B240,"d")&amp;IF(DATEDIF(C240,B240,"d")=1," day"," days"))))</f>
      </c>
      <c r="E240" s="103"/>
      <c r="F240" s="103"/>
      <c r="G240" s="103"/>
      <c r="H240" s="103"/>
      <c r="I240" s="103"/>
      <c r="J240" s="104"/>
      <c r="K240" s="103"/>
      <c r="L240" s="103"/>
      <c r="M240" s="105" t="str">
        <f>IFERROR(VLOOKUP(G240,Reference!$I$2:$J$175,2,FALSE()),"Operations")</f>
        <v>Operations</v>
      </c>
    </row>
    <row r="241" spans="1:13" ht="15" customHeight="1" x14ac:dyDescent="0.25">
      <c r="A241" s="100"/>
      <c r="B241" s="101"/>
      <c r="C241" s="101"/>
      <c r="D241" s="100">
        <f>IF(OR(B241="",C241=""),"",IF(DATEDIF(C241,B241,"y")&gt;=1,DATEDIF(C241,B241,"y")&amp;IF(DATEDIF(C241,B241,"y")=1," year "," years ")&amp;DATEDIF(C241,B241,"ym")&amp;IF(DATEDIF(C241,B241,"ym")=1," month"," months"),IF(DATEDIF(C241,B241,"m")&gt;=1,DATEDIF(C241,B241,"m")&amp;IF(DATEDIF(C241,B241,"m")=1," month"," months"),DATEDIF(C241,B241,"d")&amp;IF(DATEDIF(C241,B241,"d")=1," day"," days"))))</f>
      </c>
      <c r="E241" s="100"/>
      <c r="F241" s="100"/>
      <c r="G241" s="100"/>
      <c r="H241" s="100"/>
      <c r="I241" s="100"/>
      <c r="J241" s="101"/>
      <c r="K241" s="100"/>
      <c r="L241" s="100"/>
      <c r="M241" s="102" t="str">
        <f>IFERROR(VLOOKUP(G241,Reference!$I$2:$J$175,2,FALSE()),"Operations")</f>
        <v>Operations</v>
      </c>
    </row>
    <row r="242" spans="1:13" ht="15" customHeight="1" x14ac:dyDescent="0.25">
      <c r="A242" s="103"/>
      <c r="B242" s="104"/>
      <c r="C242" s="104"/>
      <c r="D242" s="103">
        <f>IF(OR(B242="",C242=""),"",IF(DATEDIF(C242,B242,"y")&gt;=1,DATEDIF(C242,B242,"y")&amp;IF(DATEDIF(C242,B242,"y")=1," year "," years ")&amp;DATEDIF(C242,B242,"ym")&amp;IF(DATEDIF(C242,B242,"ym")=1," month"," months"),IF(DATEDIF(C242,B242,"m")&gt;=1,DATEDIF(C242,B242,"m")&amp;IF(DATEDIF(C242,B242,"m")=1," month"," months"),DATEDIF(C242,B242,"d")&amp;IF(DATEDIF(C242,B242,"d")=1," day"," days"))))</f>
      </c>
      <c r="E242" s="103"/>
      <c r="F242" s="103"/>
      <c r="G242" s="103"/>
      <c r="H242" s="103"/>
      <c r="I242" s="103"/>
      <c r="J242" s="104"/>
      <c r="K242" s="103"/>
      <c r="L242" s="103"/>
      <c r="M242" s="105" t="str">
        <f>IFERROR(VLOOKUP(G242,Reference!$I$2:$J$175,2,FALSE()),"Operations")</f>
        <v>Operations</v>
      </c>
    </row>
    <row r="243" spans="1:13" ht="15" customHeight="1" x14ac:dyDescent="0.25">
      <c r="A243" s="106" t="s">
        <v>163</v>
      </c>
      <c r="B243" s="107">
        <f>COUNTA(A213:A242)</f>
        <v>0</v>
      </c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</row>
    <row r="244" spans="1:13" ht="6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</row>
    <row r="245" spans="1:13" ht="21.75" customHeight="1" x14ac:dyDescent="0.25">
      <c r="A245" s="163" t="s">
        <v>170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</row>
    <row r="246" spans="1:13" ht="19.5" customHeight="1" x14ac:dyDescent="0.25">
      <c r="A246" s="64" t="s">
        <v>151</v>
      </c>
      <c r="B246" s="64" t="s">
        <v>152</v>
      </c>
      <c r="C246" s="64" t="s">
        <v>153</v>
      </c>
      <c r="D246" s="64" t="s">
        <v>154</v>
      </c>
      <c r="E246" s="64" t="s">
        <v>155</v>
      </c>
      <c r="F246" s="64" t="s">
        <v>156</v>
      </c>
      <c r="G246" s="64" t="s">
        <v>157</v>
      </c>
      <c r="H246" s="64" t="s">
        <v>158</v>
      </c>
      <c r="I246" s="64" t="s">
        <v>159</v>
      </c>
      <c r="J246" s="64" t="s">
        <v>160</v>
      </c>
      <c r="K246" s="64" t="s">
        <v>134</v>
      </c>
      <c r="L246" s="64" t="s">
        <v>161</v>
      </c>
      <c r="M246" s="64" t="s">
        <v>162</v>
      </c>
    </row>
    <row r="247" spans="1:13" ht="15" customHeight="1" x14ac:dyDescent="0.25">
      <c r="A247" s="100"/>
      <c r="B247" s="101"/>
      <c r="C247" s="101"/>
      <c r="D247" s="100">
        <f>IF(OR(B247="",C247=""),"",IF(DATEDIF(C247,B247,"y")&gt;=1,DATEDIF(C247,B247,"y")&amp;IF(DATEDIF(C247,B247,"y")=1," year "," years ")&amp;DATEDIF(C247,B247,"ym")&amp;IF(DATEDIF(C247,B247,"ym")=1," month"," months"),IF(DATEDIF(C247,B247,"m")&gt;=1,DATEDIF(C247,B247,"m")&amp;IF(DATEDIF(C247,B247,"m")=1," month"," months"),DATEDIF(C247,B247,"d")&amp;IF(DATEDIF(C247,B247,"d")=1," day"," days"))))</f>
      </c>
      <c r="E247" s="100"/>
      <c r="F247" s="100"/>
      <c r="G247" s="100"/>
      <c r="H247" s="100"/>
      <c r="I247" s="100"/>
      <c r="J247" s="101"/>
      <c r="K247" s="100"/>
      <c r="L247" s="100"/>
      <c r="M247" s="102" t="str">
        <f>IFERROR(VLOOKUP(G247,Reference!$I$2:$J$175,2,FALSE()),"Operations")</f>
        <v>Operations</v>
      </c>
    </row>
    <row r="248" spans="1:13" ht="15" customHeight="1" x14ac:dyDescent="0.25">
      <c r="A248" s="103"/>
      <c r="B248" s="104"/>
      <c r="C248" s="104"/>
      <c r="D248" s="103">
        <f>IF(OR(B248="",C248=""),"",IF(DATEDIF(C248,B248,"y")&gt;=1,DATEDIF(C248,B248,"y")&amp;IF(DATEDIF(C248,B248,"y")=1," year "," years ")&amp;DATEDIF(C248,B248,"ym")&amp;IF(DATEDIF(C248,B248,"ym")=1," month"," months"),IF(DATEDIF(C248,B248,"m")&gt;=1,DATEDIF(C248,B248,"m")&amp;IF(DATEDIF(C248,B248,"m")=1," month"," months"),DATEDIF(C248,B248,"d")&amp;IF(DATEDIF(C248,B248,"d")=1," day"," days"))))</f>
      </c>
      <c r="E248" s="103"/>
      <c r="F248" s="103"/>
      <c r="G248" s="103"/>
      <c r="H248" s="103"/>
      <c r="I248" s="103"/>
      <c r="J248" s="104"/>
      <c r="K248" s="103"/>
      <c r="L248" s="103"/>
      <c r="M248" s="105" t="str">
        <f>IFERROR(VLOOKUP(G248,Reference!$I$2:$J$175,2,FALSE()),"Operations")</f>
        <v>Operations</v>
      </c>
    </row>
    <row r="249" spans="1:13" ht="15" customHeight="1" x14ac:dyDescent="0.25">
      <c r="A249" s="100"/>
      <c r="B249" s="101"/>
      <c r="C249" s="101"/>
      <c r="D249" s="100">
        <f>IF(OR(B249="",C249=""),"",IF(DATEDIF(C249,B249,"y")&gt;=1,DATEDIF(C249,B249,"y")&amp;IF(DATEDIF(C249,B249,"y")=1," year "," years ")&amp;DATEDIF(C249,B249,"ym")&amp;IF(DATEDIF(C249,B249,"ym")=1," month"," months"),IF(DATEDIF(C249,B249,"m")&gt;=1,DATEDIF(C249,B249,"m")&amp;IF(DATEDIF(C249,B249,"m")=1," month"," months"),DATEDIF(C249,B249,"d")&amp;IF(DATEDIF(C249,B249,"d")=1," day"," days"))))</f>
      </c>
      <c r="E249" s="100"/>
      <c r="F249" s="100"/>
      <c r="G249" s="100"/>
      <c r="H249" s="100"/>
      <c r="I249" s="100"/>
      <c r="J249" s="101"/>
      <c r="K249" s="100"/>
      <c r="L249" s="100"/>
      <c r="M249" s="102" t="str">
        <f>IFERROR(VLOOKUP(G249,Reference!$I$2:$J$175,2,FALSE()),"Operations")</f>
        <v>Operations</v>
      </c>
    </row>
    <row r="250" spans="1:13" ht="15" customHeight="1" x14ac:dyDescent="0.25">
      <c r="A250" s="103"/>
      <c r="B250" s="104"/>
      <c r="C250" s="104"/>
      <c r="D250" s="103">
        <f>IF(OR(B250="",C250=""),"",IF(DATEDIF(C250,B250,"y")&gt;=1,DATEDIF(C250,B250,"y")&amp;IF(DATEDIF(C250,B250,"y")=1," year "," years ")&amp;DATEDIF(C250,B250,"ym")&amp;IF(DATEDIF(C250,B250,"ym")=1," month"," months"),IF(DATEDIF(C250,B250,"m")&gt;=1,DATEDIF(C250,B250,"m")&amp;IF(DATEDIF(C250,B250,"m")=1," month"," months"),DATEDIF(C250,B250,"d")&amp;IF(DATEDIF(C250,B250,"d")=1," day"," days"))))</f>
      </c>
      <c r="E250" s="103"/>
      <c r="F250" s="103"/>
      <c r="G250" s="103"/>
      <c r="H250" s="103"/>
      <c r="I250" s="103"/>
      <c r="J250" s="104"/>
      <c r="K250" s="103"/>
      <c r="L250" s="103"/>
      <c r="M250" s="105" t="str">
        <f>IFERROR(VLOOKUP(G250,Reference!$I$2:$J$175,2,FALSE()),"Operations")</f>
        <v>Operations</v>
      </c>
    </row>
    <row r="251" spans="1:13" ht="15" customHeight="1" x14ac:dyDescent="0.25">
      <c r="A251" s="100"/>
      <c r="B251" s="101"/>
      <c r="C251" s="101"/>
      <c r="D251" s="100">
        <f>IF(OR(B251="",C251=""),"",IF(DATEDIF(C251,B251,"y")&gt;=1,DATEDIF(C251,B251,"y")&amp;IF(DATEDIF(C251,B251,"y")=1," year "," years ")&amp;DATEDIF(C251,B251,"ym")&amp;IF(DATEDIF(C251,B251,"ym")=1," month"," months"),IF(DATEDIF(C251,B251,"m")&gt;=1,DATEDIF(C251,B251,"m")&amp;IF(DATEDIF(C251,B251,"m")=1," month"," months"),DATEDIF(C251,B251,"d")&amp;IF(DATEDIF(C251,B251,"d")=1," day"," days"))))</f>
      </c>
      <c r="E251" s="100"/>
      <c r="F251" s="100"/>
      <c r="G251" s="100"/>
      <c r="H251" s="100"/>
      <c r="I251" s="100"/>
      <c r="J251" s="101"/>
      <c r="K251" s="100"/>
      <c r="L251" s="100"/>
      <c r="M251" s="102" t="str">
        <f>IFERROR(VLOOKUP(G251,Reference!$I$2:$J$175,2,FALSE()),"Operations")</f>
        <v>Operations</v>
      </c>
    </row>
    <row r="252" spans="1:13" ht="15" customHeight="1" x14ac:dyDescent="0.25">
      <c r="A252" s="103"/>
      <c r="B252" s="104"/>
      <c r="C252" s="104"/>
      <c r="D252" s="103">
        <f>IF(OR(B252="",C252=""),"",IF(DATEDIF(C252,B252,"y")&gt;=1,DATEDIF(C252,B252,"y")&amp;IF(DATEDIF(C252,B252,"y")=1," year "," years ")&amp;DATEDIF(C252,B252,"ym")&amp;IF(DATEDIF(C252,B252,"ym")=1," month"," months"),IF(DATEDIF(C252,B252,"m")&gt;=1,DATEDIF(C252,B252,"m")&amp;IF(DATEDIF(C252,B252,"m")=1," month"," months"),DATEDIF(C252,B252,"d")&amp;IF(DATEDIF(C252,B252,"d")=1," day"," days"))))</f>
      </c>
      <c r="E252" s="103"/>
      <c r="F252" s="103"/>
      <c r="G252" s="103"/>
      <c r="H252" s="103"/>
      <c r="I252" s="103"/>
      <c r="J252" s="104"/>
      <c r="K252" s="103"/>
      <c r="L252" s="103"/>
      <c r="M252" s="105" t="str">
        <f>IFERROR(VLOOKUP(G252,Reference!$I$2:$J$175,2,FALSE()),"Operations")</f>
        <v>Operations</v>
      </c>
    </row>
    <row r="253" spans="1:13" ht="15" customHeight="1" x14ac:dyDescent="0.25">
      <c r="A253" s="100"/>
      <c r="B253" s="101"/>
      <c r="C253" s="101"/>
      <c r="D253" s="100">
        <f>IF(OR(B253="",C253=""),"",IF(DATEDIF(C253,B253,"y")&gt;=1,DATEDIF(C253,B253,"y")&amp;IF(DATEDIF(C253,B253,"y")=1," year "," years ")&amp;DATEDIF(C253,B253,"ym")&amp;IF(DATEDIF(C253,B253,"ym")=1," month"," months"),IF(DATEDIF(C253,B253,"m")&gt;=1,DATEDIF(C253,B253,"m")&amp;IF(DATEDIF(C253,B253,"m")=1," month"," months"),DATEDIF(C253,B253,"d")&amp;IF(DATEDIF(C253,B253,"d")=1," day"," days"))))</f>
      </c>
      <c r="E253" s="100"/>
      <c r="F253" s="100"/>
      <c r="G253" s="100"/>
      <c r="H253" s="100"/>
      <c r="I253" s="100"/>
      <c r="J253" s="101"/>
      <c r="K253" s="100"/>
      <c r="L253" s="100"/>
      <c r="M253" s="102" t="str">
        <f>IFERROR(VLOOKUP(G253,Reference!$I$2:$J$175,2,FALSE()),"Operations")</f>
        <v>Operations</v>
      </c>
    </row>
    <row r="254" spans="1:13" ht="15" customHeight="1" x14ac:dyDescent="0.25">
      <c r="A254" s="103"/>
      <c r="B254" s="104"/>
      <c r="C254" s="104"/>
      <c r="D254" s="103">
        <f>IF(OR(B254="",C254=""),"",IF(DATEDIF(C254,B254,"y")&gt;=1,DATEDIF(C254,B254,"y")&amp;IF(DATEDIF(C254,B254,"y")=1," year "," years ")&amp;DATEDIF(C254,B254,"ym")&amp;IF(DATEDIF(C254,B254,"ym")=1," month"," months"),IF(DATEDIF(C254,B254,"m")&gt;=1,DATEDIF(C254,B254,"m")&amp;IF(DATEDIF(C254,B254,"m")=1," month"," months"),DATEDIF(C254,B254,"d")&amp;IF(DATEDIF(C254,B254,"d")=1," day"," days"))))</f>
      </c>
      <c r="E254" s="103"/>
      <c r="F254" s="103"/>
      <c r="G254" s="103"/>
      <c r="H254" s="103"/>
      <c r="I254" s="103"/>
      <c r="J254" s="104"/>
      <c r="K254" s="103"/>
      <c r="L254" s="103"/>
      <c r="M254" s="105" t="str">
        <f>IFERROR(VLOOKUP(G254,Reference!$I$2:$J$175,2,FALSE()),"Operations")</f>
        <v>Operations</v>
      </c>
    </row>
    <row r="255" spans="1:13" ht="15" customHeight="1" x14ac:dyDescent="0.25">
      <c r="A255" s="100"/>
      <c r="B255" s="101"/>
      <c r="C255" s="101"/>
      <c r="D255" s="100">
        <f>IF(OR(B255="",C255=""),"",IF(DATEDIF(C255,B255,"y")&gt;=1,DATEDIF(C255,B255,"y")&amp;IF(DATEDIF(C255,B255,"y")=1," year "," years ")&amp;DATEDIF(C255,B255,"ym")&amp;IF(DATEDIF(C255,B255,"ym")=1," month"," months"),IF(DATEDIF(C255,B255,"m")&gt;=1,DATEDIF(C255,B255,"m")&amp;IF(DATEDIF(C255,B255,"m")=1," month"," months"),DATEDIF(C255,B255,"d")&amp;IF(DATEDIF(C255,B255,"d")=1," day"," days"))))</f>
      </c>
      <c r="E255" s="100"/>
      <c r="F255" s="100"/>
      <c r="G255" s="100"/>
      <c r="H255" s="100"/>
      <c r="I255" s="100"/>
      <c r="J255" s="101"/>
      <c r="K255" s="100"/>
      <c r="L255" s="100"/>
      <c r="M255" s="102" t="str">
        <f>IFERROR(VLOOKUP(G255,Reference!$I$2:$J$175,2,FALSE()),"Operations")</f>
        <v>Operations</v>
      </c>
    </row>
    <row r="256" spans="1:13" ht="15" customHeight="1" x14ac:dyDescent="0.25">
      <c r="A256" s="103"/>
      <c r="B256" s="104"/>
      <c r="C256" s="104"/>
      <c r="D256" s="103">
        <f>IF(OR(B256="",C256=""),"",IF(DATEDIF(C256,B256,"y")&gt;=1,DATEDIF(C256,B256,"y")&amp;IF(DATEDIF(C256,B256,"y")=1," year "," years ")&amp;DATEDIF(C256,B256,"ym")&amp;IF(DATEDIF(C256,B256,"ym")=1," month"," months"),IF(DATEDIF(C256,B256,"m")&gt;=1,DATEDIF(C256,B256,"m")&amp;IF(DATEDIF(C256,B256,"m")=1," month"," months"),DATEDIF(C256,B256,"d")&amp;IF(DATEDIF(C256,B256,"d")=1," day"," days"))))</f>
      </c>
      <c r="E256" s="103"/>
      <c r="F256" s="103"/>
      <c r="G256" s="103"/>
      <c r="H256" s="103"/>
      <c r="I256" s="103"/>
      <c r="J256" s="104"/>
      <c r="K256" s="103"/>
      <c r="L256" s="103"/>
      <c r="M256" s="105" t="str">
        <f>IFERROR(VLOOKUP(G256,Reference!$I$2:$J$175,2,FALSE()),"Operations")</f>
        <v>Operations</v>
      </c>
    </row>
    <row r="257" spans="1:13" ht="15" customHeight="1" x14ac:dyDescent="0.25">
      <c r="A257" s="100"/>
      <c r="B257" s="101"/>
      <c r="C257" s="101"/>
      <c r="D257" s="100">
        <f>IF(OR(B257="",C257=""),"",IF(DATEDIF(C257,B257,"y")&gt;=1,DATEDIF(C257,B257,"y")&amp;IF(DATEDIF(C257,B257,"y")=1," year "," years ")&amp;DATEDIF(C257,B257,"ym")&amp;IF(DATEDIF(C257,B257,"ym")=1," month"," months"),IF(DATEDIF(C257,B257,"m")&gt;=1,DATEDIF(C257,B257,"m")&amp;IF(DATEDIF(C257,B257,"m")=1," month"," months"),DATEDIF(C257,B257,"d")&amp;IF(DATEDIF(C257,B257,"d")=1," day"," days"))))</f>
      </c>
      <c r="E257" s="100"/>
      <c r="F257" s="100"/>
      <c r="G257" s="100"/>
      <c r="H257" s="100"/>
      <c r="I257" s="100"/>
      <c r="J257" s="101"/>
      <c r="K257" s="100"/>
      <c r="L257" s="100"/>
      <c r="M257" s="102" t="str">
        <f>IFERROR(VLOOKUP(G257,Reference!$I$2:$J$175,2,FALSE()),"Operations")</f>
        <v>Operations</v>
      </c>
    </row>
    <row r="258" spans="1:13" ht="15" customHeight="1" x14ac:dyDescent="0.25">
      <c r="A258" s="103"/>
      <c r="B258" s="104"/>
      <c r="C258" s="104"/>
      <c r="D258" s="103">
        <f>IF(OR(B258="",C258=""),"",IF(DATEDIF(C258,B258,"y")&gt;=1,DATEDIF(C258,B258,"y")&amp;IF(DATEDIF(C258,B258,"y")=1," year "," years ")&amp;DATEDIF(C258,B258,"ym")&amp;IF(DATEDIF(C258,B258,"ym")=1," month"," months"),IF(DATEDIF(C258,B258,"m")&gt;=1,DATEDIF(C258,B258,"m")&amp;IF(DATEDIF(C258,B258,"m")=1," month"," months"),DATEDIF(C258,B258,"d")&amp;IF(DATEDIF(C258,B258,"d")=1," day"," days"))))</f>
      </c>
      <c r="E258" s="103"/>
      <c r="F258" s="103"/>
      <c r="G258" s="103"/>
      <c r="H258" s="103"/>
      <c r="I258" s="103"/>
      <c r="J258" s="104"/>
      <c r="K258" s="103"/>
      <c r="L258" s="103"/>
      <c r="M258" s="105" t="str">
        <f>IFERROR(VLOOKUP(G258,Reference!$I$2:$J$175,2,FALSE()),"Operations")</f>
        <v>Operations</v>
      </c>
    </row>
    <row r="259" spans="1:13" ht="15" customHeight="1" x14ac:dyDescent="0.25">
      <c r="A259" s="100"/>
      <c r="B259" s="101"/>
      <c r="C259" s="101"/>
      <c r="D259" s="100">
        <f>IF(OR(B259="",C259=""),"",IF(DATEDIF(C259,B259,"y")&gt;=1,DATEDIF(C259,B259,"y")&amp;IF(DATEDIF(C259,B259,"y")=1," year "," years ")&amp;DATEDIF(C259,B259,"ym")&amp;IF(DATEDIF(C259,B259,"ym")=1," month"," months"),IF(DATEDIF(C259,B259,"m")&gt;=1,DATEDIF(C259,B259,"m")&amp;IF(DATEDIF(C259,B259,"m")=1," month"," months"),DATEDIF(C259,B259,"d")&amp;IF(DATEDIF(C259,B259,"d")=1," day"," days"))))</f>
      </c>
      <c r="E259" s="100"/>
      <c r="F259" s="100"/>
      <c r="G259" s="100"/>
      <c r="H259" s="100"/>
      <c r="I259" s="100"/>
      <c r="J259" s="101"/>
      <c r="K259" s="100"/>
      <c r="L259" s="100"/>
      <c r="M259" s="102" t="str">
        <f>IFERROR(VLOOKUP(G259,Reference!$I$2:$J$175,2,FALSE()),"Operations")</f>
        <v>Operations</v>
      </c>
    </row>
    <row r="260" spans="1:13" ht="15" customHeight="1" x14ac:dyDescent="0.25">
      <c r="A260" s="103"/>
      <c r="B260" s="104"/>
      <c r="C260" s="104"/>
      <c r="D260" s="103">
        <f>IF(OR(B260="",C260=""),"",IF(DATEDIF(C260,B260,"y")&gt;=1,DATEDIF(C260,B260,"y")&amp;IF(DATEDIF(C260,B260,"y")=1," year "," years ")&amp;DATEDIF(C260,B260,"ym")&amp;IF(DATEDIF(C260,B260,"ym")=1," month"," months"),IF(DATEDIF(C260,B260,"m")&gt;=1,DATEDIF(C260,B260,"m")&amp;IF(DATEDIF(C260,B260,"m")=1," month"," months"),DATEDIF(C260,B260,"d")&amp;IF(DATEDIF(C260,B260,"d")=1," day"," days"))))</f>
      </c>
      <c r="E260" s="103"/>
      <c r="F260" s="103"/>
      <c r="G260" s="103"/>
      <c r="H260" s="103"/>
      <c r="I260" s="103"/>
      <c r="J260" s="104"/>
      <c r="K260" s="103"/>
      <c r="L260" s="103"/>
      <c r="M260" s="105" t="str">
        <f>IFERROR(VLOOKUP(G260,Reference!$I$2:$J$175,2,FALSE()),"Operations")</f>
        <v>Operations</v>
      </c>
    </row>
    <row r="261" spans="1:13" ht="15" customHeight="1" x14ac:dyDescent="0.25">
      <c r="A261" s="100"/>
      <c r="B261" s="101"/>
      <c r="C261" s="101"/>
      <c r="D261" s="100">
        <f>IF(OR(B261="",C261=""),"",IF(DATEDIF(C261,B261,"y")&gt;=1,DATEDIF(C261,B261,"y")&amp;IF(DATEDIF(C261,B261,"y")=1," year "," years ")&amp;DATEDIF(C261,B261,"ym")&amp;IF(DATEDIF(C261,B261,"ym")=1," month"," months"),IF(DATEDIF(C261,B261,"m")&gt;=1,DATEDIF(C261,B261,"m")&amp;IF(DATEDIF(C261,B261,"m")=1," month"," months"),DATEDIF(C261,B261,"d")&amp;IF(DATEDIF(C261,B261,"d")=1," day"," days"))))</f>
      </c>
      <c r="E261" s="100"/>
      <c r="F261" s="100"/>
      <c r="G261" s="100"/>
      <c r="H261" s="100"/>
      <c r="I261" s="100"/>
      <c r="J261" s="101"/>
      <c r="K261" s="100"/>
      <c r="L261" s="100"/>
      <c r="M261" s="102" t="str">
        <f>IFERROR(VLOOKUP(G261,Reference!$I$2:$J$175,2,FALSE()),"Operations")</f>
        <v>Operations</v>
      </c>
    </row>
    <row r="262" spans="1:13" ht="15" customHeight="1" x14ac:dyDescent="0.25">
      <c r="A262" s="103"/>
      <c r="B262" s="104"/>
      <c r="C262" s="104"/>
      <c r="D262" s="103">
        <f>IF(OR(B262="",C262=""),"",IF(DATEDIF(C262,B262,"y")&gt;=1,DATEDIF(C262,B262,"y")&amp;IF(DATEDIF(C262,B262,"y")=1," year "," years ")&amp;DATEDIF(C262,B262,"ym")&amp;IF(DATEDIF(C262,B262,"ym")=1," month"," months"),IF(DATEDIF(C262,B262,"m")&gt;=1,DATEDIF(C262,B262,"m")&amp;IF(DATEDIF(C262,B262,"m")=1," month"," months"),DATEDIF(C262,B262,"d")&amp;IF(DATEDIF(C262,B262,"d")=1," day"," days"))))</f>
      </c>
      <c r="E262" s="103"/>
      <c r="F262" s="103"/>
      <c r="G262" s="103"/>
      <c r="H262" s="103"/>
      <c r="I262" s="103"/>
      <c r="J262" s="104"/>
      <c r="K262" s="103"/>
      <c r="L262" s="103"/>
      <c r="M262" s="105" t="str">
        <f>IFERROR(VLOOKUP(G262,Reference!$I$2:$J$175,2,FALSE()),"Operations")</f>
        <v>Operations</v>
      </c>
    </row>
    <row r="263" spans="1:13" ht="15" customHeight="1" x14ac:dyDescent="0.25">
      <c r="A263" s="100"/>
      <c r="B263" s="101"/>
      <c r="C263" s="101"/>
      <c r="D263" s="100">
        <f>IF(OR(B263="",C263=""),"",IF(DATEDIF(C263,B263,"y")&gt;=1,DATEDIF(C263,B263,"y")&amp;IF(DATEDIF(C263,B263,"y")=1," year "," years ")&amp;DATEDIF(C263,B263,"ym")&amp;IF(DATEDIF(C263,B263,"ym")=1," month"," months"),IF(DATEDIF(C263,B263,"m")&gt;=1,DATEDIF(C263,B263,"m")&amp;IF(DATEDIF(C263,B263,"m")=1," month"," months"),DATEDIF(C263,B263,"d")&amp;IF(DATEDIF(C263,B263,"d")=1," day"," days"))))</f>
      </c>
      <c r="E263" s="100"/>
      <c r="F263" s="100"/>
      <c r="G263" s="100"/>
      <c r="H263" s="100"/>
      <c r="I263" s="100"/>
      <c r="J263" s="101"/>
      <c r="K263" s="100"/>
      <c r="L263" s="100"/>
      <c r="M263" s="102" t="str">
        <f>IFERROR(VLOOKUP(G263,Reference!$I$2:$J$175,2,FALSE()),"Operations")</f>
        <v>Operations</v>
      </c>
    </row>
    <row r="264" spans="1:13" ht="15" customHeight="1" x14ac:dyDescent="0.25">
      <c r="A264" s="103"/>
      <c r="B264" s="104"/>
      <c r="C264" s="104"/>
      <c r="D264" s="103">
        <f>IF(OR(B264="",C264=""),"",IF(DATEDIF(C264,B264,"y")&gt;=1,DATEDIF(C264,B264,"y")&amp;IF(DATEDIF(C264,B264,"y")=1," year "," years ")&amp;DATEDIF(C264,B264,"ym")&amp;IF(DATEDIF(C264,B264,"ym")=1," month"," months"),IF(DATEDIF(C264,B264,"m")&gt;=1,DATEDIF(C264,B264,"m")&amp;IF(DATEDIF(C264,B264,"m")=1," month"," months"),DATEDIF(C264,B264,"d")&amp;IF(DATEDIF(C264,B264,"d")=1," day"," days"))))</f>
      </c>
      <c r="E264" s="103"/>
      <c r="F264" s="103"/>
      <c r="G264" s="103"/>
      <c r="H264" s="103"/>
      <c r="I264" s="103"/>
      <c r="J264" s="104"/>
      <c r="K264" s="103"/>
      <c r="L264" s="103"/>
      <c r="M264" s="105" t="str">
        <f>IFERROR(VLOOKUP(G264,Reference!$I$2:$J$175,2,FALSE()),"Operations")</f>
        <v>Operations</v>
      </c>
    </row>
    <row r="265" spans="1:13" ht="15" customHeight="1" x14ac:dyDescent="0.25">
      <c r="A265" s="100"/>
      <c r="B265" s="101"/>
      <c r="C265" s="101"/>
      <c r="D265" s="100">
        <f>IF(OR(B265="",C265=""),"",IF(DATEDIF(C265,B265,"y")&gt;=1,DATEDIF(C265,B265,"y")&amp;IF(DATEDIF(C265,B265,"y")=1," year "," years ")&amp;DATEDIF(C265,B265,"ym")&amp;IF(DATEDIF(C265,B265,"ym")=1," month"," months"),IF(DATEDIF(C265,B265,"m")&gt;=1,DATEDIF(C265,B265,"m")&amp;IF(DATEDIF(C265,B265,"m")=1," month"," months"),DATEDIF(C265,B265,"d")&amp;IF(DATEDIF(C265,B265,"d")=1," day"," days"))))</f>
      </c>
      <c r="E265" s="100"/>
      <c r="F265" s="100"/>
      <c r="G265" s="100"/>
      <c r="H265" s="100"/>
      <c r="I265" s="100"/>
      <c r="J265" s="101"/>
      <c r="K265" s="100"/>
      <c r="L265" s="100"/>
      <c r="M265" s="102" t="str">
        <f>IFERROR(VLOOKUP(G265,Reference!$I$2:$J$175,2,FALSE()),"Operations")</f>
        <v>Operations</v>
      </c>
    </row>
    <row r="266" spans="1:13" ht="15" customHeight="1" x14ac:dyDescent="0.25">
      <c r="A266" s="103"/>
      <c r="B266" s="104"/>
      <c r="C266" s="104"/>
      <c r="D266" s="103">
        <f>IF(OR(B266="",C266=""),"",IF(DATEDIF(C266,B266,"y")&gt;=1,DATEDIF(C266,B266,"y")&amp;IF(DATEDIF(C266,B266,"y")=1," year "," years ")&amp;DATEDIF(C266,B266,"ym")&amp;IF(DATEDIF(C266,B266,"ym")=1," month"," months"),IF(DATEDIF(C266,B266,"m")&gt;=1,DATEDIF(C266,B266,"m")&amp;IF(DATEDIF(C266,B266,"m")=1," month"," months"),DATEDIF(C266,B266,"d")&amp;IF(DATEDIF(C266,B266,"d")=1," day"," days"))))</f>
      </c>
      <c r="E266" s="103"/>
      <c r="F266" s="103"/>
      <c r="G266" s="103"/>
      <c r="H266" s="103"/>
      <c r="I266" s="103"/>
      <c r="J266" s="104"/>
      <c r="K266" s="103"/>
      <c r="L266" s="103"/>
      <c r="M266" s="105" t="str">
        <f>IFERROR(VLOOKUP(G266,Reference!$I$2:$J$175,2,FALSE()),"Operations")</f>
        <v>Operations</v>
      </c>
    </row>
    <row r="267" spans="1:13" ht="15" customHeight="1" x14ac:dyDescent="0.25">
      <c r="A267" s="100"/>
      <c r="B267" s="101"/>
      <c r="C267" s="101"/>
      <c r="D267" s="100">
        <f>IF(OR(B267="",C267=""),"",IF(DATEDIF(C267,B267,"y")&gt;=1,DATEDIF(C267,B267,"y")&amp;IF(DATEDIF(C267,B267,"y")=1," year "," years ")&amp;DATEDIF(C267,B267,"ym")&amp;IF(DATEDIF(C267,B267,"ym")=1," month"," months"),IF(DATEDIF(C267,B267,"m")&gt;=1,DATEDIF(C267,B267,"m")&amp;IF(DATEDIF(C267,B267,"m")=1," month"," months"),DATEDIF(C267,B267,"d")&amp;IF(DATEDIF(C267,B267,"d")=1," day"," days"))))</f>
      </c>
      <c r="E267" s="100"/>
      <c r="F267" s="100"/>
      <c r="G267" s="100"/>
      <c r="H267" s="100"/>
      <c r="I267" s="100"/>
      <c r="J267" s="101"/>
      <c r="K267" s="100"/>
      <c r="L267" s="100"/>
      <c r="M267" s="102" t="str">
        <f>IFERROR(VLOOKUP(G267,Reference!$I$2:$J$175,2,FALSE()),"Operations")</f>
        <v>Operations</v>
      </c>
    </row>
    <row r="268" spans="1:13" ht="15" customHeight="1" x14ac:dyDescent="0.25">
      <c r="A268" s="103"/>
      <c r="B268" s="104"/>
      <c r="C268" s="104"/>
      <c r="D268" s="103">
        <f>IF(OR(B268="",C268=""),"",IF(DATEDIF(C268,B268,"y")&gt;=1,DATEDIF(C268,B268,"y")&amp;IF(DATEDIF(C268,B268,"y")=1," year "," years ")&amp;DATEDIF(C268,B268,"ym")&amp;IF(DATEDIF(C268,B268,"ym")=1," month"," months"),IF(DATEDIF(C268,B268,"m")&gt;=1,DATEDIF(C268,B268,"m")&amp;IF(DATEDIF(C268,B268,"m")=1," month"," months"),DATEDIF(C268,B268,"d")&amp;IF(DATEDIF(C268,B268,"d")=1," day"," days"))))</f>
      </c>
      <c r="E268" s="103"/>
      <c r="F268" s="103"/>
      <c r="G268" s="103"/>
      <c r="H268" s="103"/>
      <c r="I268" s="103"/>
      <c r="J268" s="104"/>
      <c r="K268" s="103"/>
      <c r="L268" s="103"/>
      <c r="M268" s="105" t="str">
        <f>IFERROR(VLOOKUP(G268,Reference!$I$2:$J$175,2,FALSE()),"Operations")</f>
        <v>Operations</v>
      </c>
    </row>
    <row r="269" spans="1:13" ht="15" customHeight="1" x14ac:dyDescent="0.25">
      <c r="A269" s="100"/>
      <c r="B269" s="101"/>
      <c r="C269" s="101"/>
      <c r="D269" s="100">
        <f>IF(OR(B269="",C269=""),"",IF(DATEDIF(C269,B269,"y")&gt;=1,DATEDIF(C269,B269,"y")&amp;IF(DATEDIF(C269,B269,"y")=1," year "," years ")&amp;DATEDIF(C269,B269,"ym")&amp;IF(DATEDIF(C269,B269,"ym")=1," month"," months"),IF(DATEDIF(C269,B269,"m")&gt;=1,DATEDIF(C269,B269,"m")&amp;IF(DATEDIF(C269,B269,"m")=1," month"," months"),DATEDIF(C269,B269,"d")&amp;IF(DATEDIF(C269,B269,"d")=1," day"," days"))))</f>
      </c>
      <c r="E269" s="100"/>
      <c r="F269" s="100"/>
      <c r="G269" s="100"/>
      <c r="H269" s="100"/>
      <c r="I269" s="100"/>
      <c r="J269" s="101"/>
      <c r="K269" s="100"/>
      <c r="L269" s="100"/>
      <c r="M269" s="102" t="str">
        <f>IFERROR(VLOOKUP(G269,Reference!$I$2:$J$175,2,FALSE()),"Operations")</f>
        <v>Operations</v>
      </c>
    </row>
    <row r="270" spans="1:13" ht="15" customHeight="1" x14ac:dyDescent="0.25">
      <c r="A270" s="103"/>
      <c r="B270" s="104"/>
      <c r="C270" s="104"/>
      <c r="D270" s="103">
        <f>IF(OR(B270="",C270=""),"",IF(DATEDIF(C270,B270,"y")&gt;=1,DATEDIF(C270,B270,"y")&amp;IF(DATEDIF(C270,B270,"y")=1," year "," years ")&amp;DATEDIF(C270,B270,"ym")&amp;IF(DATEDIF(C270,B270,"ym")=1," month"," months"),IF(DATEDIF(C270,B270,"m")&gt;=1,DATEDIF(C270,B270,"m")&amp;IF(DATEDIF(C270,B270,"m")=1," month"," months"),DATEDIF(C270,B270,"d")&amp;IF(DATEDIF(C270,B270,"d")=1," day"," days"))))</f>
      </c>
      <c r="E270" s="103"/>
      <c r="F270" s="103"/>
      <c r="G270" s="103"/>
      <c r="H270" s="103"/>
      <c r="I270" s="103"/>
      <c r="J270" s="104"/>
      <c r="K270" s="103"/>
      <c r="L270" s="103"/>
      <c r="M270" s="105" t="str">
        <f>IFERROR(VLOOKUP(G270,Reference!$I$2:$J$175,2,FALSE()),"Operations")</f>
        <v>Operations</v>
      </c>
    </row>
    <row r="271" spans="1:13" ht="15" customHeight="1" x14ac:dyDescent="0.25">
      <c r="A271" s="100"/>
      <c r="B271" s="101"/>
      <c r="C271" s="101"/>
      <c r="D271" s="100">
        <f>IF(OR(B271="",C271=""),"",IF(DATEDIF(C271,B271,"y")&gt;=1,DATEDIF(C271,B271,"y")&amp;IF(DATEDIF(C271,B271,"y")=1," year "," years ")&amp;DATEDIF(C271,B271,"ym")&amp;IF(DATEDIF(C271,B271,"ym")=1," month"," months"),IF(DATEDIF(C271,B271,"m")&gt;=1,DATEDIF(C271,B271,"m")&amp;IF(DATEDIF(C271,B271,"m")=1," month"," months"),DATEDIF(C271,B271,"d")&amp;IF(DATEDIF(C271,B271,"d")=1," day"," days"))))</f>
      </c>
      <c r="E271" s="100"/>
      <c r="F271" s="100"/>
      <c r="G271" s="100"/>
      <c r="H271" s="100"/>
      <c r="I271" s="100"/>
      <c r="J271" s="101"/>
      <c r="K271" s="100"/>
      <c r="L271" s="100"/>
      <c r="M271" s="102" t="str">
        <f>IFERROR(VLOOKUP(G271,Reference!$I$2:$J$175,2,FALSE()),"Operations")</f>
        <v>Operations</v>
      </c>
    </row>
    <row r="272" spans="1:13" ht="15" customHeight="1" x14ac:dyDescent="0.25">
      <c r="A272" s="103"/>
      <c r="B272" s="104"/>
      <c r="C272" s="104"/>
      <c r="D272" s="103">
        <f>IF(OR(B272="",C272=""),"",IF(DATEDIF(C272,B272,"y")&gt;=1,DATEDIF(C272,B272,"y")&amp;IF(DATEDIF(C272,B272,"y")=1," year "," years ")&amp;DATEDIF(C272,B272,"ym")&amp;IF(DATEDIF(C272,B272,"ym")=1," month"," months"),IF(DATEDIF(C272,B272,"m")&gt;=1,DATEDIF(C272,B272,"m")&amp;IF(DATEDIF(C272,B272,"m")=1," month"," months"),DATEDIF(C272,B272,"d")&amp;IF(DATEDIF(C272,B272,"d")=1," day"," days"))))</f>
      </c>
      <c r="E272" s="103"/>
      <c r="F272" s="103"/>
      <c r="G272" s="103"/>
      <c r="H272" s="103"/>
      <c r="I272" s="103"/>
      <c r="J272" s="104"/>
      <c r="K272" s="103"/>
      <c r="L272" s="103"/>
      <c r="M272" s="105" t="str">
        <f>IFERROR(VLOOKUP(G272,Reference!$I$2:$J$175,2,FALSE()),"Operations")</f>
        <v>Operations</v>
      </c>
    </row>
    <row r="273" spans="1:13" ht="15" customHeight="1" x14ac:dyDescent="0.25">
      <c r="A273" s="100"/>
      <c r="B273" s="101"/>
      <c r="C273" s="101"/>
      <c r="D273" s="100">
        <f>IF(OR(B273="",C273=""),"",IF(DATEDIF(C273,B273,"y")&gt;=1,DATEDIF(C273,B273,"y")&amp;IF(DATEDIF(C273,B273,"y")=1," year "," years ")&amp;DATEDIF(C273,B273,"ym")&amp;IF(DATEDIF(C273,B273,"ym")=1," month"," months"),IF(DATEDIF(C273,B273,"m")&gt;=1,DATEDIF(C273,B273,"m")&amp;IF(DATEDIF(C273,B273,"m")=1," month"," months"),DATEDIF(C273,B273,"d")&amp;IF(DATEDIF(C273,B273,"d")=1," day"," days"))))</f>
      </c>
      <c r="E273" s="100"/>
      <c r="F273" s="100"/>
      <c r="G273" s="100"/>
      <c r="H273" s="100"/>
      <c r="I273" s="100"/>
      <c r="J273" s="101"/>
      <c r="K273" s="100"/>
      <c r="L273" s="100"/>
      <c r="M273" s="102" t="str">
        <f>IFERROR(VLOOKUP(G273,Reference!$I$2:$J$175,2,FALSE()),"Operations")</f>
        <v>Operations</v>
      </c>
    </row>
    <row r="274" spans="1:13" ht="15" customHeight="1" x14ac:dyDescent="0.25">
      <c r="A274" s="103"/>
      <c r="B274" s="104"/>
      <c r="C274" s="104"/>
      <c r="D274" s="103">
        <f>IF(OR(B274="",C274=""),"",IF(DATEDIF(C274,B274,"y")&gt;=1,DATEDIF(C274,B274,"y")&amp;IF(DATEDIF(C274,B274,"y")=1," year "," years ")&amp;DATEDIF(C274,B274,"ym")&amp;IF(DATEDIF(C274,B274,"ym")=1," month"," months"),IF(DATEDIF(C274,B274,"m")&gt;=1,DATEDIF(C274,B274,"m")&amp;IF(DATEDIF(C274,B274,"m")=1," month"," months"),DATEDIF(C274,B274,"d")&amp;IF(DATEDIF(C274,B274,"d")=1," day"," days"))))</f>
      </c>
      <c r="E274" s="103"/>
      <c r="F274" s="103"/>
      <c r="G274" s="103"/>
      <c r="H274" s="103"/>
      <c r="I274" s="103"/>
      <c r="J274" s="104"/>
      <c r="K274" s="103"/>
      <c r="L274" s="103"/>
      <c r="M274" s="105" t="str">
        <f>IFERROR(VLOOKUP(G274,Reference!$I$2:$J$175,2,FALSE()),"Operations")</f>
        <v>Operations</v>
      </c>
    </row>
    <row r="275" spans="1:13" ht="15" customHeight="1" x14ac:dyDescent="0.25">
      <c r="A275" s="100"/>
      <c r="B275" s="101"/>
      <c r="C275" s="101"/>
      <c r="D275" s="100">
        <f>IF(OR(B275="",C275=""),"",IF(DATEDIF(C275,B275,"y")&gt;=1,DATEDIF(C275,B275,"y")&amp;IF(DATEDIF(C275,B275,"y")=1," year "," years ")&amp;DATEDIF(C275,B275,"ym")&amp;IF(DATEDIF(C275,B275,"ym")=1," month"," months"),IF(DATEDIF(C275,B275,"m")&gt;=1,DATEDIF(C275,B275,"m")&amp;IF(DATEDIF(C275,B275,"m")=1," month"," months"),DATEDIF(C275,B275,"d")&amp;IF(DATEDIF(C275,B275,"d")=1," day"," days"))))</f>
      </c>
      <c r="E275" s="100"/>
      <c r="F275" s="100"/>
      <c r="G275" s="100"/>
      <c r="H275" s="100"/>
      <c r="I275" s="100"/>
      <c r="J275" s="101"/>
      <c r="K275" s="100"/>
      <c r="L275" s="100"/>
      <c r="M275" s="102" t="str">
        <f>IFERROR(VLOOKUP(G275,Reference!$I$2:$J$175,2,FALSE()),"Operations")</f>
        <v>Operations</v>
      </c>
    </row>
    <row r="276" spans="1:13" ht="15" customHeight="1" x14ac:dyDescent="0.25">
      <c r="A276" s="103"/>
      <c r="B276" s="104"/>
      <c r="C276" s="104"/>
      <c r="D276" s="103">
        <f>IF(OR(B276="",C276=""),"",IF(DATEDIF(C276,B276,"y")&gt;=1,DATEDIF(C276,B276,"y")&amp;IF(DATEDIF(C276,B276,"y")=1," year "," years ")&amp;DATEDIF(C276,B276,"ym")&amp;IF(DATEDIF(C276,B276,"ym")=1," month"," months"),IF(DATEDIF(C276,B276,"m")&gt;=1,DATEDIF(C276,B276,"m")&amp;IF(DATEDIF(C276,B276,"m")=1," month"," months"),DATEDIF(C276,B276,"d")&amp;IF(DATEDIF(C276,B276,"d")=1," day"," days"))))</f>
      </c>
      <c r="E276" s="103"/>
      <c r="F276" s="103"/>
      <c r="G276" s="103"/>
      <c r="H276" s="103"/>
      <c r="I276" s="103"/>
      <c r="J276" s="104"/>
      <c r="K276" s="103"/>
      <c r="L276" s="103"/>
      <c r="M276" s="105" t="str">
        <f>IFERROR(VLOOKUP(G276,Reference!$I$2:$J$175,2,FALSE()),"Operations")</f>
        <v>Operations</v>
      </c>
    </row>
    <row r="277" spans="1:13" ht="15" customHeight="1" x14ac:dyDescent="0.25">
      <c r="A277" s="106" t="s">
        <v>163</v>
      </c>
      <c r="B277" s="107">
        <f>COUNTA(A247:A276)</f>
        <v>0</v>
      </c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</row>
    <row r="278" spans="1:13" ht="6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</row>
    <row r="279" spans="1:13" ht="21.75" customHeight="1" x14ac:dyDescent="0.25">
      <c r="A279" s="163" t="s">
        <v>171</v>
      </c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</row>
    <row r="280" spans="1:13" ht="19.5" customHeight="1" x14ac:dyDescent="0.25">
      <c r="A280" s="64" t="s">
        <v>151</v>
      </c>
      <c r="B280" s="64" t="s">
        <v>152</v>
      </c>
      <c r="C280" s="64" t="s">
        <v>153</v>
      </c>
      <c r="D280" s="64" t="s">
        <v>154</v>
      </c>
      <c r="E280" s="64" t="s">
        <v>155</v>
      </c>
      <c r="F280" s="64" t="s">
        <v>156</v>
      </c>
      <c r="G280" s="64" t="s">
        <v>157</v>
      </c>
      <c r="H280" s="64" t="s">
        <v>158</v>
      </c>
      <c r="I280" s="64" t="s">
        <v>159</v>
      </c>
      <c r="J280" s="64" t="s">
        <v>160</v>
      </c>
      <c r="K280" s="64" t="s">
        <v>134</v>
      </c>
      <c r="L280" s="64" t="s">
        <v>161</v>
      </c>
      <c r="M280" s="64" t="s">
        <v>162</v>
      </c>
    </row>
    <row r="281" spans="1:13" ht="15" customHeight="1" x14ac:dyDescent="0.25">
      <c r="A281" s="100"/>
      <c r="B281" s="101"/>
      <c r="C281" s="101"/>
      <c r="D281" s="100">
        <f>IF(OR(B281="",C281=""),"",IF(DATEDIF(C281,B281,"y")&gt;=1,DATEDIF(C281,B281,"y")&amp;IF(DATEDIF(C281,B281,"y")=1," year "," years ")&amp;DATEDIF(C281,B281,"ym")&amp;IF(DATEDIF(C281,B281,"ym")=1," month"," months"),IF(DATEDIF(C281,B281,"m")&gt;=1,DATEDIF(C281,B281,"m")&amp;IF(DATEDIF(C281,B281,"m")=1," month"," months"),DATEDIF(C281,B281,"d")&amp;IF(DATEDIF(C281,B281,"d")=1," day"," days"))))</f>
      </c>
      <c r="E281" s="100"/>
      <c r="F281" s="100"/>
      <c r="G281" s="100"/>
      <c r="H281" s="100"/>
      <c r="I281" s="100"/>
      <c r="J281" s="101"/>
      <c r="K281" s="100"/>
      <c r="L281" s="100"/>
      <c r="M281" s="102" t="str">
        <f>IFERROR(VLOOKUP(G281,Reference!$I$2:$J$175,2,FALSE()),"Operations")</f>
        <v>Operations</v>
      </c>
    </row>
    <row r="282" spans="1:13" ht="15" customHeight="1" x14ac:dyDescent="0.25">
      <c r="A282" s="103"/>
      <c r="B282" s="104"/>
      <c r="C282" s="104"/>
      <c r="D282" s="103">
        <f>IF(OR(B282="",C282=""),"",IF(DATEDIF(C282,B282,"y")&gt;=1,DATEDIF(C282,B282,"y")&amp;IF(DATEDIF(C282,B282,"y")=1," year "," years ")&amp;DATEDIF(C282,B282,"ym")&amp;IF(DATEDIF(C282,B282,"ym")=1," month"," months"),IF(DATEDIF(C282,B282,"m")&gt;=1,DATEDIF(C282,B282,"m")&amp;IF(DATEDIF(C282,B282,"m")=1," month"," months"),DATEDIF(C282,B282,"d")&amp;IF(DATEDIF(C282,B282,"d")=1," day"," days"))))</f>
      </c>
      <c r="E282" s="103"/>
      <c r="F282" s="103"/>
      <c r="G282" s="103"/>
      <c r="H282" s="103"/>
      <c r="I282" s="103"/>
      <c r="J282" s="104"/>
      <c r="K282" s="103"/>
      <c r="L282" s="103"/>
      <c r="M282" s="105" t="str">
        <f>IFERROR(VLOOKUP(G282,Reference!$I$2:$J$175,2,FALSE()),"Operations")</f>
        <v>Operations</v>
      </c>
    </row>
    <row r="283" spans="1:13" ht="15" customHeight="1" x14ac:dyDescent="0.25">
      <c r="A283" s="100"/>
      <c r="B283" s="101"/>
      <c r="C283" s="101"/>
      <c r="D283" s="100">
        <f>IF(OR(B283="",C283=""),"",IF(DATEDIF(C283,B283,"y")&gt;=1,DATEDIF(C283,B283,"y")&amp;IF(DATEDIF(C283,B283,"y")=1," year "," years ")&amp;DATEDIF(C283,B283,"ym")&amp;IF(DATEDIF(C283,B283,"ym")=1," month"," months"),IF(DATEDIF(C283,B283,"m")&gt;=1,DATEDIF(C283,B283,"m")&amp;IF(DATEDIF(C283,B283,"m")=1," month"," months"),DATEDIF(C283,B283,"d")&amp;IF(DATEDIF(C283,B283,"d")=1," day"," days"))))</f>
      </c>
      <c r="E283" s="100"/>
      <c r="F283" s="100"/>
      <c r="G283" s="100"/>
      <c r="H283" s="100"/>
      <c r="I283" s="100"/>
      <c r="J283" s="101"/>
      <c r="K283" s="100"/>
      <c r="L283" s="100"/>
      <c r="M283" s="102" t="str">
        <f>IFERROR(VLOOKUP(G283,Reference!$I$2:$J$175,2,FALSE()),"Operations")</f>
        <v>Operations</v>
      </c>
    </row>
    <row r="284" spans="1:13" ht="15" customHeight="1" x14ac:dyDescent="0.25">
      <c r="A284" s="103"/>
      <c r="B284" s="104"/>
      <c r="C284" s="104"/>
      <c r="D284" s="103">
        <f>IF(OR(B284="",C284=""),"",IF(DATEDIF(C284,B284,"y")&gt;=1,DATEDIF(C284,B284,"y")&amp;IF(DATEDIF(C284,B284,"y")=1," year "," years ")&amp;DATEDIF(C284,B284,"ym")&amp;IF(DATEDIF(C284,B284,"ym")=1," month"," months"),IF(DATEDIF(C284,B284,"m")&gt;=1,DATEDIF(C284,B284,"m")&amp;IF(DATEDIF(C284,B284,"m")=1," month"," months"),DATEDIF(C284,B284,"d")&amp;IF(DATEDIF(C284,B284,"d")=1," day"," days"))))</f>
      </c>
      <c r="E284" s="103"/>
      <c r="F284" s="103"/>
      <c r="G284" s="103"/>
      <c r="H284" s="103"/>
      <c r="I284" s="103"/>
      <c r="J284" s="104"/>
      <c r="K284" s="103"/>
      <c r="L284" s="103"/>
      <c r="M284" s="105" t="str">
        <f>IFERROR(VLOOKUP(G284,Reference!$I$2:$J$175,2,FALSE()),"Operations")</f>
        <v>Operations</v>
      </c>
    </row>
    <row r="285" spans="1:13" ht="15" customHeight="1" x14ac:dyDescent="0.25">
      <c r="A285" s="100"/>
      <c r="B285" s="101"/>
      <c r="C285" s="101"/>
      <c r="D285" s="100">
        <f>IF(OR(B285="",C285=""),"",IF(DATEDIF(C285,B285,"y")&gt;=1,DATEDIF(C285,B285,"y")&amp;IF(DATEDIF(C285,B285,"y")=1," year "," years ")&amp;DATEDIF(C285,B285,"ym")&amp;IF(DATEDIF(C285,B285,"ym")=1," month"," months"),IF(DATEDIF(C285,B285,"m")&gt;=1,DATEDIF(C285,B285,"m")&amp;IF(DATEDIF(C285,B285,"m")=1," month"," months"),DATEDIF(C285,B285,"d")&amp;IF(DATEDIF(C285,B285,"d")=1," day"," days"))))</f>
      </c>
      <c r="E285" s="100"/>
      <c r="F285" s="100"/>
      <c r="G285" s="100"/>
      <c r="H285" s="100"/>
      <c r="I285" s="100"/>
      <c r="J285" s="101"/>
      <c r="K285" s="100"/>
      <c r="L285" s="100"/>
      <c r="M285" s="102" t="str">
        <f>IFERROR(VLOOKUP(G285,Reference!$I$2:$J$175,2,FALSE()),"Operations")</f>
        <v>Operations</v>
      </c>
    </row>
    <row r="286" spans="1:13" ht="15" customHeight="1" x14ac:dyDescent="0.25">
      <c r="A286" s="103"/>
      <c r="B286" s="104"/>
      <c r="C286" s="104"/>
      <c r="D286" s="103">
        <f>IF(OR(B286="",C286=""),"",IF(DATEDIF(C286,B286,"y")&gt;=1,DATEDIF(C286,B286,"y")&amp;IF(DATEDIF(C286,B286,"y")=1," year "," years ")&amp;DATEDIF(C286,B286,"ym")&amp;IF(DATEDIF(C286,B286,"ym")=1," month"," months"),IF(DATEDIF(C286,B286,"m")&gt;=1,DATEDIF(C286,B286,"m")&amp;IF(DATEDIF(C286,B286,"m")=1," month"," months"),DATEDIF(C286,B286,"d")&amp;IF(DATEDIF(C286,B286,"d")=1," day"," days"))))</f>
      </c>
      <c r="E286" s="103"/>
      <c r="F286" s="103"/>
      <c r="G286" s="103"/>
      <c r="H286" s="103"/>
      <c r="I286" s="103"/>
      <c r="J286" s="104"/>
      <c r="K286" s="103"/>
      <c r="L286" s="103"/>
      <c r="M286" s="105" t="str">
        <f>IFERROR(VLOOKUP(G286,Reference!$I$2:$J$175,2,FALSE()),"Operations")</f>
        <v>Operations</v>
      </c>
    </row>
    <row r="287" spans="1:13" ht="15" customHeight="1" x14ac:dyDescent="0.25">
      <c r="A287" s="100"/>
      <c r="B287" s="101"/>
      <c r="C287" s="101"/>
      <c r="D287" s="100">
        <f>IF(OR(B287="",C287=""),"",IF(DATEDIF(C287,B287,"y")&gt;=1,DATEDIF(C287,B287,"y")&amp;IF(DATEDIF(C287,B287,"y")=1," year "," years ")&amp;DATEDIF(C287,B287,"ym")&amp;IF(DATEDIF(C287,B287,"ym")=1," month"," months"),IF(DATEDIF(C287,B287,"m")&gt;=1,DATEDIF(C287,B287,"m")&amp;IF(DATEDIF(C287,B287,"m")=1," month"," months"),DATEDIF(C287,B287,"d")&amp;IF(DATEDIF(C287,B287,"d")=1," day"," days"))))</f>
      </c>
      <c r="E287" s="100"/>
      <c r="F287" s="100"/>
      <c r="G287" s="100"/>
      <c r="H287" s="100"/>
      <c r="I287" s="100"/>
      <c r="J287" s="101"/>
      <c r="K287" s="100"/>
      <c r="L287" s="100"/>
      <c r="M287" s="102" t="str">
        <f>IFERROR(VLOOKUP(G287,Reference!$I$2:$J$175,2,FALSE()),"Operations")</f>
        <v>Operations</v>
      </c>
    </row>
    <row r="288" spans="1:13" ht="15" customHeight="1" x14ac:dyDescent="0.25">
      <c r="A288" s="103"/>
      <c r="B288" s="104"/>
      <c r="C288" s="104"/>
      <c r="D288" s="103">
        <f>IF(OR(B288="",C288=""),"",IF(DATEDIF(C288,B288,"y")&gt;=1,DATEDIF(C288,B288,"y")&amp;IF(DATEDIF(C288,B288,"y")=1," year "," years ")&amp;DATEDIF(C288,B288,"ym")&amp;IF(DATEDIF(C288,B288,"ym")=1," month"," months"),IF(DATEDIF(C288,B288,"m")&gt;=1,DATEDIF(C288,B288,"m")&amp;IF(DATEDIF(C288,B288,"m")=1," month"," months"),DATEDIF(C288,B288,"d")&amp;IF(DATEDIF(C288,B288,"d")=1," day"," days"))))</f>
      </c>
      <c r="E288" s="103"/>
      <c r="F288" s="103"/>
      <c r="G288" s="103"/>
      <c r="H288" s="103"/>
      <c r="I288" s="103"/>
      <c r="J288" s="104"/>
      <c r="K288" s="103"/>
      <c r="L288" s="103"/>
      <c r="M288" s="105" t="str">
        <f>IFERROR(VLOOKUP(G288,Reference!$I$2:$J$175,2,FALSE()),"Operations")</f>
        <v>Operations</v>
      </c>
    </row>
    <row r="289" spans="1:13" ht="15" customHeight="1" x14ac:dyDescent="0.25">
      <c r="A289" s="100"/>
      <c r="B289" s="101"/>
      <c r="C289" s="101"/>
      <c r="D289" s="100">
        <f>IF(OR(B289="",C289=""),"",IF(DATEDIF(C289,B289,"y")&gt;=1,DATEDIF(C289,B289,"y")&amp;IF(DATEDIF(C289,B289,"y")=1," year "," years ")&amp;DATEDIF(C289,B289,"ym")&amp;IF(DATEDIF(C289,B289,"ym")=1," month"," months"),IF(DATEDIF(C289,B289,"m")&gt;=1,DATEDIF(C289,B289,"m")&amp;IF(DATEDIF(C289,B289,"m")=1," month"," months"),DATEDIF(C289,B289,"d")&amp;IF(DATEDIF(C289,B289,"d")=1," day"," days"))))</f>
      </c>
      <c r="E289" s="100"/>
      <c r="F289" s="100"/>
      <c r="G289" s="100"/>
      <c r="H289" s="100"/>
      <c r="I289" s="100"/>
      <c r="J289" s="101"/>
      <c r="K289" s="100"/>
      <c r="L289" s="100"/>
      <c r="M289" s="102" t="str">
        <f>IFERROR(VLOOKUP(G289,Reference!$I$2:$J$175,2,FALSE()),"Operations")</f>
        <v>Operations</v>
      </c>
    </row>
    <row r="290" spans="1:13" ht="15" customHeight="1" x14ac:dyDescent="0.25">
      <c r="A290" s="103"/>
      <c r="B290" s="104"/>
      <c r="C290" s="104"/>
      <c r="D290" s="103">
        <f>IF(OR(B290="",C290=""),"",IF(DATEDIF(C290,B290,"y")&gt;=1,DATEDIF(C290,B290,"y")&amp;IF(DATEDIF(C290,B290,"y")=1," year "," years ")&amp;DATEDIF(C290,B290,"ym")&amp;IF(DATEDIF(C290,B290,"ym")=1," month"," months"),IF(DATEDIF(C290,B290,"m")&gt;=1,DATEDIF(C290,B290,"m")&amp;IF(DATEDIF(C290,B290,"m")=1," month"," months"),DATEDIF(C290,B290,"d")&amp;IF(DATEDIF(C290,B290,"d")=1," day"," days"))))</f>
      </c>
      <c r="E290" s="103"/>
      <c r="F290" s="103"/>
      <c r="G290" s="103"/>
      <c r="H290" s="103"/>
      <c r="I290" s="103"/>
      <c r="J290" s="104"/>
      <c r="K290" s="103"/>
      <c r="L290" s="103"/>
      <c r="M290" s="105" t="str">
        <f>IFERROR(VLOOKUP(G290,Reference!$I$2:$J$175,2,FALSE()),"Operations")</f>
        <v>Operations</v>
      </c>
    </row>
    <row r="291" spans="1:13" ht="15" customHeight="1" x14ac:dyDescent="0.25">
      <c r="A291" s="100"/>
      <c r="B291" s="101"/>
      <c r="C291" s="101"/>
      <c r="D291" s="100">
        <f>IF(OR(B291="",C291=""),"",IF(DATEDIF(C291,B291,"y")&gt;=1,DATEDIF(C291,B291,"y")&amp;IF(DATEDIF(C291,B291,"y")=1," year "," years ")&amp;DATEDIF(C291,B291,"ym")&amp;IF(DATEDIF(C291,B291,"ym")=1," month"," months"),IF(DATEDIF(C291,B291,"m")&gt;=1,DATEDIF(C291,B291,"m")&amp;IF(DATEDIF(C291,B291,"m")=1," month"," months"),DATEDIF(C291,B291,"d")&amp;IF(DATEDIF(C291,B291,"d")=1," day"," days"))))</f>
      </c>
      <c r="E291" s="100"/>
      <c r="F291" s="100"/>
      <c r="G291" s="100"/>
      <c r="H291" s="100"/>
      <c r="I291" s="100"/>
      <c r="J291" s="101"/>
      <c r="K291" s="100"/>
      <c r="L291" s="100"/>
      <c r="M291" s="102" t="str">
        <f>IFERROR(VLOOKUP(G291,Reference!$I$2:$J$175,2,FALSE()),"Operations")</f>
        <v>Operations</v>
      </c>
    </row>
    <row r="292" spans="1:13" ht="15" customHeight="1" x14ac:dyDescent="0.25">
      <c r="A292" s="103"/>
      <c r="B292" s="104"/>
      <c r="C292" s="104"/>
      <c r="D292" s="103">
        <f>IF(OR(B292="",C292=""),"",IF(DATEDIF(C292,B292,"y")&gt;=1,DATEDIF(C292,B292,"y")&amp;IF(DATEDIF(C292,B292,"y")=1," year "," years ")&amp;DATEDIF(C292,B292,"ym")&amp;IF(DATEDIF(C292,B292,"ym")=1," month"," months"),IF(DATEDIF(C292,B292,"m")&gt;=1,DATEDIF(C292,B292,"m")&amp;IF(DATEDIF(C292,B292,"m")=1," month"," months"),DATEDIF(C292,B292,"d")&amp;IF(DATEDIF(C292,B292,"d")=1," day"," days"))))</f>
      </c>
      <c r="E292" s="103"/>
      <c r="F292" s="103"/>
      <c r="G292" s="103"/>
      <c r="H292" s="103"/>
      <c r="I292" s="103"/>
      <c r="J292" s="104"/>
      <c r="K292" s="103"/>
      <c r="L292" s="103"/>
      <c r="M292" s="105" t="str">
        <f>IFERROR(VLOOKUP(G292,Reference!$I$2:$J$175,2,FALSE()),"Operations")</f>
        <v>Operations</v>
      </c>
    </row>
    <row r="293" spans="1:13" ht="15" customHeight="1" x14ac:dyDescent="0.25">
      <c r="A293" s="100"/>
      <c r="B293" s="101"/>
      <c r="C293" s="101"/>
      <c r="D293" s="100">
        <f>IF(OR(B293="",C293=""),"",IF(DATEDIF(C293,B293,"y")&gt;=1,DATEDIF(C293,B293,"y")&amp;IF(DATEDIF(C293,B293,"y")=1," year "," years ")&amp;DATEDIF(C293,B293,"ym")&amp;IF(DATEDIF(C293,B293,"ym")=1," month"," months"),IF(DATEDIF(C293,B293,"m")&gt;=1,DATEDIF(C293,B293,"m")&amp;IF(DATEDIF(C293,B293,"m")=1," month"," months"),DATEDIF(C293,B293,"d")&amp;IF(DATEDIF(C293,B293,"d")=1," day"," days"))))</f>
      </c>
      <c r="E293" s="100"/>
      <c r="F293" s="100"/>
      <c r="G293" s="100"/>
      <c r="H293" s="100"/>
      <c r="I293" s="100"/>
      <c r="J293" s="101"/>
      <c r="K293" s="100"/>
      <c r="L293" s="100"/>
      <c r="M293" s="102" t="str">
        <f>IFERROR(VLOOKUP(G293,Reference!$I$2:$J$175,2,FALSE()),"Operations")</f>
        <v>Operations</v>
      </c>
    </row>
    <row r="294" spans="1:13" ht="15" customHeight="1" x14ac:dyDescent="0.25">
      <c r="A294" s="103"/>
      <c r="B294" s="104"/>
      <c r="C294" s="104"/>
      <c r="D294" s="103">
        <f>IF(OR(B294="",C294=""),"",IF(DATEDIF(C294,B294,"y")&gt;=1,DATEDIF(C294,B294,"y")&amp;IF(DATEDIF(C294,B294,"y")=1," year "," years ")&amp;DATEDIF(C294,B294,"ym")&amp;IF(DATEDIF(C294,B294,"ym")=1," month"," months"),IF(DATEDIF(C294,B294,"m")&gt;=1,DATEDIF(C294,B294,"m")&amp;IF(DATEDIF(C294,B294,"m")=1," month"," months"),DATEDIF(C294,B294,"d")&amp;IF(DATEDIF(C294,B294,"d")=1," day"," days"))))</f>
      </c>
      <c r="E294" s="103"/>
      <c r="F294" s="103"/>
      <c r="G294" s="103"/>
      <c r="H294" s="103"/>
      <c r="I294" s="103"/>
      <c r="J294" s="104"/>
      <c r="K294" s="103"/>
      <c r="L294" s="103"/>
      <c r="M294" s="105" t="str">
        <f>IFERROR(VLOOKUP(G294,Reference!$I$2:$J$175,2,FALSE()),"Operations")</f>
        <v>Operations</v>
      </c>
    </row>
    <row r="295" spans="1:13" ht="15" customHeight="1" x14ac:dyDescent="0.25">
      <c r="A295" s="100"/>
      <c r="B295" s="101"/>
      <c r="C295" s="101"/>
      <c r="D295" s="100">
        <f>IF(OR(B295="",C295=""),"",IF(DATEDIF(C295,B295,"y")&gt;=1,DATEDIF(C295,B295,"y")&amp;IF(DATEDIF(C295,B295,"y")=1," year "," years ")&amp;DATEDIF(C295,B295,"ym")&amp;IF(DATEDIF(C295,B295,"ym")=1," month"," months"),IF(DATEDIF(C295,B295,"m")&gt;=1,DATEDIF(C295,B295,"m")&amp;IF(DATEDIF(C295,B295,"m")=1," month"," months"),DATEDIF(C295,B295,"d")&amp;IF(DATEDIF(C295,B295,"d")=1," day"," days"))))</f>
      </c>
      <c r="E295" s="100"/>
      <c r="F295" s="100"/>
      <c r="G295" s="100"/>
      <c r="H295" s="100"/>
      <c r="I295" s="100"/>
      <c r="J295" s="101"/>
      <c r="K295" s="100"/>
      <c r="L295" s="100"/>
      <c r="M295" s="102" t="str">
        <f>IFERROR(VLOOKUP(G295,Reference!$I$2:$J$175,2,FALSE()),"Operations")</f>
        <v>Operations</v>
      </c>
    </row>
    <row r="296" spans="1:13" ht="15" customHeight="1" x14ac:dyDescent="0.25">
      <c r="A296" s="103"/>
      <c r="B296" s="104"/>
      <c r="C296" s="104"/>
      <c r="D296" s="103">
        <f>IF(OR(B296="",C296=""),"",IF(DATEDIF(C296,B296,"y")&gt;=1,DATEDIF(C296,B296,"y")&amp;IF(DATEDIF(C296,B296,"y")=1," year "," years ")&amp;DATEDIF(C296,B296,"ym")&amp;IF(DATEDIF(C296,B296,"ym")=1," month"," months"),IF(DATEDIF(C296,B296,"m")&gt;=1,DATEDIF(C296,B296,"m")&amp;IF(DATEDIF(C296,B296,"m")=1," month"," months"),DATEDIF(C296,B296,"d")&amp;IF(DATEDIF(C296,B296,"d")=1," day"," days"))))</f>
      </c>
      <c r="E296" s="103"/>
      <c r="F296" s="103"/>
      <c r="G296" s="103"/>
      <c r="H296" s="103"/>
      <c r="I296" s="103"/>
      <c r="J296" s="104"/>
      <c r="K296" s="103"/>
      <c r="L296" s="103"/>
      <c r="M296" s="105" t="str">
        <f>IFERROR(VLOOKUP(G296,Reference!$I$2:$J$175,2,FALSE()),"Operations")</f>
        <v>Operations</v>
      </c>
    </row>
    <row r="297" spans="1:13" ht="15" customHeight="1" x14ac:dyDescent="0.25">
      <c r="A297" s="100"/>
      <c r="B297" s="101"/>
      <c r="C297" s="101"/>
      <c r="D297" s="100">
        <f>IF(OR(B297="",C297=""),"",IF(DATEDIF(C297,B297,"y")&gt;=1,DATEDIF(C297,B297,"y")&amp;IF(DATEDIF(C297,B297,"y")=1," year "," years ")&amp;DATEDIF(C297,B297,"ym")&amp;IF(DATEDIF(C297,B297,"ym")=1," month"," months"),IF(DATEDIF(C297,B297,"m")&gt;=1,DATEDIF(C297,B297,"m")&amp;IF(DATEDIF(C297,B297,"m")=1," month"," months"),DATEDIF(C297,B297,"d")&amp;IF(DATEDIF(C297,B297,"d")=1," day"," days"))))</f>
      </c>
      <c r="E297" s="100"/>
      <c r="F297" s="100"/>
      <c r="G297" s="100"/>
      <c r="H297" s="100"/>
      <c r="I297" s="100"/>
      <c r="J297" s="101"/>
      <c r="K297" s="100"/>
      <c r="L297" s="100"/>
      <c r="M297" s="102" t="str">
        <f>IFERROR(VLOOKUP(G297,Reference!$I$2:$J$175,2,FALSE()),"Operations")</f>
        <v>Operations</v>
      </c>
    </row>
    <row r="298" spans="1:13" ht="15" customHeight="1" x14ac:dyDescent="0.25">
      <c r="A298" s="103"/>
      <c r="B298" s="104"/>
      <c r="C298" s="104"/>
      <c r="D298" s="103">
        <f>IF(OR(B298="",C298=""),"",IF(DATEDIF(C298,B298,"y")&gt;=1,DATEDIF(C298,B298,"y")&amp;IF(DATEDIF(C298,B298,"y")=1," year "," years ")&amp;DATEDIF(C298,B298,"ym")&amp;IF(DATEDIF(C298,B298,"ym")=1," month"," months"),IF(DATEDIF(C298,B298,"m")&gt;=1,DATEDIF(C298,B298,"m")&amp;IF(DATEDIF(C298,B298,"m")=1," month"," months"),DATEDIF(C298,B298,"d")&amp;IF(DATEDIF(C298,B298,"d")=1," day"," days"))))</f>
      </c>
      <c r="E298" s="103"/>
      <c r="F298" s="103"/>
      <c r="G298" s="103"/>
      <c r="H298" s="103"/>
      <c r="I298" s="103"/>
      <c r="J298" s="104"/>
      <c r="K298" s="103"/>
      <c r="L298" s="103"/>
      <c r="M298" s="105" t="str">
        <f>IFERROR(VLOOKUP(G298,Reference!$I$2:$J$175,2,FALSE()),"Operations")</f>
        <v>Operations</v>
      </c>
    </row>
    <row r="299" spans="1:13" ht="15" customHeight="1" x14ac:dyDescent="0.25">
      <c r="A299" s="100"/>
      <c r="B299" s="101"/>
      <c r="C299" s="101"/>
      <c r="D299" s="100">
        <f>IF(OR(B299="",C299=""),"",IF(DATEDIF(C299,B299,"y")&gt;=1,DATEDIF(C299,B299,"y")&amp;IF(DATEDIF(C299,B299,"y")=1," year "," years ")&amp;DATEDIF(C299,B299,"ym")&amp;IF(DATEDIF(C299,B299,"ym")=1," month"," months"),IF(DATEDIF(C299,B299,"m")&gt;=1,DATEDIF(C299,B299,"m")&amp;IF(DATEDIF(C299,B299,"m")=1," month"," months"),DATEDIF(C299,B299,"d")&amp;IF(DATEDIF(C299,B299,"d")=1," day"," days"))))</f>
      </c>
      <c r="E299" s="100"/>
      <c r="F299" s="100"/>
      <c r="G299" s="100"/>
      <c r="H299" s="100"/>
      <c r="I299" s="100"/>
      <c r="J299" s="101"/>
      <c r="K299" s="100"/>
      <c r="L299" s="100"/>
      <c r="M299" s="102" t="str">
        <f>IFERROR(VLOOKUP(G299,Reference!$I$2:$J$175,2,FALSE()),"Operations")</f>
        <v>Operations</v>
      </c>
    </row>
    <row r="300" spans="1:13" ht="15" customHeight="1" x14ac:dyDescent="0.25">
      <c r="A300" s="103"/>
      <c r="B300" s="104"/>
      <c r="C300" s="104"/>
      <c r="D300" s="103">
        <f>IF(OR(B300="",C300=""),"",IF(DATEDIF(C300,B300,"y")&gt;=1,DATEDIF(C300,B300,"y")&amp;IF(DATEDIF(C300,B300,"y")=1," year "," years ")&amp;DATEDIF(C300,B300,"ym")&amp;IF(DATEDIF(C300,B300,"ym")=1," month"," months"),IF(DATEDIF(C300,B300,"m")&gt;=1,DATEDIF(C300,B300,"m")&amp;IF(DATEDIF(C300,B300,"m")=1," month"," months"),DATEDIF(C300,B300,"d")&amp;IF(DATEDIF(C300,B300,"d")=1," day"," days"))))</f>
      </c>
      <c r="E300" s="103"/>
      <c r="F300" s="103"/>
      <c r="G300" s="103"/>
      <c r="H300" s="103"/>
      <c r="I300" s="103"/>
      <c r="J300" s="104"/>
      <c r="K300" s="103"/>
      <c r="L300" s="103"/>
      <c r="M300" s="105" t="str">
        <f>IFERROR(VLOOKUP(G300,Reference!$I$2:$J$175,2,FALSE()),"Operations")</f>
        <v>Operations</v>
      </c>
    </row>
    <row r="301" spans="1:13" ht="15" customHeight="1" x14ac:dyDescent="0.25">
      <c r="A301" s="100"/>
      <c r="B301" s="101"/>
      <c r="C301" s="101"/>
      <c r="D301" s="100">
        <f>IF(OR(B301="",C301=""),"",IF(DATEDIF(C301,B301,"y")&gt;=1,DATEDIF(C301,B301,"y")&amp;IF(DATEDIF(C301,B301,"y")=1," year "," years ")&amp;DATEDIF(C301,B301,"ym")&amp;IF(DATEDIF(C301,B301,"ym")=1," month"," months"),IF(DATEDIF(C301,B301,"m")&gt;=1,DATEDIF(C301,B301,"m")&amp;IF(DATEDIF(C301,B301,"m")=1," month"," months"),DATEDIF(C301,B301,"d")&amp;IF(DATEDIF(C301,B301,"d")=1," day"," days"))))</f>
      </c>
      <c r="E301" s="100"/>
      <c r="F301" s="100"/>
      <c r="G301" s="100"/>
      <c r="H301" s="100"/>
      <c r="I301" s="100"/>
      <c r="J301" s="101"/>
      <c r="K301" s="100"/>
      <c r="L301" s="100"/>
      <c r="M301" s="102" t="str">
        <f>IFERROR(VLOOKUP(G301,Reference!$I$2:$J$175,2,FALSE()),"Operations")</f>
        <v>Operations</v>
      </c>
    </row>
    <row r="302" spans="1:13" ht="15" customHeight="1" x14ac:dyDescent="0.25">
      <c r="A302" s="103"/>
      <c r="B302" s="104"/>
      <c r="C302" s="104"/>
      <c r="D302" s="103">
        <f>IF(OR(B302="",C302=""),"",IF(DATEDIF(C302,B302,"y")&gt;=1,DATEDIF(C302,B302,"y")&amp;IF(DATEDIF(C302,B302,"y")=1," year "," years ")&amp;DATEDIF(C302,B302,"ym")&amp;IF(DATEDIF(C302,B302,"ym")=1," month"," months"),IF(DATEDIF(C302,B302,"m")&gt;=1,DATEDIF(C302,B302,"m")&amp;IF(DATEDIF(C302,B302,"m")=1," month"," months"),DATEDIF(C302,B302,"d")&amp;IF(DATEDIF(C302,B302,"d")=1," day"," days"))))</f>
      </c>
      <c r="E302" s="103"/>
      <c r="F302" s="103"/>
      <c r="G302" s="103"/>
      <c r="H302" s="103"/>
      <c r="I302" s="103"/>
      <c r="J302" s="104"/>
      <c r="K302" s="103"/>
      <c r="L302" s="103"/>
      <c r="M302" s="105" t="str">
        <f>IFERROR(VLOOKUP(G302,Reference!$I$2:$J$175,2,FALSE()),"Operations")</f>
        <v>Operations</v>
      </c>
    </row>
    <row r="303" spans="1:13" ht="15" customHeight="1" x14ac:dyDescent="0.25">
      <c r="A303" s="100"/>
      <c r="B303" s="101"/>
      <c r="C303" s="101"/>
      <c r="D303" s="100">
        <f>IF(OR(B303="",C303=""),"",IF(DATEDIF(C303,B303,"y")&gt;=1,DATEDIF(C303,B303,"y")&amp;IF(DATEDIF(C303,B303,"y")=1," year "," years ")&amp;DATEDIF(C303,B303,"ym")&amp;IF(DATEDIF(C303,B303,"ym")=1," month"," months"),IF(DATEDIF(C303,B303,"m")&gt;=1,DATEDIF(C303,B303,"m")&amp;IF(DATEDIF(C303,B303,"m")=1," month"," months"),DATEDIF(C303,B303,"d")&amp;IF(DATEDIF(C303,B303,"d")=1," day"," days"))))</f>
      </c>
      <c r="E303" s="100"/>
      <c r="F303" s="100"/>
      <c r="G303" s="100"/>
      <c r="H303" s="100"/>
      <c r="I303" s="100"/>
      <c r="J303" s="101"/>
      <c r="K303" s="100"/>
      <c r="L303" s="100"/>
      <c r="M303" s="102" t="str">
        <f>IFERROR(VLOOKUP(G303,Reference!$I$2:$J$175,2,FALSE()),"Operations")</f>
        <v>Operations</v>
      </c>
    </row>
    <row r="304" spans="1:13" ht="15" customHeight="1" x14ac:dyDescent="0.25">
      <c r="A304" s="103"/>
      <c r="B304" s="104"/>
      <c r="C304" s="104"/>
      <c r="D304" s="103">
        <f>IF(OR(B304="",C304=""),"",IF(DATEDIF(C304,B304,"y")&gt;=1,DATEDIF(C304,B304,"y")&amp;IF(DATEDIF(C304,B304,"y")=1," year "," years ")&amp;DATEDIF(C304,B304,"ym")&amp;IF(DATEDIF(C304,B304,"ym")=1," month"," months"),IF(DATEDIF(C304,B304,"m")&gt;=1,DATEDIF(C304,B304,"m")&amp;IF(DATEDIF(C304,B304,"m")=1," month"," months"),DATEDIF(C304,B304,"d")&amp;IF(DATEDIF(C304,B304,"d")=1," day"," days"))))</f>
      </c>
      <c r="E304" s="103"/>
      <c r="F304" s="103"/>
      <c r="G304" s="103"/>
      <c r="H304" s="103"/>
      <c r="I304" s="103"/>
      <c r="J304" s="104"/>
      <c r="K304" s="103"/>
      <c r="L304" s="103"/>
      <c r="M304" s="105" t="str">
        <f>IFERROR(VLOOKUP(G304,Reference!$I$2:$J$175,2,FALSE()),"Operations")</f>
        <v>Operations</v>
      </c>
    </row>
    <row r="305" spans="1:13" ht="15" customHeight="1" x14ac:dyDescent="0.25">
      <c r="A305" s="100"/>
      <c r="B305" s="101"/>
      <c r="C305" s="101"/>
      <c r="D305" s="100">
        <f>IF(OR(B305="",C305=""),"",IF(DATEDIF(C305,B305,"y")&gt;=1,DATEDIF(C305,B305,"y")&amp;IF(DATEDIF(C305,B305,"y")=1," year "," years ")&amp;DATEDIF(C305,B305,"ym")&amp;IF(DATEDIF(C305,B305,"ym")=1," month"," months"),IF(DATEDIF(C305,B305,"m")&gt;=1,DATEDIF(C305,B305,"m")&amp;IF(DATEDIF(C305,B305,"m")=1," month"," months"),DATEDIF(C305,B305,"d")&amp;IF(DATEDIF(C305,B305,"d")=1," day"," days"))))</f>
      </c>
      <c r="E305" s="100"/>
      <c r="F305" s="100"/>
      <c r="G305" s="100"/>
      <c r="H305" s="100"/>
      <c r="I305" s="100"/>
      <c r="J305" s="101"/>
      <c r="K305" s="100"/>
      <c r="L305" s="100"/>
      <c r="M305" s="102" t="str">
        <f>IFERROR(VLOOKUP(G305,Reference!$I$2:$J$175,2,FALSE()),"Operations")</f>
        <v>Operations</v>
      </c>
    </row>
    <row r="306" spans="1:13" ht="15" customHeight="1" x14ac:dyDescent="0.25">
      <c r="A306" s="103"/>
      <c r="B306" s="104"/>
      <c r="C306" s="104"/>
      <c r="D306" s="103">
        <f>IF(OR(B306="",C306=""),"",IF(DATEDIF(C306,B306,"y")&gt;=1,DATEDIF(C306,B306,"y")&amp;IF(DATEDIF(C306,B306,"y")=1," year "," years ")&amp;DATEDIF(C306,B306,"ym")&amp;IF(DATEDIF(C306,B306,"ym")=1," month"," months"),IF(DATEDIF(C306,B306,"m")&gt;=1,DATEDIF(C306,B306,"m")&amp;IF(DATEDIF(C306,B306,"m")=1," month"," months"),DATEDIF(C306,B306,"d")&amp;IF(DATEDIF(C306,B306,"d")=1," day"," days"))))</f>
      </c>
      <c r="E306" s="103"/>
      <c r="F306" s="103"/>
      <c r="G306" s="103"/>
      <c r="H306" s="103"/>
      <c r="I306" s="103"/>
      <c r="J306" s="104"/>
      <c r="K306" s="103"/>
      <c r="L306" s="103"/>
      <c r="M306" s="105" t="str">
        <f>IFERROR(VLOOKUP(G306,Reference!$I$2:$J$175,2,FALSE()),"Operations")</f>
        <v>Operations</v>
      </c>
    </row>
    <row r="307" spans="1:13" ht="15" customHeight="1" x14ac:dyDescent="0.25">
      <c r="A307" s="100"/>
      <c r="B307" s="101"/>
      <c r="C307" s="101"/>
      <c r="D307" s="100">
        <f>IF(OR(B307="",C307=""),"",IF(DATEDIF(C307,B307,"y")&gt;=1,DATEDIF(C307,B307,"y")&amp;IF(DATEDIF(C307,B307,"y")=1," year "," years ")&amp;DATEDIF(C307,B307,"ym")&amp;IF(DATEDIF(C307,B307,"ym")=1," month"," months"),IF(DATEDIF(C307,B307,"m")&gt;=1,DATEDIF(C307,B307,"m")&amp;IF(DATEDIF(C307,B307,"m")=1," month"," months"),DATEDIF(C307,B307,"d")&amp;IF(DATEDIF(C307,B307,"d")=1," day"," days"))))</f>
      </c>
      <c r="E307" s="100"/>
      <c r="F307" s="100"/>
      <c r="G307" s="100"/>
      <c r="H307" s="100"/>
      <c r="I307" s="100"/>
      <c r="J307" s="101"/>
      <c r="K307" s="100"/>
      <c r="L307" s="100"/>
      <c r="M307" s="102" t="str">
        <f>IFERROR(VLOOKUP(G307,Reference!$I$2:$J$175,2,FALSE()),"Operations")</f>
        <v>Operations</v>
      </c>
    </row>
    <row r="308" spans="1:13" ht="15" customHeight="1" x14ac:dyDescent="0.25">
      <c r="A308" s="103"/>
      <c r="B308" s="104"/>
      <c r="C308" s="104"/>
      <c r="D308" s="103">
        <f>IF(OR(B308="",C308=""),"",IF(DATEDIF(C308,B308,"y")&gt;=1,DATEDIF(C308,B308,"y")&amp;IF(DATEDIF(C308,B308,"y")=1," year "," years ")&amp;DATEDIF(C308,B308,"ym")&amp;IF(DATEDIF(C308,B308,"ym")=1," month"," months"),IF(DATEDIF(C308,B308,"m")&gt;=1,DATEDIF(C308,B308,"m")&amp;IF(DATEDIF(C308,B308,"m")=1," month"," months"),DATEDIF(C308,B308,"d")&amp;IF(DATEDIF(C308,B308,"d")=1," day"," days"))))</f>
      </c>
      <c r="E308" s="103"/>
      <c r="F308" s="103"/>
      <c r="G308" s="103"/>
      <c r="H308" s="103"/>
      <c r="I308" s="103"/>
      <c r="J308" s="104"/>
      <c r="K308" s="103"/>
      <c r="L308" s="103"/>
      <c r="M308" s="105" t="str">
        <f>IFERROR(VLOOKUP(G308,Reference!$I$2:$J$175,2,FALSE()),"Operations")</f>
        <v>Operations</v>
      </c>
    </row>
    <row r="309" spans="1:13" ht="15" customHeight="1" x14ac:dyDescent="0.25">
      <c r="A309" s="100"/>
      <c r="B309" s="101"/>
      <c r="C309" s="101"/>
      <c r="D309" s="100">
        <f>IF(OR(B309="",C309=""),"",IF(DATEDIF(C309,B309,"y")&gt;=1,DATEDIF(C309,B309,"y")&amp;IF(DATEDIF(C309,B309,"y")=1," year "," years ")&amp;DATEDIF(C309,B309,"ym")&amp;IF(DATEDIF(C309,B309,"ym")=1," month"," months"),IF(DATEDIF(C309,B309,"m")&gt;=1,DATEDIF(C309,B309,"m")&amp;IF(DATEDIF(C309,B309,"m")=1," month"," months"),DATEDIF(C309,B309,"d")&amp;IF(DATEDIF(C309,B309,"d")=1," day"," days"))))</f>
      </c>
      <c r="E309" s="100"/>
      <c r="F309" s="100"/>
      <c r="G309" s="100"/>
      <c r="H309" s="100"/>
      <c r="I309" s="100"/>
      <c r="J309" s="101"/>
      <c r="K309" s="100"/>
      <c r="L309" s="100"/>
      <c r="M309" s="102" t="str">
        <f>IFERROR(VLOOKUP(G309,Reference!$I$2:$J$175,2,FALSE()),"Operations")</f>
        <v>Operations</v>
      </c>
    </row>
    <row r="310" spans="1:13" ht="15" customHeight="1" x14ac:dyDescent="0.25">
      <c r="A310" s="103"/>
      <c r="B310" s="104"/>
      <c r="C310" s="104"/>
      <c r="D310" s="103">
        <f>IF(OR(B310="",C310=""),"",IF(DATEDIF(C310,B310,"y")&gt;=1,DATEDIF(C310,B310,"y")&amp;IF(DATEDIF(C310,B310,"y")=1," year "," years ")&amp;DATEDIF(C310,B310,"ym")&amp;IF(DATEDIF(C310,B310,"ym")=1," month"," months"),IF(DATEDIF(C310,B310,"m")&gt;=1,DATEDIF(C310,B310,"m")&amp;IF(DATEDIF(C310,B310,"m")=1," month"," months"),DATEDIF(C310,B310,"d")&amp;IF(DATEDIF(C310,B310,"d")=1," day"," days"))))</f>
      </c>
      <c r="E310" s="103"/>
      <c r="F310" s="103"/>
      <c r="G310" s="103"/>
      <c r="H310" s="103"/>
      <c r="I310" s="103"/>
      <c r="J310" s="104"/>
      <c r="K310" s="103"/>
      <c r="L310" s="103"/>
      <c r="M310" s="105" t="str">
        <f>IFERROR(VLOOKUP(G310,Reference!$I$2:$J$175,2,FALSE()),"Operations")</f>
        <v>Operations</v>
      </c>
    </row>
    <row r="311" spans="1:13" ht="15" customHeight="1" x14ac:dyDescent="0.25">
      <c r="A311" s="106" t="s">
        <v>163</v>
      </c>
      <c r="B311" s="107">
        <f>COUNTA(A281:A310)</f>
        <v>0</v>
      </c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</row>
    <row r="312" spans="1:13" ht="6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</row>
    <row r="313" spans="1:13" ht="21.75" customHeight="1" x14ac:dyDescent="0.25">
      <c r="A313" s="163" t="s">
        <v>172</v>
      </c>
      <c r="B313" s="163"/>
      <c r="C313" s="163"/>
      <c r="D313" s="163"/>
      <c r="E313" s="163"/>
      <c r="F313" s="163"/>
      <c r="G313" s="163"/>
      <c r="H313" s="163"/>
      <c r="I313" s="163"/>
      <c r="J313" s="163"/>
      <c r="K313" s="163"/>
      <c r="L313" s="163"/>
      <c r="M313" s="163"/>
    </row>
    <row r="314" spans="1:13" ht="19.5" customHeight="1" x14ac:dyDescent="0.25">
      <c r="A314" s="64" t="s">
        <v>151</v>
      </c>
      <c r="B314" s="64" t="s">
        <v>152</v>
      </c>
      <c r="C314" s="64" t="s">
        <v>153</v>
      </c>
      <c r="D314" s="64" t="s">
        <v>154</v>
      </c>
      <c r="E314" s="64" t="s">
        <v>155</v>
      </c>
      <c r="F314" s="64" t="s">
        <v>156</v>
      </c>
      <c r="G314" s="64" t="s">
        <v>157</v>
      </c>
      <c r="H314" s="64" t="s">
        <v>158</v>
      </c>
      <c r="I314" s="64" t="s">
        <v>159</v>
      </c>
      <c r="J314" s="64" t="s">
        <v>160</v>
      </c>
      <c r="K314" s="64" t="s">
        <v>134</v>
      </c>
      <c r="L314" s="64" t="s">
        <v>161</v>
      </c>
      <c r="M314" s="64" t="s">
        <v>162</v>
      </c>
    </row>
    <row r="315" spans="1:13" ht="15" customHeight="1" x14ac:dyDescent="0.25">
      <c r="A315" s="100"/>
      <c r="B315" s="101"/>
      <c r="C315" s="101"/>
      <c r="D315" s="100">
        <f>IF(OR(B315="",C315=""),"",IF(DATEDIF(C315,B315,"y")&gt;=1,DATEDIF(C315,B315,"y")&amp;IF(DATEDIF(C315,B315,"y")=1," year "," years ")&amp;DATEDIF(C315,B315,"ym")&amp;IF(DATEDIF(C315,B315,"ym")=1," month"," months"),IF(DATEDIF(C315,B315,"m")&gt;=1,DATEDIF(C315,B315,"m")&amp;IF(DATEDIF(C315,B315,"m")=1," month"," months"),DATEDIF(C315,B315,"d")&amp;IF(DATEDIF(C315,B315,"d")=1," day"," days"))))</f>
      </c>
      <c r="E315" s="100"/>
      <c r="F315" s="100"/>
      <c r="G315" s="100"/>
      <c r="H315" s="100"/>
      <c r="I315" s="100"/>
      <c r="J315" s="101"/>
      <c r="K315" s="100"/>
      <c r="L315" s="100"/>
      <c r="M315" s="102" t="str">
        <f>IFERROR(VLOOKUP(G315,Reference!$I$2:$J$175,2,FALSE()),"Operations")</f>
        <v>Operations</v>
      </c>
    </row>
    <row r="316" spans="1:13" ht="15" customHeight="1" x14ac:dyDescent="0.25">
      <c r="A316" s="103"/>
      <c r="B316" s="104"/>
      <c r="C316" s="104"/>
      <c r="D316" s="103">
        <f>IF(OR(B316="",C316=""),"",IF(DATEDIF(C316,B316,"y")&gt;=1,DATEDIF(C316,B316,"y")&amp;IF(DATEDIF(C316,B316,"y")=1," year "," years ")&amp;DATEDIF(C316,B316,"ym")&amp;IF(DATEDIF(C316,B316,"ym")=1," month"," months"),IF(DATEDIF(C316,B316,"m")&gt;=1,DATEDIF(C316,B316,"m")&amp;IF(DATEDIF(C316,B316,"m")=1," month"," months"),DATEDIF(C316,B316,"d")&amp;IF(DATEDIF(C316,B316,"d")=1," day"," days"))))</f>
      </c>
      <c r="E316" s="103"/>
      <c r="F316" s="103"/>
      <c r="G316" s="103"/>
      <c r="H316" s="103"/>
      <c r="I316" s="103"/>
      <c r="J316" s="104"/>
      <c r="K316" s="103"/>
      <c r="L316" s="103"/>
      <c r="M316" s="105" t="str">
        <f>IFERROR(VLOOKUP(G316,Reference!$I$2:$J$175,2,FALSE()),"Operations")</f>
        <v>Operations</v>
      </c>
    </row>
    <row r="317" spans="1:13" ht="15" customHeight="1" x14ac:dyDescent="0.25">
      <c r="A317" s="100"/>
      <c r="B317" s="101"/>
      <c r="C317" s="101"/>
      <c r="D317" s="100">
        <f>IF(OR(B317="",C317=""),"",IF(DATEDIF(C317,B317,"y")&gt;=1,DATEDIF(C317,B317,"y")&amp;IF(DATEDIF(C317,B317,"y")=1," year "," years ")&amp;DATEDIF(C317,B317,"ym")&amp;IF(DATEDIF(C317,B317,"ym")=1," month"," months"),IF(DATEDIF(C317,B317,"m")&gt;=1,DATEDIF(C317,B317,"m")&amp;IF(DATEDIF(C317,B317,"m")=1," month"," months"),DATEDIF(C317,B317,"d")&amp;IF(DATEDIF(C317,B317,"d")=1," day"," days"))))</f>
      </c>
      <c r="E317" s="100"/>
      <c r="F317" s="100"/>
      <c r="G317" s="100"/>
      <c r="H317" s="100"/>
      <c r="I317" s="100"/>
      <c r="J317" s="101"/>
      <c r="K317" s="100"/>
      <c r="L317" s="100"/>
      <c r="M317" s="102" t="str">
        <f>IFERROR(VLOOKUP(G317,Reference!$I$2:$J$175,2,FALSE()),"Operations")</f>
        <v>Operations</v>
      </c>
    </row>
    <row r="318" spans="1:13" ht="15" customHeight="1" x14ac:dyDescent="0.25">
      <c r="A318" s="103"/>
      <c r="B318" s="104"/>
      <c r="C318" s="104"/>
      <c r="D318" s="103">
        <f>IF(OR(B318="",C318=""),"",IF(DATEDIF(C318,B318,"y")&gt;=1,DATEDIF(C318,B318,"y")&amp;IF(DATEDIF(C318,B318,"y")=1," year "," years ")&amp;DATEDIF(C318,B318,"ym")&amp;IF(DATEDIF(C318,B318,"ym")=1," month"," months"),IF(DATEDIF(C318,B318,"m")&gt;=1,DATEDIF(C318,B318,"m")&amp;IF(DATEDIF(C318,B318,"m")=1," month"," months"),DATEDIF(C318,B318,"d")&amp;IF(DATEDIF(C318,B318,"d")=1," day"," days"))))</f>
      </c>
      <c r="E318" s="103"/>
      <c r="F318" s="103"/>
      <c r="G318" s="103"/>
      <c r="H318" s="103"/>
      <c r="I318" s="103"/>
      <c r="J318" s="104"/>
      <c r="K318" s="103"/>
      <c r="L318" s="103"/>
      <c r="M318" s="105" t="str">
        <f>IFERROR(VLOOKUP(G318,Reference!$I$2:$J$175,2,FALSE()),"Operations")</f>
        <v>Operations</v>
      </c>
    </row>
    <row r="319" spans="1:13" ht="15" customHeight="1" x14ac:dyDescent="0.25">
      <c r="A319" s="100"/>
      <c r="B319" s="101"/>
      <c r="C319" s="101"/>
      <c r="D319" s="100">
        <f>IF(OR(B319="",C319=""),"",IF(DATEDIF(C319,B319,"y")&gt;=1,DATEDIF(C319,B319,"y")&amp;IF(DATEDIF(C319,B319,"y")=1," year "," years ")&amp;DATEDIF(C319,B319,"ym")&amp;IF(DATEDIF(C319,B319,"ym")=1," month"," months"),IF(DATEDIF(C319,B319,"m")&gt;=1,DATEDIF(C319,B319,"m")&amp;IF(DATEDIF(C319,B319,"m")=1," month"," months"),DATEDIF(C319,B319,"d")&amp;IF(DATEDIF(C319,B319,"d")=1," day"," days"))))</f>
      </c>
      <c r="E319" s="100"/>
      <c r="F319" s="100"/>
      <c r="G319" s="100"/>
      <c r="H319" s="100"/>
      <c r="I319" s="100"/>
      <c r="J319" s="101"/>
      <c r="K319" s="100"/>
      <c r="L319" s="100"/>
      <c r="M319" s="102" t="str">
        <f>IFERROR(VLOOKUP(G319,Reference!$I$2:$J$175,2,FALSE()),"Operations")</f>
        <v>Operations</v>
      </c>
    </row>
    <row r="320" spans="1:13" ht="15" customHeight="1" x14ac:dyDescent="0.25">
      <c r="A320" s="103"/>
      <c r="B320" s="104"/>
      <c r="C320" s="104"/>
      <c r="D320" s="103">
        <f>IF(OR(B320="",C320=""),"",IF(DATEDIF(C320,B320,"y")&gt;=1,DATEDIF(C320,B320,"y")&amp;IF(DATEDIF(C320,B320,"y")=1," year "," years ")&amp;DATEDIF(C320,B320,"ym")&amp;IF(DATEDIF(C320,B320,"ym")=1," month"," months"),IF(DATEDIF(C320,B320,"m")&gt;=1,DATEDIF(C320,B320,"m")&amp;IF(DATEDIF(C320,B320,"m")=1," month"," months"),DATEDIF(C320,B320,"d")&amp;IF(DATEDIF(C320,B320,"d")=1," day"," days"))))</f>
      </c>
      <c r="E320" s="103"/>
      <c r="F320" s="103"/>
      <c r="G320" s="103"/>
      <c r="H320" s="103"/>
      <c r="I320" s="103"/>
      <c r="J320" s="104"/>
      <c r="K320" s="103"/>
      <c r="L320" s="103"/>
      <c r="M320" s="105" t="str">
        <f>IFERROR(VLOOKUP(G320,Reference!$I$2:$J$175,2,FALSE()),"Operations")</f>
        <v>Operations</v>
      </c>
    </row>
    <row r="321" spans="1:13" ht="15" customHeight="1" x14ac:dyDescent="0.25">
      <c r="A321" s="100"/>
      <c r="B321" s="101"/>
      <c r="C321" s="101"/>
      <c r="D321" s="100">
        <f>IF(OR(B321="",C321=""),"",IF(DATEDIF(C321,B321,"y")&gt;=1,DATEDIF(C321,B321,"y")&amp;IF(DATEDIF(C321,B321,"y")=1," year "," years ")&amp;DATEDIF(C321,B321,"ym")&amp;IF(DATEDIF(C321,B321,"ym")=1," month"," months"),IF(DATEDIF(C321,B321,"m")&gt;=1,DATEDIF(C321,B321,"m")&amp;IF(DATEDIF(C321,B321,"m")=1," month"," months"),DATEDIF(C321,B321,"d")&amp;IF(DATEDIF(C321,B321,"d")=1," day"," days"))))</f>
      </c>
      <c r="E321" s="100"/>
      <c r="F321" s="100"/>
      <c r="G321" s="100"/>
      <c r="H321" s="100"/>
      <c r="I321" s="100"/>
      <c r="J321" s="101"/>
      <c r="K321" s="100"/>
      <c r="L321" s="100"/>
      <c r="M321" s="102" t="str">
        <f>IFERROR(VLOOKUP(G321,Reference!$I$2:$J$175,2,FALSE()),"Operations")</f>
        <v>Operations</v>
      </c>
    </row>
    <row r="322" spans="1:13" ht="15" customHeight="1" x14ac:dyDescent="0.25">
      <c r="A322" s="103"/>
      <c r="B322" s="104"/>
      <c r="C322" s="104"/>
      <c r="D322" s="103">
        <f>IF(OR(B322="",C322=""),"",IF(DATEDIF(C322,B322,"y")&gt;=1,DATEDIF(C322,B322,"y")&amp;IF(DATEDIF(C322,B322,"y")=1," year "," years ")&amp;DATEDIF(C322,B322,"ym")&amp;IF(DATEDIF(C322,B322,"ym")=1," month"," months"),IF(DATEDIF(C322,B322,"m")&gt;=1,DATEDIF(C322,B322,"m")&amp;IF(DATEDIF(C322,B322,"m")=1," month"," months"),DATEDIF(C322,B322,"d")&amp;IF(DATEDIF(C322,B322,"d")=1," day"," days"))))</f>
      </c>
      <c r="E322" s="103"/>
      <c r="F322" s="103"/>
      <c r="G322" s="103"/>
      <c r="H322" s="103"/>
      <c r="I322" s="103"/>
      <c r="J322" s="104"/>
      <c r="K322" s="103"/>
      <c r="L322" s="103"/>
      <c r="M322" s="105" t="str">
        <f>IFERROR(VLOOKUP(G322,Reference!$I$2:$J$175,2,FALSE()),"Operations")</f>
        <v>Operations</v>
      </c>
    </row>
    <row r="323" spans="1:13" ht="15" customHeight="1" x14ac:dyDescent="0.25">
      <c r="A323" s="100"/>
      <c r="B323" s="101"/>
      <c r="C323" s="101"/>
      <c r="D323" s="100">
        <f>IF(OR(B323="",C323=""),"",IF(DATEDIF(C323,B323,"y")&gt;=1,DATEDIF(C323,B323,"y")&amp;IF(DATEDIF(C323,B323,"y")=1," year "," years ")&amp;DATEDIF(C323,B323,"ym")&amp;IF(DATEDIF(C323,B323,"ym")=1," month"," months"),IF(DATEDIF(C323,B323,"m")&gt;=1,DATEDIF(C323,B323,"m")&amp;IF(DATEDIF(C323,B323,"m")=1," month"," months"),DATEDIF(C323,B323,"d")&amp;IF(DATEDIF(C323,B323,"d")=1," day"," days"))))</f>
      </c>
      <c r="E323" s="100"/>
      <c r="F323" s="100"/>
      <c r="G323" s="100"/>
      <c r="H323" s="100"/>
      <c r="I323" s="100"/>
      <c r="J323" s="101"/>
      <c r="K323" s="100"/>
      <c r="L323" s="100"/>
      <c r="M323" s="102" t="str">
        <f>IFERROR(VLOOKUP(G323,Reference!$I$2:$J$175,2,FALSE()),"Operations")</f>
        <v>Operations</v>
      </c>
    </row>
    <row r="324" spans="1:13" ht="15" customHeight="1" x14ac:dyDescent="0.25">
      <c r="A324" s="103"/>
      <c r="B324" s="104"/>
      <c r="C324" s="104"/>
      <c r="D324" s="103">
        <f>IF(OR(B324="",C324=""),"",IF(DATEDIF(C324,B324,"y")&gt;=1,DATEDIF(C324,B324,"y")&amp;IF(DATEDIF(C324,B324,"y")=1," year "," years ")&amp;DATEDIF(C324,B324,"ym")&amp;IF(DATEDIF(C324,B324,"ym")=1," month"," months"),IF(DATEDIF(C324,B324,"m")&gt;=1,DATEDIF(C324,B324,"m")&amp;IF(DATEDIF(C324,B324,"m")=1," month"," months"),DATEDIF(C324,B324,"d")&amp;IF(DATEDIF(C324,B324,"d")=1," day"," days"))))</f>
      </c>
      <c r="E324" s="103"/>
      <c r="F324" s="103"/>
      <c r="G324" s="103"/>
      <c r="H324" s="103"/>
      <c r="I324" s="103"/>
      <c r="J324" s="104"/>
      <c r="K324" s="103"/>
      <c r="L324" s="103"/>
      <c r="M324" s="105" t="str">
        <f>IFERROR(VLOOKUP(G324,Reference!$I$2:$J$175,2,FALSE()),"Operations")</f>
        <v>Operations</v>
      </c>
    </row>
    <row r="325" spans="1:13" ht="15" customHeight="1" x14ac:dyDescent="0.25">
      <c r="A325" s="100"/>
      <c r="B325" s="101"/>
      <c r="C325" s="101"/>
      <c r="D325" s="100">
        <f>IF(OR(B325="",C325=""),"",IF(DATEDIF(C325,B325,"y")&gt;=1,DATEDIF(C325,B325,"y")&amp;IF(DATEDIF(C325,B325,"y")=1," year "," years ")&amp;DATEDIF(C325,B325,"ym")&amp;IF(DATEDIF(C325,B325,"ym")=1," month"," months"),IF(DATEDIF(C325,B325,"m")&gt;=1,DATEDIF(C325,B325,"m")&amp;IF(DATEDIF(C325,B325,"m")=1," month"," months"),DATEDIF(C325,B325,"d")&amp;IF(DATEDIF(C325,B325,"d")=1," day"," days"))))</f>
      </c>
      <c r="E325" s="100"/>
      <c r="F325" s="100"/>
      <c r="G325" s="100"/>
      <c r="H325" s="100"/>
      <c r="I325" s="100"/>
      <c r="J325" s="101"/>
      <c r="K325" s="100"/>
      <c r="L325" s="100"/>
      <c r="M325" s="102" t="str">
        <f>IFERROR(VLOOKUP(G325,Reference!$I$2:$J$175,2,FALSE()),"Operations")</f>
        <v>Operations</v>
      </c>
    </row>
    <row r="326" spans="1:13" ht="15" customHeight="1" x14ac:dyDescent="0.25">
      <c r="A326" s="103"/>
      <c r="B326" s="104"/>
      <c r="C326" s="104"/>
      <c r="D326" s="103">
        <f>IF(OR(B326="",C326=""),"",IF(DATEDIF(C326,B326,"y")&gt;=1,DATEDIF(C326,B326,"y")&amp;IF(DATEDIF(C326,B326,"y")=1," year "," years ")&amp;DATEDIF(C326,B326,"ym")&amp;IF(DATEDIF(C326,B326,"ym")=1," month"," months"),IF(DATEDIF(C326,B326,"m")&gt;=1,DATEDIF(C326,B326,"m")&amp;IF(DATEDIF(C326,B326,"m")=1," month"," months"),DATEDIF(C326,B326,"d")&amp;IF(DATEDIF(C326,B326,"d")=1," day"," days"))))</f>
      </c>
      <c r="E326" s="103"/>
      <c r="F326" s="103"/>
      <c r="G326" s="103"/>
      <c r="H326" s="103"/>
      <c r="I326" s="103"/>
      <c r="J326" s="104"/>
      <c r="K326" s="103"/>
      <c r="L326" s="103"/>
      <c r="M326" s="105" t="str">
        <f>IFERROR(VLOOKUP(G326,Reference!$I$2:$J$175,2,FALSE()),"Operations")</f>
        <v>Operations</v>
      </c>
    </row>
    <row r="327" spans="1:13" ht="15" customHeight="1" x14ac:dyDescent="0.25">
      <c r="A327" s="100"/>
      <c r="B327" s="101"/>
      <c r="C327" s="101"/>
      <c r="D327" s="100">
        <f>IF(OR(B327="",C327=""),"",IF(DATEDIF(C327,B327,"y")&gt;=1,DATEDIF(C327,B327,"y")&amp;IF(DATEDIF(C327,B327,"y")=1," year "," years ")&amp;DATEDIF(C327,B327,"ym")&amp;IF(DATEDIF(C327,B327,"ym")=1," month"," months"),IF(DATEDIF(C327,B327,"m")&gt;=1,DATEDIF(C327,B327,"m")&amp;IF(DATEDIF(C327,B327,"m")=1," month"," months"),DATEDIF(C327,B327,"d")&amp;IF(DATEDIF(C327,B327,"d")=1," day"," days"))))</f>
      </c>
      <c r="E327" s="100"/>
      <c r="F327" s="100"/>
      <c r="G327" s="100"/>
      <c r="H327" s="100"/>
      <c r="I327" s="100"/>
      <c r="J327" s="101"/>
      <c r="K327" s="100"/>
      <c r="L327" s="100"/>
      <c r="M327" s="102" t="str">
        <f>IFERROR(VLOOKUP(G327,Reference!$I$2:$J$175,2,FALSE()),"Operations")</f>
        <v>Operations</v>
      </c>
    </row>
    <row r="328" spans="1:13" ht="15" customHeight="1" x14ac:dyDescent="0.25">
      <c r="A328" s="103"/>
      <c r="B328" s="104"/>
      <c r="C328" s="104"/>
      <c r="D328" s="103">
        <f>IF(OR(B328="",C328=""),"",IF(DATEDIF(C328,B328,"y")&gt;=1,DATEDIF(C328,B328,"y")&amp;IF(DATEDIF(C328,B328,"y")=1," year "," years ")&amp;DATEDIF(C328,B328,"ym")&amp;IF(DATEDIF(C328,B328,"ym")=1," month"," months"),IF(DATEDIF(C328,B328,"m")&gt;=1,DATEDIF(C328,B328,"m")&amp;IF(DATEDIF(C328,B328,"m")=1," month"," months"),DATEDIF(C328,B328,"d")&amp;IF(DATEDIF(C328,B328,"d")=1," day"," days"))))</f>
      </c>
      <c r="E328" s="103"/>
      <c r="F328" s="103"/>
      <c r="G328" s="103"/>
      <c r="H328" s="103"/>
      <c r="I328" s="103"/>
      <c r="J328" s="104"/>
      <c r="K328" s="103"/>
      <c r="L328" s="103"/>
      <c r="M328" s="105" t="str">
        <f>IFERROR(VLOOKUP(G328,Reference!$I$2:$J$175,2,FALSE()),"Operations")</f>
        <v>Operations</v>
      </c>
    </row>
    <row r="329" spans="1:13" ht="15" customHeight="1" x14ac:dyDescent="0.25">
      <c r="A329" s="100"/>
      <c r="B329" s="101"/>
      <c r="C329" s="101"/>
      <c r="D329" s="100">
        <f>IF(OR(B329="",C329=""),"",IF(DATEDIF(C329,B329,"y")&gt;=1,DATEDIF(C329,B329,"y")&amp;IF(DATEDIF(C329,B329,"y")=1," year "," years ")&amp;DATEDIF(C329,B329,"ym")&amp;IF(DATEDIF(C329,B329,"ym")=1," month"," months"),IF(DATEDIF(C329,B329,"m")&gt;=1,DATEDIF(C329,B329,"m")&amp;IF(DATEDIF(C329,B329,"m")=1," month"," months"),DATEDIF(C329,B329,"d")&amp;IF(DATEDIF(C329,B329,"d")=1," day"," days"))))</f>
      </c>
      <c r="E329" s="100"/>
      <c r="F329" s="100"/>
      <c r="G329" s="100"/>
      <c r="H329" s="100"/>
      <c r="I329" s="100"/>
      <c r="J329" s="101"/>
      <c r="K329" s="100"/>
      <c r="L329" s="100"/>
      <c r="M329" s="102" t="str">
        <f>IFERROR(VLOOKUP(G329,Reference!$I$2:$J$175,2,FALSE()),"Operations")</f>
        <v>Operations</v>
      </c>
    </row>
    <row r="330" spans="1:13" ht="15" customHeight="1" x14ac:dyDescent="0.25">
      <c r="A330" s="103"/>
      <c r="B330" s="104"/>
      <c r="C330" s="104"/>
      <c r="D330" s="103">
        <f>IF(OR(B330="",C330=""),"",IF(DATEDIF(C330,B330,"y")&gt;=1,DATEDIF(C330,B330,"y")&amp;IF(DATEDIF(C330,B330,"y")=1," year "," years ")&amp;DATEDIF(C330,B330,"ym")&amp;IF(DATEDIF(C330,B330,"ym")=1," month"," months"),IF(DATEDIF(C330,B330,"m")&gt;=1,DATEDIF(C330,B330,"m")&amp;IF(DATEDIF(C330,B330,"m")=1," month"," months"),DATEDIF(C330,B330,"d")&amp;IF(DATEDIF(C330,B330,"d")=1," day"," days"))))</f>
      </c>
      <c r="E330" s="103"/>
      <c r="F330" s="103"/>
      <c r="G330" s="103"/>
      <c r="H330" s="103"/>
      <c r="I330" s="103"/>
      <c r="J330" s="104"/>
      <c r="K330" s="103"/>
      <c r="L330" s="103"/>
      <c r="M330" s="105" t="str">
        <f>IFERROR(VLOOKUP(G330,Reference!$I$2:$J$175,2,FALSE()),"Operations")</f>
        <v>Operations</v>
      </c>
    </row>
    <row r="331" spans="1:13" ht="15" customHeight="1" x14ac:dyDescent="0.25">
      <c r="A331" s="100"/>
      <c r="B331" s="101"/>
      <c r="C331" s="101"/>
      <c r="D331" s="100">
        <f>IF(OR(B331="",C331=""),"",IF(DATEDIF(C331,B331,"y")&gt;=1,DATEDIF(C331,B331,"y")&amp;IF(DATEDIF(C331,B331,"y")=1," year "," years ")&amp;DATEDIF(C331,B331,"ym")&amp;IF(DATEDIF(C331,B331,"ym")=1," month"," months"),IF(DATEDIF(C331,B331,"m")&gt;=1,DATEDIF(C331,B331,"m")&amp;IF(DATEDIF(C331,B331,"m")=1," month"," months"),DATEDIF(C331,B331,"d")&amp;IF(DATEDIF(C331,B331,"d")=1," day"," days"))))</f>
      </c>
      <c r="E331" s="100"/>
      <c r="F331" s="100"/>
      <c r="G331" s="100"/>
      <c r="H331" s="100"/>
      <c r="I331" s="100"/>
      <c r="J331" s="101"/>
      <c r="K331" s="100"/>
      <c r="L331" s="100"/>
      <c r="M331" s="102" t="str">
        <f>IFERROR(VLOOKUP(G331,Reference!$I$2:$J$175,2,FALSE()),"Operations")</f>
        <v>Operations</v>
      </c>
    </row>
    <row r="332" spans="1:13" ht="15" customHeight="1" x14ac:dyDescent="0.25">
      <c r="A332" s="103"/>
      <c r="B332" s="104"/>
      <c r="C332" s="104"/>
      <c r="D332" s="103">
        <f>IF(OR(B332="",C332=""),"",IF(DATEDIF(C332,B332,"y")&gt;=1,DATEDIF(C332,B332,"y")&amp;IF(DATEDIF(C332,B332,"y")=1," year "," years ")&amp;DATEDIF(C332,B332,"ym")&amp;IF(DATEDIF(C332,B332,"ym")=1," month"," months"),IF(DATEDIF(C332,B332,"m")&gt;=1,DATEDIF(C332,B332,"m")&amp;IF(DATEDIF(C332,B332,"m")=1," month"," months"),DATEDIF(C332,B332,"d")&amp;IF(DATEDIF(C332,B332,"d")=1," day"," days"))))</f>
      </c>
      <c r="E332" s="103"/>
      <c r="F332" s="103"/>
      <c r="G332" s="103"/>
      <c r="H332" s="103"/>
      <c r="I332" s="103"/>
      <c r="J332" s="104"/>
      <c r="K332" s="103"/>
      <c r="L332" s="103"/>
      <c r="M332" s="105" t="str">
        <f>IFERROR(VLOOKUP(G332,Reference!$I$2:$J$175,2,FALSE()),"Operations")</f>
        <v>Operations</v>
      </c>
    </row>
    <row r="333" spans="1:13" ht="15" customHeight="1" x14ac:dyDescent="0.25">
      <c r="A333" s="100"/>
      <c r="B333" s="101"/>
      <c r="C333" s="101"/>
      <c r="D333" s="100">
        <f>IF(OR(B333="",C333=""),"",IF(DATEDIF(C333,B333,"y")&gt;=1,DATEDIF(C333,B333,"y")&amp;IF(DATEDIF(C333,B333,"y")=1," year "," years ")&amp;DATEDIF(C333,B333,"ym")&amp;IF(DATEDIF(C333,B333,"ym")=1," month"," months"),IF(DATEDIF(C333,B333,"m")&gt;=1,DATEDIF(C333,B333,"m")&amp;IF(DATEDIF(C333,B333,"m")=1," month"," months"),DATEDIF(C333,B333,"d")&amp;IF(DATEDIF(C333,B333,"d")=1," day"," days"))))</f>
      </c>
      <c r="E333" s="100"/>
      <c r="F333" s="100"/>
      <c r="G333" s="100"/>
      <c r="H333" s="100"/>
      <c r="I333" s="100"/>
      <c r="J333" s="101"/>
      <c r="K333" s="100"/>
      <c r="L333" s="100"/>
      <c r="M333" s="102" t="str">
        <f>IFERROR(VLOOKUP(G333,Reference!$I$2:$J$175,2,FALSE()),"Operations")</f>
        <v>Operations</v>
      </c>
    </row>
    <row r="334" spans="1:13" ht="15" customHeight="1" x14ac:dyDescent="0.25">
      <c r="A334" s="103"/>
      <c r="B334" s="104"/>
      <c r="C334" s="104"/>
      <c r="D334" s="103">
        <f>IF(OR(B334="",C334=""),"",IF(DATEDIF(C334,B334,"y")&gt;=1,DATEDIF(C334,B334,"y")&amp;IF(DATEDIF(C334,B334,"y")=1," year "," years ")&amp;DATEDIF(C334,B334,"ym")&amp;IF(DATEDIF(C334,B334,"ym")=1," month"," months"),IF(DATEDIF(C334,B334,"m")&gt;=1,DATEDIF(C334,B334,"m")&amp;IF(DATEDIF(C334,B334,"m")=1," month"," months"),DATEDIF(C334,B334,"d")&amp;IF(DATEDIF(C334,B334,"d")=1," day"," days"))))</f>
      </c>
      <c r="E334" s="103"/>
      <c r="F334" s="103"/>
      <c r="G334" s="103"/>
      <c r="H334" s="103"/>
      <c r="I334" s="103"/>
      <c r="J334" s="104"/>
      <c r="K334" s="103"/>
      <c r="L334" s="103"/>
      <c r="M334" s="105" t="str">
        <f>IFERROR(VLOOKUP(G334,Reference!$I$2:$J$175,2,FALSE()),"Operations")</f>
        <v>Operations</v>
      </c>
    </row>
    <row r="335" spans="1:13" ht="15" customHeight="1" x14ac:dyDescent="0.25">
      <c r="A335" s="100"/>
      <c r="B335" s="101"/>
      <c r="C335" s="101"/>
      <c r="D335" s="100">
        <f>IF(OR(B335="",C335=""),"",IF(DATEDIF(C335,B335,"y")&gt;=1,DATEDIF(C335,B335,"y")&amp;IF(DATEDIF(C335,B335,"y")=1," year "," years ")&amp;DATEDIF(C335,B335,"ym")&amp;IF(DATEDIF(C335,B335,"ym")=1," month"," months"),IF(DATEDIF(C335,B335,"m")&gt;=1,DATEDIF(C335,B335,"m")&amp;IF(DATEDIF(C335,B335,"m")=1," month"," months"),DATEDIF(C335,B335,"d")&amp;IF(DATEDIF(C335,B335,"d")=1," day"," days"))))</f>
      </c>
      <c r="E335" s="100"/>
      <c r="F335" s="100"/>
      <c r="G335" s="100"/>
      <c r="H335" s="100"/>
      <c r="I335" s="100"/>
      <c r="J335" s="101"/>
      <c r="K335" s="100"/>
      <c r="L335" s="100"/>
      <c r="M335" s="102" t="str">
        <f>IFERROR(VLOOKUP(G335,Reference!$I$2:$J$175,2,FALSE()),"Operations")</f>
        <v>Operations</v>
      </c>
    </row>
    <row r="336" spans="1:13" ht="15" customHeight="1" x14ac:dyDescent="0.25">
      <c r="A336" s="103"/>
      <c r="B336" s="104"/>
      <c r="C336" s="104"/>
      <c r="D336" s="103">
        <f>IF(OR(B336="",C336=""),"",IF(DATEDIF(C336,B336,"y")&gt;=1,DATEDIF(C336,B336,"y")&amp;IF(DATEDIF(C336,B336,"y")=1," year "," years ")&amp;DATEDIF(C336,B336,"ym")&amp;IF(DATEDIF(C336,B336,"ym")=1," month"," months"),IF(DATEDIF(C336,B336,"m")&gt;=1,DATEDIF(C336,B336,"m")&amp;IF(DATEDIF(C336,B336,"m")=1," month"," months"),DATEDIF(C336,B336,"d")&amp;IF(DATEDIF(C336,B336,"d")=1," day"," days"))))</f>
      </c>
      <c r="E336" s="103"/>
      <c r="F336" s="103"/>
      <c r="G336" s="103"/>
      <c r="H336" s="103"/>
      <c r="I336" s="103"/>
      <c r="J336" s="104"/>
      <c r="K336" s="103"/>
      <c r="L336" s="103"/>
      <c r="M336" s="105" t="str">
        <f>IFERROR(VLOOKUP(G336,Reference!$I$2:$J$175,2,FALSE()),"Operations")</f>
        <v>Operations</v>
      </c>
    </row>
    <row r="337" spans="1:13" ht="15" customHeight="1" x14ac:dyDescent="0.25">
      <c r="A337" s="100"/>
      <c r="B337" s="101"/>
      <c r="C337" s="101"/>
      <c r="D337" s="100">
        <f>IF(OR(B337="",C337=""),"",IF(DATEDIF(C337,B337,"y")&gt;=1,DATEDIF(C337,B337,"y")&amp;IF(DATEDIF(C337,B337,"y")=1," year "," years ")&amp;DATEDIF(C337,B337,"ym")&amp;IF(DATEDIF(C337,B337,"ym")=1," month"," months"),IF(DATEDIF(C337,B337,"m")&gt;=1,DATEDIF(C337,B337,"m")&amp;IF(DATEDIF(C337,B337,"m")=1," month"," months"),DATEDIF(C337,B337,"d")&amp;IF(DATEDIF(C337,B337,"d")=1," day"," days"))))</f>
      </c>
      <c r="E337" s="100"/>
      <c r="F337" s="100"/>
      <c r="G337" s="100"/>
      <c r="H337" s="100"/>
      <c r="I337" s="100"/>
      <c r="J337" s="101"/>
      <c r="K337" s="100"/>
      <c r="L337" s="100"/>
      <c r="M337" s="102" t="str">
        <f>IFERROR(VLOOKUP(G337,Reference!$I$2:$J$175,2,FALSE()),"Operations")</f>
        <v>Operations</v>
      </c>
    </row>
    <row r="338" spans="1:13" ht="15" customHeight="1" x14ac:dyDescent="0.25">
      <c r="A338" s="103"/>
      <c r="B338" s="104"/>
      <c r="C338" s="104"/>
      <c r="D338" s="103">
        <f>IF(OR(B338="",C338=""),"",IF(DATEDIF(C338,B338,"y")&gt;=1,DATEDIF(C338,B338,"y")&amp;IF(DATEDIF(C338,B338,"y")=1," year "," years ")&amp;DATEDIF(C338,B338,"ym")&amp;IF(DATEDIF(C338,B338,"ym")=1," month"," months"),IF(DATEDIF(C338,B338,"m")&gt;=1,DATEDIF(C338,B338,"m")&amp;IF(DATEDIF(C338,B338,"m")=1," month"," months"),DATEDIF(C338,B338,"d")&amp;IF(DATEDIF(C338,B338,"d")=1," day"," days"))))</f>
      </c>
      <c r="E338" s="103"/>
      <c r="F338" s="103"/>
      <c r="G338" s="103"/>
      <c r="H338" s="103"/>
      <c r="I338" s="103"/>
      <c r="J338" s="104"/>
      <c r="K338" s="103"/>
      <c r="L338" s="103"/>
      <c r="M338" s="105" t="str">
        <f>IFERROR(VLOOKUP(G338,Reference!$I$2:$J$175,2,FALSE()),"Operations")</f>
        <v>Operations</v>
      </c>
    </row>
    <row r="339" spans="1:13" ht="15" customHeight="1" x14ac:dyDescent="0.25">
      <c r="A339" s="100"/>
      <c r="B339" s="101"/>
      <c r="C339" s="101"/>
      <c r="D339" s="100">
        <f>IF(OR(B339="",C339=""),"",IF(DATEDIF(C339,B339,"y")&gt;=1,DATEDIF(C339,B339,"y")&amp;IF(DATEDIF(C339,B339,"y")=1," year "," years ")&amp;DATEDIF(C339,B339,"ym")&amp;IF(DATEDIF(C339,B339,"ym")=1," month"," months"),IF(DATEDIF(C339,B339,"m")&gt;=1,DATEDIF(C339,B339,"m")&amp;IF(DATEDIF(C339,B339,"m")=1," month"," months"),DATEDIF(C339,B339,"d")&amp;IF(DATEDIF(C339,B339,"d")=1," day"," days"))))</f>
      </c>
      <c r="E339" s="100"/>
      <c r="F339" s="100"/>
      <c r="G339" s="100"/>
      <c r="H339" s="100"/>
      <c r="I339" s="100"/>
      <c r="J339" s="101"/>
      <c r="K339" s="100"/>
      <c r="L339" s="100"/>
      <c r="M339" s="102" t="str">
        <f>IFERROR(VLOOKUP(G339,Reference!$I$2:$J$175,2,FALSE()),"Operations")</f>
        <v>Operations</v>
      </c>
    </row>
    <row r="340" spans="1:13" ht="15" customHeight="1" x14ac:dyDescent="0.25">
      <c r="A340" s="103"/>
      <c r="B340" s="104"/>
      <c r="C340" s="104"/>
      <c r="D340" s="103">
        <f>IF(OR(B340="",C340=""),"",IF(DATEDIF(C340,B340,"y")&gt;=1,DATEDIF(C340,B340,"y")&amp;IF(DATEDIF(C340,B340,"y")=1," year "," years ")&amp;DATEDIF(C340,B340,"ym")&amp;IF(DATEDIF(C340,B340,"ym")=1," month"," months"),IF(DATEDIF(C340,B340,"m")&gt;=1,DATEDIF(C340,B340,"m")&amp;IF(DATEDIF(C340,B340,"m")=1," month"," months"),DATEDIF(C340,B340,"d")&amp;IF(DATEDIF(C340,B340,"d")=1," day"," days"))))</f>
      </c>
      <c r="E340" s="103"/>
      <c r="F340" s="103"/>
      <c r="G340" s="103"/>
      <c r="H340" s="103"/>
      <c r="I340" s="103"/>
      <c r="J340" s="104"/>
      <c r="K340" s="103"/>
      <c r="L340" s="103"/>
      <c r="M340" s="105" t="str">
        <f>IFERROR(VLOOKUP(G340,Reference!$I$2:$J$175,2,FALSE()),"Operations")</f>
        <v>Operations</v>
      </c>
    </row>
    <row r="341" spans="1:13" ht="15" customHeight="1" x14ac:dyDescent="0.25">
      <c r="A341" s="100"/>
      <c r="B341" s="101"/>
      <c r="C341" s="101"/>
      <c r="D341" s="100">
        <f>IF(OR(B341="",C341=""),"",IF(DATEDIF(C341,B341,"y")&gt;=1,DATEDIF(C341,B341,"y")&amp;IF(DATEDIF(C341,B341,"y")=1," year "," years ")&amp;DATEDIF(C341,B341,"ym")&amp;IF(DATEDIF(C341,B341,"ym")=1," month"," months"),IF(DATEDIF(C341,B341,"m")&gt;=1,DATEDIF(C341,B341,"m")&amp;IF(DATEDIF(C341,B341,"m")=1," month"," months"),DATEDIF(C341,B341,"d")&amp;IF(DATEDIF(C341,B341,"d")=1," day"," days"))))</f>
      </c>
      <c r="E341" s="100"/>
      <c r="F341" s="100"/>
      <c r="G341" s="100"/>
      <c r="H341" s="100"/>
      <c r="I341" s="100"/>
      <c r="J341" s="101"/>
      <c r="K341" s="100"/>
      <c r="L341" s="100"/>
      <c r="M341" s="102" t="str">
        <f>IFERROR(VLOOKUP(G341,Reference!$I$2:$J$175,2,FALSE()),"Operations")</f>
        <v>Operations</v>
      </c>
    </row>
    <row r="342" spans="1:13" ht="15" customHeight="1" x14ac:dyDescent="0.25">
      <c r="A342" s="103"/>
      <c r="B342" s="104"/>
      <c r="C342" s="104"/>
      <c r="D342" s="103">
        <f>IF(OR(B342="",C342=""),"",IF(DATEDIF(C342,B342,"y")&gt;=1,DATEDIF(C342,B342,"y")&amp;IF(DATEDIF(C342,B342,"y")=1," year "," years ")&amp;DATEDIF(C342,B342,"ym")&amp;IF(DATEDIF(C342,B342,"ym")=1," month"," months"),IF(DATEDIF(C342,B342,"m")&gt;=1,DATEDIF(C342,B342,"m")&amp;IF(DATEDIF(C342,B342,"m")=1," month"," months"),DATEDIF(C342,B342,"d")&amp;IF(DATEDIF(C342,B342,"d")=1," day"," days"))))</f>
      </c>
      <c r="E342" s="103"/>
      <c r="F342" s="103"/>
      <c r="G342" s="103"/>
      <c r="H342" s="103"/>
      <c r="I342" s="103"/>
      <c r="J342" s="104"/>
      <c r="K342" s="103"/>
      <c r="L342" s="103"/>
      <c r="M342" s="105" t="str">
        <f>IFERROR(VLOOKUP(G342,Reference!$I$2:$J$175,2,FALSE()),"Operations")</f>
        <v>Operations</v>
      </c>
    </row>
    <row r="343" spans="1:13" ht="15" customHeight="1" x14ac:dyDescent="0.25">
      <c r="A343" s="100"/>
      <c r="B343" s="101"/>
      <c r="C343" s="101"/>
      <c r="D343" s="100">
        <f>IF(OR(B343="",C343=""),"",IF(DATEDIF(C343,B343,"y")&gt;=1,DATEDIF(C343,B343,"y")&amp;IF(DATEDIF(C343,B343,"y")=1," year "," years ")&amp;DATEDIF(C343,B343,"ym")&amp;IF(DATEDIF(C343,B343,"ym")=1," month"," months"),IF(DATEDIF(C343,B343,"m")&gt;=1,DATEDIF(C343,B343,"m")&amp;IF(DATEDIF(C343,B343,"m")=1," month"," months"),DATEDIF(C343,B343,"d")&amp;IF(DATEDIF(C343,B343,"d")=1," day"," days"))))</f>
      </c>
      <c r="E343" s="100"/>
      <c r="F343" s="100"/>
      <c r="G343" s="100"/>
      <c r="H343" s="100"/>
      <c r="I343" s="100"/>
      <c r="J343" s="101"/>
      <c r="K343" s="100"/>
      <c r="L343" s="100"/>
      <c r="M343" s="102" t="str">
        <f>IFERROR(VLOOKUP(G343,Reference!$I$2:$J$175,2,FALSE()),"Operations")</f>
        <v>Operations</v>
      </c>
    </row>
    <row r="344" spans="1:13" ht="15" customHeight="1" x14ac:dyDescent="0.25">
      <c r="A344" s="103"/>
      <c r="B344" s="104"/>
      <c r="C344" s="104"/>
      <c r="D344" s="103">
        <f>IF(OR(B344="",C344=""),"",IF(DATEDIF(C344,B344,"y")&gt;=1,DATEDIF(C344,B344,"y")&amp;IF(DATEDIF(C344,B344,"y")=1," year "," years ")&amp;DATEDIF(C344,B344,"ym")&amp;IF(DATEDIF(C344,B344,"ym")=1," month"," months"),IF(DATEDIF(C344,B344,"m")&gt;=1,DATEDIF(C344,B344,"m")&amp;IF(DATEDIF(C344,B344,"m")=1," month"," months"),DATEDIF(C344,B344,"d")&amp;IF(DATEDIF(C344,B344,"d")=1," day"," days"))))</f>
      </c>
      <c r="E344" s="103"/>
      <c r="F344" s="103"/>
      <c r="G344" s="103"/>
      <c r="H344" s="103"/>
      <c r="I344" s="103"/>
      <c r="J344" s="104"/>
      <c r="K344" s="103"/>
      <c r="L344" s="103"/>
      <c r="M344" s="105" t="str">
        <f>IFERROR(VLOOKUP(G344,Reference!$I$2:$J$175,2,FALSE()),"Operations")</f>
        <v>Operations</v>
      </c>
    </row>
    <row r="345" spans="1:13" ht="15" customHeight="1" x14ac:dyDescent="0.25">
      <c r="A345" s="106" t="s">
        <v>163</v>
      </c>
      <c r="B345" s="107">
        <f>COUNTA(A315:A344)</f>
        <v>0</v>
      </c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</row>
    <row r="346" spans="1:13" ht="6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</row>
    <row r="347" spans="1:13" ht="21.75" customHeight="1" x14ac:dyDescent="0.25">
      <c r="A347" s="163" t="s">
        <v>173</v>
      </c>
      <c r="B347" s="163"/>
      <c r="C347" s="163"/>
      <c r="D347" s="163"/>
      <c r="E347" s="163"/>
      <c r="F347" s="163"/>
      <c r="G347" s="163"/>
      <c r="H347" s="163"/>
      <c r="I347" s="163"/>
      <c r="J347" s="163"/>
      <c r="K347" s="163"/>
      <c r="L347" s="163"/>
      <c r="M347" s="163"/>
    </row>
    <row r="348" spans="1:13" ht="19.5" customHeight="1" x14ac:dyDescent="0.25">
      <c r="A348" s="64" t="s">
        <v>151</v>
      </c>
      <c r="B348" s="64" t="s">
        <v>152</v>
      </c>
      <c r="C348" s="64" t="s">
        <v>153</v>
      </c>
      <c r="D348" s="64" t="s">
        <v>154</v>
      </c>
      <c r="E348" s="64" t="s">
        <v>155</v>
      </c>
      <c r="F348" s="64" t="s">
        <v>156</v>
      </c>
      <c r="G348" s="64" t="s">
        <v>157</v>
      </c>
      <c r="H348" s="64" t="s">
        <v>158</v>
      </c>
      <c r="I348" s="64" t="s">
        <v>159</v>
      </c>
      <c r="J348" s="64" t="s">
        <v>160</v>
      </c>
      <c r="K348" s="64" t="s">
        <v>134</v>
      </c>
      <c r="L348" s="64" t="s">
        <v>161</v>
      </c>
      <c r="M348" s="64" t="s">
        <v>162</v>
      </c>
    </row>
    <row r="349" spans="1:13" ht="15" customHeight="1" x14ac:dyDescent="0.25">
      <c r="A349" s="100"/>
      <c r="B349" s="101"/>
      <c r="C349" s="101"/>
      <c r="D349" s="100">
        <f>IF(OR(B349="",C349=""),"",IF(DATEDIF(C349,B349,"y")&gt;=1,DATEDIF(C349,B349,"y")&amp;IF(DATEDIF(C349,B349,"y")=1," year "," years ")&amp;DATEDIF(C349,B349,"ym")&amp;IF(DATEDIF(C349,B349,"ym")=1," month"," months"),IF(DATEDIF(C349,B349,"m")&gt;=1,DATEDIF(C349,B349,"m")&amp;IF(DATEDIF(C349,B349,"m")=1," month"," months"),DATEDIF(C349,B349,"d")&amp;IF(DATEDIF(C349,B349,"d")=1," day"," days"))))</f>
      </c>
      <c r="E349" s="100"/>
      <c r="F349" s="100"/>
      <c r="G349" s="100"/>
      <c r="H349" s="100"/>
      <c r="I349" s="100"/>
      <c r="J349" s="101"/>
      <c r="K349" s="100"/>
      <c r="L349" s="100"/>
      <c r="M349" s="102" t="str">
        <f>IFERROR(VLOOKUP(G349,Reference!$I$2:$J$175,2,FALSE()),"Operations")</f>
        <v>Operations</v>
      </c>
    </row>
    <row r="350" spans="1:13" ht="15" customHeight="1" x14ac:dyDescent="0.25">
      <c r="A350" s="103"/>
      <c r="B350" s="104"/>
      <c r="C350" s="104"/>
      <c r="D350" s="103">
        <f>IF(OR(B350="",C350=""),"",IF(DATEDIF(C350,B350,"y")&gt;=1,DATEDIF(C350,B350,"y")&amp;IF(DATEDIF(C350,B350,"y")=1," year "," years ")&amp;DATEDIF(C350,B350,"ym")&amp;IF(DATEDIF(C350,B350,"ym")=1," month"," months"),IF(DATEDIF(C350,B350,"m")&gt;=1,DATEDIF(C350,B350,"m")&amp;IF(DATEDIF(C350,B350,"m")=1," month"," months"),DATEDIF(C350,B350,"d")&amp;IF(DATEDIF(C350,B350,"d")=1," day"," days"))))</f>
      </c>
      <c r="E350" s="103"/>
      <c r="F350" s="103"/>
      <c r="G350" s="103"/>
      <c r="H350" s="103"/>
      <c r="I350" s="103"/>
      <c r="J350" s="104"/>
      <c r="K350" s="103"/>
      <c r="L350" s="103"/>
      <c r="M350" s="105" t="str">
        <f>IFERROR(VLOOKUP(G350,Reference!$I$2:$J$175,2,FALSE()),"Operations")</f>
        <v>Operations</v>
      </c>
    </row>
    <row r="351" spans="1:13" ht="15" customHeight="1" x14ac:dyDescent="0.25">
      <c r="A351" s="100"/>
      <c r="B351" s="101"/>
      <c r="C351" s="101"/>
      <c r="D351" s="100">
        <f>IF(OR(B351="",C351=""),"",IF(DATEDIF(C351,B351,"y")&gt;=1,DATEDIF(C351,B351,"y")&amp;IF(DATEDIF(C351,B351,"y")=1," year "," years ")&amp;DATEDIF(C351,B351,"ym")&amp;IF(DATEDIF(C351,B351,"ym")=1," month"," months"),IF(DATEDIF(C351,B351,"m")&gt;=1,DATEDIF(C351,B351,"m")&amp;IF(DATEDIF(C351,B351,"m")=1," month"," months"),DATEDIF(C351,B351,"d")&amp;IF(DATEDIF(C351,B351,"d")=1," day"," days"))))</f>
      </c>
      <c r="E351" s="100"/>
      <c r="F351" s="100"/>
      <c r="G351" s="100"/>
      <c r="H351" s="100"/>
      <c r="I351" s="100"/>
      <c r="J351" s="101"/>
      <c r="K351" s="100"/>
      <c r="L351" s="100"/>
      <c r="M351" s="102" t="str">
        <f>IFERROR(VLOOKUP(G351,Reference!$I$2:$J$175,2,FALSE()),"Operations")</f>
        <v>Operations</v>
      </c>
    </row>
    <row r="352" spans="1:13" ht="15" customHeight="1" x14ac:dyDescent="0.25">
      <c r="A352" s="103"/>
      <c r="B352" s="104"/>
      <c r="C352" s="104"/>
      <c r="D352" s="103">
        <f>IF(OR(B352="",C352=""),"",IF(DATEDIF(C352,B352,"y")&gt;=1,DATEDIF(C352,B352,"y")&amp;IF(DATEDIF(C352,B352,"y")=1," year "," years ")&amp;DATEDIF(C352,B352,"ym")&amp;IF(DATEDIF(C352,B352,"ym")=1," month"," months"),IF(DATEDIF(C352,B352,"m")&gt;=1,DATEDIF(C352,B352,"m")&amp;IF(DATEDIF(C352,B352,"m")=1," month"," months"),DATEDIF(C352,B352,"d")&amp;IF(DATEDIF(C352,B352,"d")=1," day"," days"))))</f>
      </c>
      <c r="E352" s="103"/>
      <c r="F352" s="103"/>
      <c r="G352" s="103"/>
      <c r="H352" s="103"/>
      <c r="I352" s="103"/>
      <c r="J352" s="104"/>
      <c r="K352" s="103"/>
      <c r="L352" s="103"/>
      <c r="M352" s="105" t="str">
        <f>IFERROR(VLOOKUP(G352,Reference!$I$2:$J$175,2,FALSE()),"Operations")</f>
        <v>Operations</v>
      </c>
    </row>
    <row r="353" spans="1:13" ht="15" customHeight="1" x14ac:dyDescent="0.25">
      <c r="A353" s="100"/>
      <c r="B353" s="101"/>
      <c r="C353" s="101"/>
      <c r="D353" s="100">
        <f>IF(OR(B353="",C353=""),"",IF(DATEDIF(C353,B353,"y")&gt;=1,DATEDIF(C353,B353,"y")&amp;IF(DATEDIF(C353,B353,"y")=1," year "," years ")&amp;DATEDIF(C353,B353,"ym")&amp;IF(DATEDIF(C353,B353,"ym")=1," month"," months"),IF(DATEDIF(C353,B353,"m")&gt;=1,DATEDIF(C353,B353,"m")&amp;IF(DATEDIF(C353,B353,"m")=1," month"," months"),DATEDIF(C353,B353,"d")&amp;IF(DATEDIF(C353,B353,"d")=1," day"," days"))))</f>
      </c>
      <c r="E353" s="100"/>
      <c r="F353" s="100"/>
      <c r="G353" s="100"/>
      <c r="H353" s="100"/>
      <c r="I353" s="100"/>
      <c r="J353" s="101"/>
      <c r="K353" s="100"/>
      <c r="L353" s="100"/>
      <c r="M353" s="102" t="str">
        <f>IFERROR(VLOOKUP(G353,Reference!$I$2:$J$175,2,FALSE()),"Operations")</f>
        <v>Operations</v>
      </c>
    </row>
    <row r="354" spans="1:13" ht="15" customHeight="1" x14ac:dyDescent="0.25">
      <c r="A354" s="103"/>
      <c r="B354" s="104"/>
      <c r="C354" s="104"/>
      <c r="D354" s="103">
        <f>IF(OR(B354="",C354=""),"",IF(DATEDIF(C354,B354,"y")&gt;=1,DATEDIF(C354,B354,"y")&amp;IF(DATEDIF(C354,B354,"y")=1," year "," years ")&amp;DATEDIF(C354,B354,"ym")&amp;IF(DATEDIF(C354,B354,"ym")=1," month"," months"),IF(DATEDIF(C354,B354,"m")&gt;=1,DATEDIF(C354,B354,"m")&amp;IF(DATEDIF(C354,B354,"m")=1," month"," months"),DATEDIF(C354,B354,"d")&amp;IF(DATEDIF(C354,B354,"d")=1," day"," days"))))</f>
      </c>
      <c r="E354" s="103"/>
      <c r="F354" s="103"/>
      <c r="G354" s="103"/>
      <c r="H354" s="103"/>
      <c r="I354" s="103"/>
      <c r="J354" s="104"/>
      <c r="K354" s="103"/>
      <c r="L354" s="103"/>
      <c r="M354" s="105" t="str">
        <f>IFERROR(VLOOKUP(G354,Reference!$I$2:$J$175,2,FALSE()),"Operations")</f>
        <v>Operations</v>
      </c>
    </row>
    <row r="355" spans="1:13" ht="15" customHeight="1" x14ac:dyDescent="0.25">
      <c r="A355" s="100"/>
      <c r="B355" s="101"/>
      <c r="C355" s="101"/>
      <c r="D355" s="100">
        <f>IF(OR(B355="",C355=""),"",IF(DATEDIF(C355,B355,"y")&gt;=1,DATEDIF(C355,B355,"y")&amp;IF(DATEDIF(C355,B355,"y")=1," year "," years ")&amp;DATEDIF(C355,B355,"ym")&amp;IF(DATEDIF(C355,B355,"ym")=1," month"," months"),IF(DATEDIF(C355,B355,"m")&gt;=1,DATEDIF(C355,B355,"m")&amp;IF(DATEDIF(C355,B355,"m")=1," month"," months"),DATEDIF(C355,B355,"d")&amp;IF(DATEDIF(C355,B355,"d")=1," day"," days"))))</f>
      </c>
      <c r="E355" s="100"/>
      <c r="F355" s="100"/>
      <c r="G355" s="100"/>
      <c r="H355" s="100"/>
      <c r="I355" s="100"/>
      <c r="J355" s="101"/>
      <c r="K355" s="100"/>
      <c r="L355" s="100"/>
      <c r="M355" s="102" t="str">
        <f>IFERROR(VLOOKUP(G355,Reference!$I$2:$J$175,2,FALSE()),"Operations")</f>
        <v>Operations</v>
      </c>
    </row>
    <row r="356" spans="1:13" ht="15" customHeight="1" x14ac:dyDescent="0.25">
      <c r="A356" s="103"/>
      <c r="B356" s="104"/>
      <c r="C356" s="104"/>
      <c r="D356" s="103">
        <f>IF(OR(B356="",C356=""),"",IF(DATEDIF(C356,B356,"y")&gt;=1,DATEDIF(C356,B356,"y")&amp;IF(DATEDIF(C356,B356,"y")=1," year "," years ")&amp;DATEDIF(C356,B356,"ym")&amp;IF(DATEDIF(C356,B356,"ym")=1," month"," months"),IF(DATEDIF(C356,B356,"m")&gt;=1,DATEDIF(C356,B356,"m")&amp;IF(DATEDIF(C356,B356,"m")=1," month"," months"),DATEDIF(C356,B356,"d")&amp;IF(DATEDIF(C356,B356,"d")=1," day"," days"))))</f>
      </c>
      <c r="E356" s="103"/>
      <c r="F356" s="103"/>
      <c r="G356" s="103"/>
      <c r="H356" s="103"/>
      <c r="I356" s="103"/>
      <c r="J356" s="104"/>
      <c r="K356" s="103"/>
      <c r="L356" s="103"/>
      <c r="M356" s="105" t="str">
        <f>IFERROR(VLOOKUP(G356,Reference!$I$2:$J$175,2,FALSE()),"Operations")</f>
        <v>Operations</v>
      </c>
    </row>
    <row r="357" spans="1:13" ht="15" customHeight="1" x14ac:dyDescent="0.25">
      <c r="A357" s="100"/>
      <c r="B357" s="101"/>
      <c r="C357" s="101"/>
      <c r="D357" s="100">
        <f>IF(OR(B357="",C357=""),"",IF(DATEDIF(C357,B357,"y")&gt;=1,DATEDIF(C357,B357,"y")&amp;IF(DATEDIF(C357,B357,"y")=1," year "," years ")&amp;DATEDIF(C357,B357,"ym")&amp;IF(DATEDIF(C357,B357,"ym")=1," month"," months"),IF(DATEDIF(C357,B357,"m")&gt;=1,DATEDIF(C357,B357,"m")&amp;IF(DATEDIF(C357,B357,"m")=1," month"," months"),DATEDIF(C357,B357,"d")&amp;IF(DATEDIF(C357,B357,"d")=1," day"," days"))))</f>
      </c>
      <c r="E357" s="100"/>
      <c r="F357" s="100"/>
      <c r="G357" s="100"/>
      <c r="H357" s="100"/>
      <c r="I357" s="100"/>
      <c r="J357" s="101"/>
      <c r="K357" s="100"/>
      <c r="L357" s="100"/>
      <c r="M357" s="102" t="str">
        <f>IFERROR(VLOOKUP(G357,Reference!$I$2:$J$175,2,FALSE()),"Operations")</f>
        <v>Operations</v>
      </c>
    </row>
    <row r="358" spans="1:13" ht="15" customHeight="1" x14ac:dyDescent="0.25">
      <c r="A358" s="103"/>
      <c r="B358" s="104"/>
      <c r="C358" s="104"/>
      <c r="D358" s="103">
        <f>IF(OR(B358="",C358=""),"",IF(DATEDIF(C358,B358,"y")&gt;=1,DATEDIF(C358,B358,"y")&amp;IF(DATEDIF(C358,B358,"y")=1," year "," years ")&amp;DATEDIF(C358,B358,"ym")&amp;IF(DATEDIF(C358,B358,"ym")=1," month"," months"),IF(DATEDIF(C358,B358,"m")&gt;=1,DATEDIF(C358,B358,"m")&amp;IF(DATEDIF(C358,B358,"m")=1," month"," months"),DATEDIF(C358,B358,"d")&amp;IF(DATEDIF(C358,B358,"d")=1," day"," days"))))</f>
      </c>
      <c r="E358" s="103"/>
      <c r="F358" s="103"/>
      <c r="G358" s="103"/>
      <c r="H358" s="103"/>
      <c r="I358" s="103"/>
      <c r="J358" s="104"/>
      <c r="K358" s="103"/>
      <c r="L358" s="103"/>
      <c r="M358" s="105" t="str">
        <f>IFERROR(VLOOKUP(G358,Reference!$I$2:$J$175,2,FALSE()),"Operations")</f>
        <v>Operations</v>
      </c>
    </row>
    <row r="359" spans="1:13" ht="15" customHeight="1" x14ac:dyDescent="0.25">
      <c r="A359" s="100"/>
      <c r="B359" s="101"/>
      <c r="C359" s="101"/>
      <c r="D359" s="100">
        <f>IF(OR(B359="",C359=""),"",IF(DATEDIF(C359,B359,"y")&gt;=1,DATEDIF(C359,B359,"y")&amp;IF(DATEDIF(C359,B359,"y")=1," year "," years ")&amp;DATEDIF(C359,B359,"ym")&amp;IF(DATEDIF(C359,B359,"ym")=1," month"," months"),IF(DATEDIF(C359,B359,"m")&gt;=1,DATEDIF(C359,B359,"m")&amp;IF(DATEDIF(C359,B359,"m")=1," month"," months"),DATEDIF(C359,B359,"d")&amp;IF(DATEDIF(C359,B359,"d")=1," day"," days"))))</f>
      </c>
      <c r="E359" s="100"/>
      <c r="F359" s="100"/>
      <c r="G359" s="100"/>
      <c r="H359" s="100"/>
      <c r="I359" s="100"/>
      <c r="J359" s="101"/>
      <c r="K359" s="100"/>
      <c r="L359" s="100"/>
      <c r="M359" s="102" t="str">
        <f>IFERROR(VLOOKUP(G359,Reference!$I$2:$J$175,2,FALSE()),"Operations")</f>
        <v>Operations</v>
      </c>
    </row>
    <row r="360" spans="1:13" ht="15" customHeight="1" x14ac:dyDescent="0.25">
      <c r="A360" s="103"/>
      <c r="B360" s="104"/>
      <c r="C360" s="104"/>
      <c r="D360" s="103">
        <f>IF(OR(B360="",C360=""),"",IF(DATEDIF(C360,B360,"y")&gt;=1,DATEDIF(C360,B360,"y")&amp;IF(DATEDIF(C360,B360,"y")=1," year "," years ")&amp;DATEDIF(C360,B360,"ym")&amp;IF(DATEDIF(C360,B360,"ym")=1," month"," months"),IF(DATEDIF(C360,B360,"m")&gt;=1,DATEDIF(C360,B360,"m")&amp;IF(DATEDIF(C360,B360,"m")=1," month"," months"),DATEDIF(C360,B360,"d")&amp;IF(DATEDIF(C360,B360,"d")=1," day"," days"))))</f>
      </c>
      <c r="E360" s="103"/>
      <c r="F360" s="103"/>
      <c r="G360" s="103"/>
      <c r="H360" s="103"/>
      <c r="I360" s="103"/>
      <c r="J360" s="104"/>
      <c r="K360" s="103"/>
      <c r="L360" s="103"/>
      <c r="M360" s="105" t="str">
        <f>IFERROR(VLOOKUP(G360,Reference!$I$2:$J$175,2,FALSE()),"Operations")</f>
        <v>Operations</v>
      </c>
    </row>
    <row r="361" spans="1:13" ht="15" customHeight="1" x14ac:dyDescent="0.25">
      <c r="A361" s="100"/>
      <c r="B361" s="101"/>
      <c r="C361" s="101"/>
      <c r="D361" s="100">
        <f>IF(OR(B361="",C361=""),"",IF(DATEDIF(C361,B361,"y")&gt;=1,DATEDIF(C361,B361,"y")&amp;IF(DATEDIF(C361,B361,"y")=1," year "," years ")&amp;DATEDIF(C361,B361,"ym")&amp;IF(DATEDIF(C361,B361,"ym")=1," month"," months"),IF(DATEDIF(C361,B361,"m")&gt;=1,DATEDIF(C361,B361,"m")&amp;IF(DATEDIF(C361,B361,"m")=1," month"," months"),DATEDIF(C361,B361,"d")&amp;IF(DATEDIF(C361,B361,"d")=1," day"," days"))))</f>
      </c>
      <c r="E361" s="100"/>
      <c r="F361" s="100"/>
      <c r="G361" s="100"/>
      <c r="H361" s="100"/>
      <c r="I361" s="100"/>
      <c r="J361" s="101"/>
      <c r="K361" s="100"/>
      <c r="L361" s="100"/>
      <c r="M361" s="102" t="str">
        <f>IFERROR(VLOOKUP(G361,Reference!$I$2:$J$175,2,FALSE()),"Operations")</f>
        <v>Operations</v>
      </c>
    </row>
    <row r="362" spans="1:13" ht="15" customHeight="1" x14ac:dyDescent="0.25">
      <c r="A362" s="103"/>
      <c r="B362" s="104"/>
      <c r="C362" s="104"/>
      <c r="D362" s="103">
        <f>IF(OR(B362="",C362=""),"",IF(DATEDIF(C362,B362,"y")&gt;=1,DATEDIF(C362,B362,"y")&amp;IF(DATEDIF(C362,B362,"y")=1," year "," years ")&amp;DATEDIF(C362,B362,"ym")&amp;IF(DATEDIF(C362,B362,"ym")=1," month"," months"),IF(DATEDIF(C362,B362,"m")&gt;=1,DATEDIF(C362,B362,"m")&amp;IF(DATEDIF(C362,B362,"m")=1," month"," months"),DATEDIF(C362,B362,"d")&amp;IF(DATEDIF(C362,B362,"d")=1," day"," days"))))</f>
      </c>
      <c r="E362" s="103"/>
      <c r="F362" s="103"/>
      <c r="G362" s="103"/>
      <c r="H362" s="103"/>
      <c r="I362" s="103"/>
      <c r="J362" s="104"/>
      <c r="K362" s="103"/>
      <c r="L362" s="103"/>
      <c r="M362" s="105" t="str">
        <f>IFERROR(VLOOKUP(G362,Reference!$I$2:$J$175,2,FALSE()),"Operations")</f>
        <v>Operations</v>
      </c>
    </row>
    <row r="363" spans="1:13" ht="15" customHeight="1" x14ac:dyDescent="0.25">
      <c r="A363" s="100"/>
      <c r="B363" s="101"/>
      <c r="C363" s="101"/>
      <c r="D363" s="100">
        <f>IF(OR(B363="",C363=""),"",IF(DATEDIF(C363,B363,"y")&gt;=1,DATEDIF(C363,B363,"y")&amp;IF(DATEDIF(C363,B363,"y")=1," year "," years ")&amp;DATEDIF(C363,B363,"ym")&amp;IF(DATEDIF(C363,B363,"ym")=1," month"," months"),IF(DATEDIF(C363,B363,"m")&gt;=1,DATEDIF(C363,B363,"m")&amp;IF(DATEDIF(C363,B363,"m")=1," month"," months"),DATEDIF(C363,B363,"d")&amp;IF(DATEDIF(C363,B363,"d")=1," day"," days"))))</f>
      </c>
      <c r="E363" s="100"/>
      <c r="F363" s="100"/>
      <c r="G363" s="100"/>
      <c r="H363" s="100"/>
      <c r="I363" s="100"/>
      <c r="J363" s="101"/>
      <c r="K363" s="100"/>
      <c r="L363" s="100"/>
      <c r="M363" s="102" t="str">
        <f>IFERROR(VLOOKUP(G363,Reference!$I$2:$J$175,2,FALSE()),"Operations")</f>
        <v>Operations</v>
      </c>
    </row>
    <row r="364" spans="1:13" ht="15" customHeight="1" x14ac:dyDescent="0.25">
      <c r="A364" s="103"/>
      <c r="B364" s="104"/>
      <c r="C364" s="104"/>
      <c r="D364" s="103">
        <f>IF(OR(B364="",C364=""),"",IF(DATEDIF(C364,B364,"y")&gt;=1,DATEDIF(C364,B364,"y")&amp;IF(DATEDIF(C364,B364,"y")=1," year "," years ")&amp;DATEDIF(C364,B364,"ym")&amp;IF(DATEDIF(C364,B364,"ym")=1," month"," months"),IF(DATEDIF(C364,B364,"m")&gt;=1,DATEDIF(C364,B364,"m")&amp;IF(DATEDIF(C364,B364,"m")=1," month"," months"),DATEDIF(C364,B364,"d")&amp;IF(DATEDIF(C364,B364,"d")=1," day"," days"))))</f>
      </c>
      <c r="E364" s="103"/>
      <c r="F364" s="103"/>
      <c r="G364" s="103"/>
      <c r="H364" s="103"/>
      <c r="I364" s="103"/>
      <c r="J364" s="104"/>
      <c r="K364" s="103"/>
      <c r="L364" s="103"/>
      <c r="M364" s="105" t="str">
        <f>IFERROR(VLOOKUP(G364,Reference!$I$2:$J$175,2,FALSE()),"Operations")</f>
        <v>Operations</v>
      </c>
    </row>
    <row r="365" spans="1:13" ht="15" customHeight="1" x14ac:dyDescent="0.25">
      <c r="A365" s="100"/>
      <c r="B365" s="101"/>
      <c r="C365" s="101"/>
      <c r="D365" s="100">
        <f>IF(OR(B365="",C365=""),"",IF(DATEDIF(C365,B365,"y")&gt;=1,DATEDIF(C365,B365,"y")&amp;IF(DATEDIF(C365,B365,"y")=1," year "," years ")&amp;DATEDIF(C365,B365,"ym")&amp;IF(DATEDIF(C365,B365,"ym")=1," month"," months"),IF(DATEDIF(C365,B365,"m")&gt;=1,DATEDIF(C365,B365,"m")&amp;IF(DATEDIF(C365,B365,"m")=1," month"," months"),DATEDIF(C365,B365,"d")&amp;IF(DATEDIF(C365,B365,"d")=1," day"," days"))))</f>
      </c>
      <c r="E365" s="100"/>
      <c r="F365" s="100"/>
      <c r="G365" s="100"/>
      <c r="H365" s="100"/>
      <c r="I365" s="100"/>
      <c r="J365" s="101"/>
      <c r="K365" s="100"/>
      <c r="L365" s="100"/>
      <c r="M365" s="102" t="str">
        <f>IFERROR(VLOOKUP(G365,Reference!$I$2:$J$175,2,FALSE()),"Operations")</f>
        <v>Operations</v>
      </c>
    </row>
    <row r="366" spans="1:13" ht="15" customHeight="1" x14ac:dyDescent="0.25">
      <c r="A366" s="103"/>
      <c r="B366" s="104"/>
      <c r="C366" s="104"/>
      <c r="D366" s="103">
        <f>IF(OR(B366="",C366=""),"",IF(DATEDIF(C366,B366,"y")&gt;=1,DATEDIF(C366,B366,"y")&amp;IF(DATEDIF(C366,B366,"y")=1," year "," years ")&amp;DATEDIF(C366,B366,"ym")&amp;IF(DATEDIF(C366,B366,"ym")=1," month"," months"),IF(DATEDIF(C366,B366,"m")&gt;=1,DATEDIF(C366,B366,"m")&amp;IF(DATEDIF(C366,B366,"m")=1," month"," months"),DATEDIF(C366,B366,"d")&amp;IF(DATEDIF(C366,B366,"d")=1," day"," days"))))</f>
      </c>
      <c r="E366" s="103"/>
      <c r="F366" s="103"/>
      <c r="G366" s="103"/>
      <c r="H366" s="103"/>
      <c r="I366" s="103"/>
      <c r="J366" s="104"/>
      <c r="K366" s="103"/>
      <c r="L366" s="103"/>
      <c r="M366" s="105" t="str">
        <f>IFERROR(VLOOKUP(G366,Reference!$I$2:$J$175,2,FALSE()),"Operations")</f>
        <v>Operations</v>
      </c>
    </row>
    <row r="367" spans="1:13" ht="15" customHeight="1" x14ac:dyDescent="0.25">
      <c r="A367" s="100"/>
      <c r="B367" s="101"/>
      <c r="C367" s="101"/>
      <c r="D367" s="100">
        <f>IF(OR(B367="",C367=""),"",IF(DATEDIF(C367,B367,"y")&gt;=1,DATEDIF(C367,B367,"y")&amp;IF(DATEDIF(C367,B367,"y")=1," year "," years ")&amp;DATEDIF(C367,B367,"ym")&amp;IF(DATEDIF(C367,B367,"ym")=1," month"," months"),IF(DATEDIF(C367,B367,"m")&gt;=1,DATEDIF(C367,B367,"m")&amp;IF(DATEDIF(C367,B367,"m")=1," month"," months"),DATEDIF(C367,B367,"d")&amp;IF(DATEDIF(C367,B367,"d")=1," day"," days"))))</f>
      </c>
      <c r="E367" s="100"/>
      <c r="F367" s="100"/>
      <c r="G367" s="100"/>
      <c r="H367" s="100"/>
      <c r="I367" s="100"/>
      <c r="J367" s="101"/>
      <c r="K367" s="100"/>
      <c r="L367" s="100"/>
      <c r="M367" s="102" t="str">
        <f>IFERROR(VLOOKUP(G367,Reference!$I$2:$J$175,2,FALSE()),"Operations")</f>
        <v>Operations</v>
      </c>
    </row>
    <row r="368" spans="1:13" ht="15" customHeight="1" x14ac:dyDescent="0.25">
      <c r="A368" s="103"/>
      <c r="B368" s="104"/>
      <c r="C368" s="104"/>
      <c r="D368" s="103">
        <f>IF(OR(B368="",C368=""),"",IF(DATEDIF(C368,B368,"y")&gt;=1,DATEDIF(C368,B368,"y")&amp;IF(DATEDIF(C368,B368,"y")=1," year "," years ")&amp;DATEDIF(C368,B368,"ym")&amp;IF(DATEDIF(C368,B368,"ym")=1," month"," months"),IF(DATEDIF(C368,B368,"m")&gt;=1,DATEDIF(C368,B368,"m")&amp;IF(DATEDIF(C368,B368,"m")=1," month"," months"),DATEDIF(C368,B368,"d")&amp;IF(DATEDIF(C368,B368,"d")=1," day"," days"))))</f>
      </c>
      <c r="E368" s="103"/>
      <c r="F368" s="103"/>
      <c r="G368" s="103"/>
      <c r="H368" s="103"/>
      <c r="I368" s="103"/>
      <c r="J368" s="104"/>
      <c r="K368" s="103"/>
      <c r="L368" s="103"/>
      <c r="M368" s="105" t="str">
        <f>IFERROR(VLOOKUP(G368,Reference!$I$2:$J$175,2,FALSE()),"Operations")</f>
        <v>Operations</v>
      </c>
    </row>
    <row r="369" spans="1:13" ht="15" customHeight="1" x14ac:dyDescent="0.25">
      <c r="A369" s="100"/>
      <c r="B369" s="101"/>
      <c r="C369" s="101"/>
      <c r="D369" s="100">
        <f>IF(OR(B369="",C369=""),"",IF(DATEDIF(C369,B369,"y")&gt;=1,DATEDIF(C369,B369,"y")&amp;IF(DATEDIF(C369,B369,"y")=1," year "," years ")&amp;DATEDIF(C369,B369,"ym")&amp;IF(DATEDIF(C369,B369,"ym")=1," month"," months"),IF(DATEDIF(C369,B369,"m")&gt;=1,DATEDIF(C369,B369,"m")&amp;IF(DATEDIF(C369,B369,"m")=1," month"," months"),DATEDIF(C369,B369,"d")&amp;IF(DATEDIF(C369,B369,"d")=1," day"," days"))))</f>
      </c>
      <c r="E369" s="100"/>
      <c r="F369" s="100"/>
      <c r="G369" s="100"/>
      <c r="H369" s="100"/>
      <c r="I369" s="100"/>
      <c r="J369" s="101"/>
      <c r="K369" s="100"/>
      <c r="L369" s="100"/>
      <c r="M369" s="102" t="str">
        <f>IFERROR(VLOOKUP(G369,Reference!$I$2:$J$175,2,FALSE()),"Operations")</f>
        <v>Operations</v>
      </c>
    </row>
    <row r="370" spans="1:13" ht="15" customHeight="1" x14ac:dyDescent="0.25">
      <c r="A370" s="103"/>
      <c r="B370" s="104"/>
      <c r="C370" s="104"/>
      <c r="D370" s="103">
        <f>IF(OR(B370="",C370=""),"",IF(DATEDIF(C370,B370,"y")&gt;=1,DATEDIF(C370,B370,"y")&amp;IF(DATEDIF(C370,B370,"y")=1," year "," years ")&amp;DATEDIF(C370,B370,"ym")&amp;IF(DATEDIF(C370,B370,"ym")=1," month"," months"),IF(DATEDIF(C370,B370,"m")&gt;=1,DATEDIF(C370,B370,"m")&amp;IF(DATEDIF(C370,B370,"m")=1," month"," months"),DATEDIF(C370,B370,"d")&amp;IF(DATEDIF(C370,B370,"d")=1," day"," days"))))</f>
      </c>
      <c r="E370" s="103"/>
      <c r="F370" s="103"/>
      <c r="G370" s="103"/>
      <c r="H370" s="103"/>
      <c r="I370" s="103"/>
      <c r="J370" s="104"/>
      <c r="K370" s="103"/>
      <c r="L370" s="103"/>
      <c r="M370" s="105" t="str">
        <f>IFERROR(VLOOKUP(G370,Reference!$I$2:$J$175,2,FALSE()),"Operations")</f>
        <v>Operations</v>
      </c>
    </row>
    <row r="371" spans="1:13" ht="15" customHeight="1" x14ac:dyDescent="0.25">
      <c r="A371" s="100"/>
      <c r="B371" s="101"/>
      <c r="C371" s="101"/>
      <c r="D371" s="100">
        <f>IF(OR(B371="",C371=""),"",IF(DATEDIF(C371,B371,"y")&gt;=1,DATEDIF(C371,B371,"y")&amp;IF(DATEDIF(C371,B371,"y")=1," year "," years ")&amp;DATEDIF(C371,B371,"ym")&amp;IF(DATEDIF(C371,B371,"ym")=1," month"," months"),IF(DATEDIF(C371,B371,"m")&gt;=1,DATEDIF(C371,B371,"m")&amp;IF(DATEDIF(C371,B371,"m")=1," month"," months"),DATEDIF(C371,B371,"d")&amp;IF(DATEDIF(C371,B371,"d")=1," day"," days"))))</f>
      </c>
      <c r="E371" s="100"/>
      <c r="F371" s="100"/>
      <c r="G371" s="100"/>
      <c r="H371" s="100"/>
      <c r="I371" s="100"/>
      <c r="J371" s="101"/>
      <c r="K371" s="100"/>
      <c r="L371" s="100"/>
      <c r="M371" s="102" t="str">
        <f>IFERROR(VLOOKUP(G371,Reference!$I$2:$J$175,2,FALSE()),"Operations")</f>
        <v>Operations</v>
      </c>
    </row>
    <row r="372" spans="1:13" ht="15" customHeight="1" x14ac:dyDescent="0.25">
      <c r="A372" s="103"/>
      <c r="B372" s="104"/>
      <c r="C372" s="104"/>
      <c r="D372" s="103">
        <f>IF(OR(B372="",C372=""),"",IF(DATEDIF(C372,B372,"y")&gt;=1,DATEDIF(C372,B372,"y")&amp;IF(DATEDIF(C372,B372,"y")=1," year "," years ")&amp;DATEDIF(C372,B372,"ym")&amp;IF(DATEDIF(C372,B372,"ym")=1," month"," months"),IF(DATEDIF(C372,B372,"m")&gt;=1,DATEDIF(C372,B372,"m")&amp;IF(DATEDIF(C372,B372,"m")=1," month"," months"),DATEDIF(C372,B372,"d")&amp;IF(DATEDIF(C372,B372,"d")=1," day"," days"))))</f>
      </c>
      <c r="E372" s="103"/>
      <c r="F372" s="103"/>
      <c r="G372" s="103"/>
      <c r="H372" s="103"/>
      <c r="I372" s="103"/>
      <c r="J372" s="104"/>
      <c r="K372" s="103"/>
      <c r="L372" s="103"/>
      <c r="M372" s="105" t="str">
        <f>IFERROR(VLOOKUP(G372,Reference!$I$2:$J$175,2,FALSE()),"Operations")</f>
        <v>Operations</v>
      </c>
    </row>
    <row r="373" spans="1:13" ht="15" customHeight="1" x14ac:dyDescent="0.25">
      <c r="A373" s="100"/>
      <c r="B373" s="101"/>
      <c r="C373" s="101"/>
      <c r="D373" s="100">
        <f>IF(OR(B373="",C373=""),"",IF(DATEDIF(C373,B373,"y")&gt;=1,DATEDIF(C373,B373,"y")&amp;IF(DATEDIF(C373,B373,"y")=1," year "," years ")&amp;DATEDIF(C373,B373,"ym")&amp;IF(DATEDIF(C373,B373,"ym")=1," month"," months"),IF(DATEDIF(C373,B373,"m")&gt;=1,DATEDIF(C373,B373,"m")&amp;IF(DATEDIF(C373,B373,"m")=1," month"," months"),DATEDIF(C373,B373,"d")&amp;IF(DATEDIF(C373,B373,"d")=1," day"," days"))))</f>
      </c>
      <c r="E373" s="100"/>
      <c r="F373" s="100"/>
      <c r="G373" s="100"/>
      <c r="H373" s="100"/>
      <c r="I373" s="100"/>
      <c r="J373" s="101"/>
      <c r="K373" s="100"/>
      <c r="L373" s="100"/>
      <c r="M373" s="102" t="str">
        <f>IFERROR(VLOOKUP(G373,Reference!$I$2:$J$175,2,FALSE()),"Operations")</f>
        <v>Operations</v>
      </c>
    </row>
    <row r="374" spans="1:13" ht="15" customHeight="1" x14ac:dyDescent="0.25">
      <c r="A374" s="103"/>
      <c r="B374" s="104"/>
      <c r="C374" s="104"/>
      <c r="D374" s="103">
        <f>IF(OR(B374="",C374=""),"",IF(DATEDIF(C374,B374,"y")&gt;=1,DATEDIF(C374,B374,"y")&amp;IF(DATEDIF(C374,B374,"y")=1," year "," years ")&amp;DATEDIF(C374,B374,"ym")&amp;IF(DATEDIF(C374,B374,"ym")=1," month"," months"),IF(DATEDIF(C374,B374,"m")&gt;=1,DATEDIF(C374,B374,"m")&amp;IF(DATEDIF(C374,B374,"m")=1," month"," months"),DATEDIF(C374,B374,"d")&amp;IF(DATEDIF(C374,B374,"d")=1," day"," days"))))</f>
      </c>
      <c r="E374" s="103"/>
      <c r="F374" s="103"/>
      <c r="G374" s="103"/>
      <c r="H374" s="103"/>
      <c r="I374" s="103"/>
      <c r="J374" s="104"/>
      <c r="K374" s="103"/>
      <c r="L374" s="103"/>
      <c r="M374" s="105" t="str">
        <f>IFERROR(VLOOKUP(G374,Reference!$I$2:$J$175,2,FALSE()),"Operations")</f>
        <v>Operations</v>
      </c>
    </row>
    <row r="375" spans="1:13" ht="15" customHeight="1" x14ac:dyDescent="0.25">
      <c r="A375" s="100"/>
      <c r="B375" s="101"/>
      <c r="C375" s="101"/>
      <c r="D375" s="100">
        <f>IF(OR(B375="",C375=""),"",IF(DATEDIF(C375,B375,"y")&gt;=1,DATEDIF(C375,B375,"y")&amp;IF(DATEDIF(C375,B375,"y")=1," year "," years ")&amp;DATEDIF(C375,B375,"ym")&amp;IF(DATEDIF(C375,B375,"ym")=1," month"," months"),IF(DATEDIF(C375,B375,"m")&gt;=1,DATEDIF(C375,B375,"m")&amp;IF(DATEDIF(C375,B375,"m")=1," month"," months"),DATEDIF(C375,B375,"d")&amp;IF(DATEDIF(C375,B375,"d")=1," day"," days"))))</f>
      </c>
      <c r="E375" s="100"/>
      <c r="F375" s="100"/>
      <c r="G375" s="100"/>
      <c r="H375" s="100"/>
      <c r="I375" s="100"/>
      <c r="J375" s="101"/>
      <c r="K375" s="100"/>
      <c r="L375" s="100"/>
      <c r="M375" s="102" t="str">
        <f>IFERROR(VLOOKUP(G375,Reference!$I$2:$J$175,2,FALSE()),"Operations")</f>
        <v>Operations</v>
      </c>
    </row>
    <row r="376" spans="1:13" ht="15" customHeight="1" x14ac:dyDescent="0.25">
      <c r="A376" s="103"/>
      <c r="B376" s="104"/>
      <c r="C376" s="104"/>
      <c r="D376" s="103">
        <f>IF(OR(B376="",C376=""),"",IF(DATEDIF(C376,B376,"y")&gt;=1,DATEDIF(C376,B376,"y")&amp;IF(DATEDIF(C376,B376,"y")=1," year "," years ")&amp;DATEDIF(C376,B376,"ym")&amp;IF(DATEDIF(C376,B376,"ym")=1," month"," months"),IF(DATEDIF(C376,B376,"m")&gt;=1,DATEDIF(C376,B376,"m")&amp;IF(DATEDIF(C376,B376,"m")=1," month"," months"),DATEDIF(C376,B376,"d")&amp;IF(DATEDIF(C376,B376,"d")=1," day"," days"))))</f>
      </c>
      <c r="E376" s="103"/>
      <c r="F376" s="103"/>
      <c r="G376" s="103"/>
      <c r="H376" s="103"/>
      <c r="I376" s="103"/>
      <c r="J376" s="104"/>
      <c r="K376" s="103"/>
      <c r="L376" s="103"/>
      <c r="M376" s="105" t="str">
        <f>IFERROR(VLOOKUP(G376,Reference!$I$2:$J$175,2,FALSE()),"Operations")</f>
        <v>Operations</v>
      </c>
    </row>
    <row r="377" spans="1:13" ht="15" customHeight="1" x14ac:dyDescent="0.25">
      <c r="A377" s="100"/>
      <c r="B377" s="101"/>
      <c r="C377" s="101"/>
      <c r="D377" s="100">
        <f>IF(OR(B377="",C377=""),"",IF(DATEDIF(C377,B377,"y")&gt;=1,DATEDIF(C377,B377,"y")&amp;IF(DATEDIF(C377,B377,"y")=1," year "," years ")&amp;DATEDIF(C377,B377,"ym")&amp;IF(DATEDIF(C377,B377,"ym")=1," month"," months"),IF(DATEDIF(C377,B377,"m")&gt;=1,DATEDIF(C377,B377,"m")&amp;IF(DATEDIF(C377,B377,"m")=1," month"," months"),DATEDIF(C377,B377,"d")&amp;IF(DATEDIF(C377,B377,"d")=1," day"," days"))))</f>
      </c>
      <c r="E377" s="100"/>
      <c r="F377" s="100"/>
      <c r="G377" s="100"/>
      <c r="H377" s="100"/>
      <c r="I377" s="100"/>
      <c r="J377" s="101"/>
      <c r="K377" s="100"/>
      <c r="L377" s="100"/>
      <c r="M377" s="102" t="str">
        <f>IFERROR(VLOOKUP(G377,Reference!$I$2:$J$175,2,FALSE()),"Operations")</f>
        <v>Operations</v>
      </c>
    </row>
    <row r="378" spans="1:13" ht="15" customHeight="1" x14ac:dyDescent="0.25">
      <c r="A378" s="103"/>
      <c r="B378" s="104"/>
      <c r="C378" s="104"/>
      <c r="D378" s="103">
        <f>IF(OR(B378="",C378=""),"",IF(DATEDIF(C378,B378,"y")&gt;=1,DATEDIF(C378,B378,"y")&amp;IF(DATEDIF(C378,B378,"y")=1," year "," years ")&amp;DATEDIF(C378,B378,"ym")&amp;IF(DATEDIF(C378,B378,"ym")=1," month"," months"),IF(DATEDIF(C378,B378,"m")&gt;=1,DATEDIF(C378,B378,"m")&amp;IF(DATEDIF(C378,B378,"m")=1," month"," months"),DATEDIF(C378,B378,"d")&amp;IF(DATEDIF(C378,B378,"d")=1," day"," days"))))</f>
      </c>
      <c r="E378" s="103"/>
      <c r="F378" s="103"/>
      <c r="G378" s="103"/>
      <c r="H378" s="103"/>
      <c r="I378" s="103"/>
      <c r="J378" s="104"/>
      <c r="K378" s="103"/>
      <c r="L378" s="103"/>
      <c r="M378" s="105" t="str">
        <f>IFERROR(VLOOKUP(G378,Reference!$I$2:$J$175,2,FALSE()),"Operations")</f>
        <v>Operations</v>
      </c>
    </row>
    <row r="379" spans="1:13" ht="15" customHeight="1" x14ac:dyDescent="0.25">
      <c r="A379" s="106" t="s">
        <v>163</v>
      </c>
      <c r="B379" s="107">
        <f>COUNTA(A349:A378)</f>
        <v>0</v>
      </c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</row>
    <row r="380" spans="1:13" ht="6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</row>
    <row r="381" spans="1:13" ht="21.75" customHeight="1" x14ac:dyDescent="0.25">
      <c r="A381" s="163" t="s">
        <v>174</v>
      </c>
      <c r="B381" s="163"/>
      <c r="C381" s="163"/>
      <c r="D381" s="163"/>
      <c r="E381" s="163"/>
      <c r="F381" s="163"/>
      <c r="G381" s="163"/>
      <c r="H381" s="163"/>
      <c r="I381" s="163"/>
      <c r="J381" s="163"/>
      <c r="K381" s="163"/>
      <c r="L381" s="163"/>
      <c r="M381" s="163"/>
    </row>
    <row r="382" spans="1:13" ht="19.5" customHeight="1" x14ac:dyDescent="0.25">
      <c r="A382" s="64" t="s">
        <v>151</v>
      </c>
      <c r="B382" s="64" t="s">
        <v>152</v>
      </c>
      <c r="C382" s="64" t="s">
        <v>153</v>
      </c>
      <c r="D382" s="64" t="s">
        <v>154</v>
      </c>
      <c r="E382" s="64" t="s">
        <v>155</v>
      </c>
      <c r="F382" s="64" t="s">
        <v>156</v>
      </c>
      <c r="G382" s="64" t="s">
        <v>157</v>
      </c>
      <c r="H382" s="64" t="s">
        <v>158</v>
      </c>
      <c r="I382" s="64" t="s">
        <v>159</v>
      </c>
      <c r="J382" s="64" t="s">
        <v>160</v>
      </c>
      <c r="K382" s="64" t="s">
        <v>134</v>
      </c>
      <c r="L382" s="64" t="s">
        <v>161</v>
      </c>
      <c r="M382" s="64" t="s">
        <v>162</v>
      </c>
    </row>
    <row r="383" spans="1:13" ht="15" customHeight="1" x14ac:dyDescent="0.25">
      <c r="A383" s="100"/>
      <c r="B383" s="101"/>
      <c r="C383" s="101"/>
      <c r="D383" s="100">
        <f>IF(OR(B383="",C383=""),"",IF(DATEDIF(C383,B383,"y")&gt;=1,DATEDIF(C383,B383,"y")&amp;IF(DATEDIF(C383,B383,"y")=1," year "," years ")&amp;DATEDIF(C383,B383,"ym")&amp;IF(DATEDIF(C383,B383,"ym")=1," month"," months"),IF(DATEDIF(C383,B383,"m")&gt;=1,DATEDIF(C383,B383,"m")&amp;IF(DATEDIF(C383,B383,"m")=1," month"," months"),DATEDIF(C383,B383,"d")&amp;IF(DATEDIF(C383,B383,"d")=1," day"," days"))))</f>
      </c>
      <c r="E383" s="100"/>
      <c r="F383" s="100"/>
      <c r="G383" s="100"/>
      <c r="H383" s="100"/>
      <c r="I383" s="100"/>
      <c r="J383" s="101"/>
      <c r="K383" s="100"/>
      <c r="L383" s="100"/>
      <c r="M383" s="102" t="str">
        <f>IFERROR(VLOOKUP(G383,Reference!$I$2:$J$175,2,FALSE()),"Operations")</f>
        <v>Operations</v>
      </c>
    </row>
    <row r="384" spans="1:13" ht="15" customHeight="1" x14ac:dyDescent="0.25">
      <c r="A384" s="103"/>
      <c r="B384" s="104"/>
      <c r="C384" s="104"/>
      <c r="D384" s="103">
        <f>IF(OR(B384="",C384=""),"",IF(DATEDIF(C384,B384,"y")&gt;=1,DATEDIF(C384,B384,"y")&amp;IF(DATEDIF(C384,B384,"y")=1," year "," years ")&amp;DATEDIF(C384,B384,"ym")&amp;IF(DATEDIF(C384,B384,"ym")=1," month"," months"),IF(DATEDIF(C384,B384,"m")&gt;=1,DATEDIF(C384,B384,"m")&amp;IF(DATEDIF(C384,B384,"m")=1," month"," months"),DATEDIF(C384,B384,"d")&amp;IF(DATEDIF(C384,B384,"d")=1," day"," days"))))</f>
      </c>
      <c r="E384" s="103"/>
      <c r="F384" s="103"/>
      <c r="G384" s="103"/>
      <c r="H384" s="103"/>
      <c r="I384" s="103"/>
      <c r="J384" s="104"/>
      <c r="K384" s="103"/>
      <c r="L384" s="103"/>
      <c r="M384" s="105" t="str">
        <f>IFERROR(VLOOKUP(G384,Reference!$I$2:$J$175,2,FALSE()),"Operations")</f>
        <v>Operations</v>
      </c>
    </row>
    <row r="385" spans="1:13" ht="15" customHeight="1" x14ac:dyDescent="0.25">
      <c r="A385" s="100"/>
      <c r="B385" s="101"/>
      <c r="C385" s="101"/>
      <c r="D385" s="100">
        <f>IF(OR(B385="",C385=""),"",IF(DATEDIF(C385,B385,"y")&gt;=1,DATEDIF(C385,B385,"y")&amp;IF(DATEDIF(C385,B385,"y")=1," year "," years ")&amp;DATEDIF(C385,B385,"ym")&amp;IF(DATEDIF(C385,B385,"ym")=1," month"," months"),IF(DATEDIF(C385,B385,"m")&gt;=1,DATEDIF(C385,B385,"m")&amp;IF(DATEDIF(C385,B385,"m")=1," month"," months"),DATEDIF(C385,B385,"d")&amp;IF(DATEDIF(C385,B385,"d")=1," day"," days"))))</f>
      </c>
      <c r="E385" s="100"/>
      <c r="F385" s="100"/>
      <c r="G385" s="100"/>
      <c r="H385" s="100"/>
      <c r="I385" s="100"/>
      <c r="J385" s="101"/>
      <c r="K385" s="100"/>
      <c r="L385" s="100"/>
      <c r="M385" s="102" t="str">
        <f>IFERROR(VLOOKUP(G385,Reference!$I$2:$J$175,2,FALSE()),"Operations")</f>
        <v>Operations</v>
      </c>
    </row>
    <row r="386" spans="1:13" ht="15" customHeight="1" x14ac:dyDescent="0.25">
      <c r="A386" s="103"/>
      <c r="B386" s="104"/>
      <c r="C386" s="104"/>
      <c r="D386" s="103">
        <f>IF(OR(B386="",C386=""),"",IF(DATEDIF(C386,B386,"y")&gt;=1,DATEDIF(C386,B386,"y")&amp;IF(DATEDIF(C386,B386,"y")=1," year "," years ")&amp;DATEDIF(C386,B386,"ym")&amp;IF(DATEDIF(C386,B386,"ym")=1," month"," months"),IF(DATEDIF(C386,B386,"m")&gt;=1,DATEDIF(C386,B386,"m")&amp;IF(DATEDIF(C386,B386,"m")=1," month"," months"),DATEDIF(C386,B386,"d")&amp;IF(DATEDIF(C386,B386,"d")=1," day"," days"))))</f>
      </c>
      <c r="E386" s="103"/>
      <c r="F386" s="103"/>
      <c r="G386" s="103"/>
      <c r="H386" s="103"/>
      <c r="I386" s="103"/>
      <c r="J386" s="104"/>
      <c r="K386" s="103"/>
      <c r="L386" s="103"/>
      <c r="M386" s="105" t="str">
        <f>IFERROR(VLOOKUP(G386,Reference!$I$2:$J$175,2,FALSE()),"Operations")</f>
        <v>Operations</v>
      </c>
    </row>
    <row r="387" spans="1:13" ht="15" customHeight="1" x14ac:dyDescent="0.25">
      <c r="A387" s="100"/>
      <c r="B387" s="101"/>
      <c r="C387" s="101"/>
      <c r="D387" s="100">
        <f>IF(OR(B387="",C387=""),"",IF(DATEDIF(C387,B387,"y")&gt;=1,DATEDIF(C387,B387,"y")&amp;IF(DATEDIF(C387,B387,"y")=1," year "," years ")&amp;DATEDIF(C387,B387,"ym")&amp;IF(DATEDIF(C387,B387,"ym")=1," month"," months"),IF(DATEDIF(C387,B387,"m")&gt;=1,DATEDIF(C387,B387,"m")&amp;IF(DATEDIF(C387,B387,"m")=1," month"," months"),DATEDIF(C387,B387,"d")&amp;IF(DATEDIF(C387,B387,"d")=1," day"," days"))))</f>
      </c>
      <c r="E387" s="100"/>
      <c r="F387" s="100"/>
      <c r="G387" s="100"/>
      <c r="H387" s="100"/>
      <c r="I387" s="100"/>
      <c r="J387" s="101"/>
      <c r="K387" s="100"/>
      <c r="L387" s="100"/>
      <c r="M387" s="102" t="str">
        <f>IFERROR(VLOOKUP(G387,Reference!$I$2:$J$175,2,FALSE()),"Operations")</f>
        <v>Operations</v>
      </c>
    </row>
    <row r="388" spans="1:13" ht="15" customHeight="1" x14ac:dyDescent="0.25">
      <c r="A388" s="103"/>
      <c r="B388" s="104"/>
      <c r="C388" s="104"/>
      <c r="D388" s="103">
        <f>IF(OR(B388="",C388=""),"",IF(DATEDIF(C388,B388,"y")&gt;=1,DATEDIF(C388,B388,"y")&amp;IF(DATEDIF(C388,B388,"y")=1," year "," years ")&amp;DATEDIF(C388,B388,"ym")&amp;IF(DATEDIF(C388,B388,"ym")=1," month"," months"),IF(DATEDIF(C388,B388,"m")&gt;=1,DATEDIF(C388,B388,"m")&amp;IF(DATEDIF(C388,B388,"m")=1," month"," months"),DATEDIF(C388,B388,"d")&amp;IF(DATEDIF(C388,B388,"d")=1," day"," days"))))</f>
      </c>
      <c r="E388" s="103"/>
      <c r="F388" s="103"/>
      <c r="G388" s="103"/>
      <c r="H388" s="103"/>
      <c r="I388" s="103"/>
      <c r="J388" s="104"/>
      <c r="K388" s="103"/>
      <c r="L388" s="103"/>
      <c r="M388" s="105" t="str">
        <f>IFERROR(VLOOKUP(G388,Reference!$I$2:$J$175,2,FALSE()),"Operations")</f>
        <v>Operations</v>
      </c>
    </row>
    <row r="389" spans="1:13" ht="15" customHeight="1" x14ac:dyDescent="0.25">
      <c r="A389" s="100"/>
      <c r="B389" s="101"/>
      <c r="C389" s="101"/>
      <c r="D389" s="100">
        <f>IF(OR(B389="",C389=""),"",IF(DATEDIF(C389,B389,"y")&gt;=1,DATEDIF(C389,B389,"y")&amp;IF(DATEDIF(C389,B389,"y")=1," year "," years ")&amp;DATEDIF(C389,B389,"ym")&amp;IF(DATEDIF(C389,B389,"ym")=1," month"," months"),IF(DATEDIF(C389,B389,"m")&gt;=1,DATEDIF(C389,B389,"m")&amp;IF(DATEDIF(C389,B389,"m")=1," month"," months"),DATEDIF(C389,B389,"d")&amp;IF(DATEDIF(C389,B389,"d")=1," day"," days"))))</f>
      </c>
      <c r="E389" s="100"/>
      <c r="F389" s="100"/>
      <c r="G389" s="100"/>
      <c r="H389" s="100"/>
      <c r="I389" s="100"/>
      <c r="J389" s="101"/>
      <c r="K389" s="100"/>
      <c r="L389" s="100"/>
      <c r="M389" s="102" t="str">
        <f>IFERROR(VLOOKUP(G389,Reference!$I$2:$J$175,2,FALSE()),"Operations")</f>
        <v>Operations</v>
      </c>
    </row>
    <row r="390" spans="1:13" ht="15" customHeight="1" x14ac:dyDescent="0.25">
      <c r="A390" s="103"/>
      <c r="B390" s="104"/>
      <c r="C390" s="104"/>
      <c r="D390" s="103">
        <f>IF(OR(B390="",C390=""),"",IF(DATEDIF(C390,B390,"y")&gt;=1,DATEDIF(C390,B390,"y")&amp;IF(DATEDIF(C390,B390,"y")=1," year "," years ")&amp;DATEDIF(C390,B390,"ym")&amp;IF(DATEDIF(C390,B390,"ym")=1," month"," months"),IF(DATEDIF(C390,B390,"m")&gt;=1,DATEDIF(C390,B390,"m")&amp;IF(DATEDIF(C390,B390,"m")=1," month"," months"),DATEDIF(C390,B390,"d")&amp;IF(DATEDIF(C390,B390,"d")=1," day"," days"))))</f>
      </c>
      <c r="E390" s="103"/>
      <c r="F390" s="103"/>
      <c r="G390" s="103"/>
      <c r="H390" s="103"/>
      <c r="I390" s="103"/>
      <c r="J390" s="104"/>
      <c r="K390" s="103"/>
      <c r="L390" s="103"/>
      <c r="M390" s="105" t="str">
        <f>IFERROR(VLOOKUP(G390,Reference!$I$2:$J$175,2,FALSE()),"Operations")</f>
        <v>Operations</v>
      </c>
    </row>
    <row r="391" spans="1:13" ht="15" customHeight="1" x14ac:dyDescent="0.25">
      <c r="A391" s="100"/>
      <c r="B391" s="101"/>
      <c r="C391" s="101"/>
      <c r="D391" s="100">
        <f>IF(OR(B391="",C391=""),"",IF(DATEDIF(C391,B391,"y")&gt;=1,DATEDIF(C391,B391,"y")&amp;IF(DATEDIF(C391,B391,"y")=1," year "," years ")&amp;DATEDIF(C391,B391,"ym")&amp;IF(DATEDIF(C391,B391,"ym")=1," month"," months"),IF(DATEDIF(C391,B391,"m")&gt;=1,DATEDIF(C391,B391,"m")&amp;IF(DATEDIF(C391,B391,"m")=1," month"," months"),DATEDIF(C391,B391,"d")&amp;IF(DATEDIF(C391,B391,"d")=1," day"," days"))))</f>
      </c>
      <c r="E391" s="100"/>
      <c r="F391" s="100"/>
      <c r="G391" s="100"/>
      <c r="H391" s="100"/>
      <c r="I391" s="100"/>
      <c r="J391" s="101"/>
      <c r="K391" s="100"/>
      <c r="L391" s="100"/>
      <c r="M391" s="102" t="str">
        <f>IFERROR(VLOOKUP(G391,Reference!$I$2:$J$175,2,FALSE()),"Operations")</f>
        <v>Operations</v>
      </c>
    </row>
    <row r="392" spans="1:13" ht="15" customHeight="1" x14ac:dyDescent="0.25">
      <c r="A392" s="103"/>
      <c r="B392" s="104"/>
      <c r="C392" s="104"/>
      <c r="D392" s="103">
        <f>IF(OR(B392="",C392=""),"",IF(DATEDIF(C392,B392,"y")&gt;=1,DATEDIF(C392,B392,"y")&amp;IF(DATEDIF(C392,B392,"y")=1," year "," years ")&amp;DATEDIF(C392,B392,"ym")&amp;IF(DATEDIF(C392,B392,"ym")=1," month"," months"),IF(DATEDIF(C392,B392,"m")&gt;=1,DATEDIF(C392,B392,"m")&amp;IF(DATEDIF(C392,B392,"m")=1," month"," months"),DATEDIF(C392,B392,"d")&amp;IF(DATEDIF(C392,B392,"d")=1," day"," days"))))</f>
      </c>
      <c r="E392" s="103"/>
      <c r="F392" s="103"/>
      <c r="G392" s="103"/>
      <c r="H392" s="103"/>
      <c r="I392" s="103"/>
      <c r="J392" s="104"/>
      <c r="K392" s="103"/>
      <c r="L392" s="103"/>
      <c r="M392" s="105" t="str">
        <f>IFERROR(VLOOKUP(G392,Reference!$I$2:$J$175,2,FALSE()),"Operations")</f>
        <v>Operations</v>
      </c>
    </row>
    <row r="393" spans="1:13" ht="15" customHeight="1" x14ac:dyDescent="0.25">
      <c r="A393" s="100"/>
      <c r="B393" s="101"/>
      <c r="C393" s="101"/>
      <c r="D393" s="100">
        <f>IF(OR(B393="",C393=""),"",IF(DATEDIF(C393,B393,"y")&gt;=1,DATEDIF(C393,B393,"y")&amp;IF(DATEDIF(C393,B393,"y")=1," year "," years ")&amp;DATEDIF(C393,B393,"ym")&amp;IF(DATEDIF(C393,B393,"ym")=1," month"," months"),IF(DATEDIF(C393,B393,"m")&gt;=1,DATEDIF(C393,B393,"m")&amp;IF(DATEDIF(C393,B393,"m")=1," month"," months"),DATEDIF(C393,B393,"d")&amp;IF(DATEDIF(C393,B393,"d")=1," day"," days"))))</f>
      </c>
      <c r="E393" s="100"/>
      <c r="F393" s="100"/>
      <c r="G393" s="100"/>
      <c r="H393" s="100"/>
      <c r="I393" s="100"/>
      <c r="J393" s="101"/>
      <c r="K393" s="100"/>
      <c r="L393" s="100"/>
      <c r="M393" s="102" t="str">
        <f>IFERROR(VLOOKUP(G393,Reference!$I$2:$J$175,2,FALSE()),"Operations")</f>
        <v>Operations</v>
      </c>
    </row>
    <row r="394" spans="1:13" ht="15" customHeight="1" x14ac:dyDescent="0.25">
      <c r="A394" s="103"/>
      <c r="B394" s="104"/>
      <c r="C394" s="104"/>
      <c r="D394" s="103">
        <f>IF(OR(B394="",C394=""),"",IF(DATEDIF(C394,B394,"y")&gt;=1,DATEDIF(C394,B394,"y")&amp;IF(DATEDIF(C394,B394,"y")=1," year "," years ")&amp;DATEDIF(C394,B394,"ym")&amp;IF(DATEDIF(C394,B394,"ym")=1," month"," months"),IF(DATEDIF(C394,B394,"m")&gt;=1,DATEDIF(C394,B394,"m")&amp;IF(DATEDIF(C394,B394,"m")=1," month"," months"),DATEDIF(C394,B394,"d")&amp;IF(DATEDIF(C394,B394,"d")=1," day"," days"))))</f>
      </c>
      <c r="E394" s="103"/>
      <c r="F394" s="103"/>
      <c r="G394" s="103"/>
      <c r="H394" s="103"/>
      <c r="I394" s="103"/>
      <c r="J394" s="104"/>
      <c r="K394" s="103"/>
      <c r="L394" s="103"/>
      <c r="M394" s="105" t="str">
        <f>IFERROR(VLOOKUP(G394,Reference!$I$2:$J$175,2,FALSE()),"Operations")</f>
        <v>Operations</v>
      </c>
    </row>
    <row r="395" spans="1:13" ht="15" customHeight="1" x14ac:dyDescent="0.25">
      <c r="A395" s="100"/>
      <c r="B395" s="101"/>
      <c r="C395" s="101"/>
      <c r="D395" s="100">
        <f>IF(OR(B395="",C395=""),"",IF(DATEDIF(C395,B395,"y")&gt;=1,DATEDIF(C395,B395,"y")&amp;IF(DATEDIF(C395,B395,"y")=1," year "," years ")&amp;DATEDIF(C395,B395,"ym")&amp;IF(DATEDIF(C395,B395,"ym")=1," month"," months"),IF(DATEDIF(C395,B395,"m")&gt;=1,DATEDIF(C395,B395,"m")&amp;IF(DATEDIF(C395,B395,"m")=1," month"," months"),DATEDIF(C395,B395,"d")&amp;IF(DATEDIF(C395,B395,"d")=1," day"," days"))))</f>
      </c>
      <c r="E395" s="100"/>
      <c r="F395" s="100"/>
      <c r="G395" s="100"/>
      <c r="H395" s="100"/>
      <c r="I395" s="100"/>
      <c r="J395" s="101"/>
      <c r="K395" s="100"/>
      <c r="L395" s="100"/>
      <c r="M395" s="102" t="str">
        <f>IFERROR(VLOOKUP(G395,Reference!$I$2:$J$175,2,FALSE()),"Operations")</f>
        <v>Operations</v>
      </c>
    </row>
    <row r="396" spans="1:13" ht="15" customHeight="1" x14ac:dyDescent="0.25">
      <c r="A396" s="103"/>
      <c r="B396" s="104"/>
      <c r="C396" s="104"/>
      <c r="D396" s="103">
        <f>IF(OR(B396="",C396=""),"",IF(DATEDIF(C396,B396,"y")&gt;=1,DATEDIF(C396,B396,"y")&amp;IF(DATEDIF(C396,B396,"y")=1," year "," years ")&amp;DATEDIF(C396,B396,"ym")&amp;IF(DATEDIF(C396,B396,"ym")=1," month"," months"),IF(DATEDIF(C396,B396,"m")&gt;=1,DATEDIF(C396,B396,"m")&amp;IF(DATEDIF(C396,B396,"m")=1," month"," months"),DATEDIF(C396,B396,"d")&amp;IF(DATEDIF(C396,B396,"d")=1," day"," days"))))</f>
      </c>
      <c r="E396" s="103"/>
      <c r="F396" s="103"/>
      <c r="G396" s="103"/>
      <c r="H396" s="103"/>
      <c r="I396" s="103"/>
      <c r="J396" s="104"/>
      <c r="K396" s="103"/>
      <c r="L396" s="103"/>
      <c r="M396" s="105" t="str">
        <f>IFERROR(VLOOKUP(G396,Reference!$I$2:$J$175,2,FALSE()),"Operations")</f>
        <v>Operations</v>
      </c>
    </row>
    <row r="397" spans="1:13" ht="15" customHeight="1" x14ac:dyDescent="0.25">
      <c r="A397" s="100"/>
      <c r="B397" s="101"/>
      <c r="C397" s="101"/>
      <c r="D397" s="100">
        <f>IF(OR(B397="",C397=""),"",IF(DATEDIF(C397,B397,"y")&gt;=1,DATEDIF(C397,B397,"y")&amp;IF(DATEDIF(C397,B397,"y")=1," year "," years ")&amp;DATEDIF(C397,B397,"ym")&amp;IF(DATEDIF(C397,B397,"ym")=1," month"," months"),IF(DATEDIF(C397,B397,"m")&gt;=1,DATEDIF(C397,B397,"m")&amp;IF(DATEDIF(C397,B397,"m")=1," month"," months"),DATEDIF(C397,B397,"d")&amp;IF(DATEDIF(C397,B397,"d")=1," day"," days"))))</f>
      </c>
      <c r="E397" s="100"/>
      <c r="F397" s="100"/>
      <c r="G397" s="100"/>
      <c r="H397" s="100"/>
      <c r="I397" s="100"/>
      <c r="J397" s="101"/>
      <c r="K397" s="100"/>
      <c r="L397" s="100"/>
      <c r="M397" s="102" t="str">
        <f>IFERROR(VLOOKUP(G397,Reference!$I$2:$J$175,2,FALSE()),"Operations")</f>
        <v>Operations</v>
      </c>
    </row>
    <row r="398" spans="1:13" ht="15" customHeight="1" x14ac:dyDescent="0.25">
      <c r="A398" s="103"/>
      <c r="B398" s="104"/>
      <c r="C398" s="104"/>
      <c r="D398" s="103">
        <f>IF(OR(B398="",C398=""),"",IF(DATEDIF(C398,B398,"y")&gt;=1,DATEDIF(C398,B398,"y")&amp;IF(DATEDIF(C398,B398,"y")=1," year "," years ")&amp;DATEDIF(C398,B398,"ym")&amp;IF(DATEDIF(C398,B398,"ym")=1," month"," months"),IF(DATEDIF(C398,B398,"m")&gt;=1,DATEDIF(C398,B398,"m")&amp;IF(DATEDIF(C398,B398,"m")=1," month"," months"),DATEDIF(C398,B398,"d")&amp;IF(DATEDIF(C398,B398,"d")=1," day"," days"))))</f>
      </c>
      <c r="E398" s="103"/>
      <c r="F398" s="103"/>
      <c r="G398" s="103"/>
      <c r="H398" s="103"/>
      <c r="I398" s="103"/>
      <c r="J398" s="104"/>
      <c r="K398" s="103"/>
      <c r="L398" s="103"/>
      <c r="M398" s="105" t="str">
        <f>IFERROR(VLOOKUP(G398,Reference!$I$2:$J$175,2,FALSE()),"Operations")</f>
        <v>Operations</v>
      </c>
    </row>
    <row r="399" spans="1:13" ht="15" customHeight="1" x14ac:dyDescent="0.25">
      <c r="A399" s="100"/>
      <c r="B399" s="101"/>
      <c r="C399" s="101"/>
      <c r="D399" s="100">
        <f>IF(OR(B399="",C399=""),"",IF(DATEDIF(C399,B399,"y")&gt;=1,DATEDIF(C399,B399,"y")&amp;IF(DATEDIF(C399,B399,"y")=1," year "," years ")&amp;DATEDIF(C399,B399,"ym")&amp;IF(DATEDIF(C399,B399,"ym")=1," month"," months"),IF(DATEDIF(C399,B399,"m")&gt;=1,DATEDIF(C399,B399,"m")&amp;IF(DATEDIF(C399,B399,"m")=1," month"," months"),DATEDIF(C399,B399,"d")&amp;IF(DATEDIF(C399,B399,"d")=1," day"," days"))))</f>
      </c>
      <c r="E399" s="100"/>
      <c r="F399" s="100"/>
      <c r="G399" s="100"/>
      <c r="H399" s="100"/>
      <c r="I399" s="100"/>
      <c r="J399" s="101"/>
      <c r="K399" s="100"/>
      <c r="L399" s="100"/>
      <c r="M399" s="102" t="str">
        <f>IFERROR(VLOOKUP(G399,Reference!$I$2:$J$175,2,FALSE()),"Operations")</f>
        <v>Operations</v>
      </c>
    </row>
    <row r="400" spans="1:13" ht="15" customHeight="1" x14ac:dyDescent="0.25">
      <c r="A400" s="103"/>
      <c r="B400" s="104"/>
      <c r="C400" s="104"/>
      <c r="D400" s="103">
        <f>IF(OR(B400="",C400=""),"",IF(DATEDIF(C400,B400,"y")&gt;=1,DATEDIF(C400,B400,"y")&amp;IF(DATEDIF(C400,B400,"y")=1," year "," years ")&amp;DATEDIF(C400,B400,"ym")&amp;IF(DATEDIF(C400,B400,"ym")=1," month"," months"),IF(DATEDIF(C400,B400,"m")&gt;=1,DATEDIF(C400,B400,"m")&amp;IF(DATEDIF(C400,B400,"m")=1," month"," months"),DATEDIF(C400,B400,"d")&amp;IF(DATEDIF(C400,B400,"d")=1," day"," days"))))</f>
      </c>
      <c r="E400" s="103"/>
      <c r="F400" s="103"/>
      <c r="G400" s="103"/>
      <c r="H400" s="103"/>
      <c r="I400" s="103"/>
      <c r="J400" s="104"/>
      <c r="K400" s="103"/>
      <c r="L400" s="103"/>
      <c r="M400" s="105" t="str">
        <f>IFERROR(VLOOKUP(G400,Reference!$I$2:$J$175,2,FALSE()),"Operations")</f>
        <v>Operations</v>
      </c>
    </row>
    <row r="401" spans="1:13" ht="15" customHeight="1" x14ac:dyDescent="0.25">
      <c r="A401" s="100"/>
      <c r="B401" s="101"/>
      <c r="C401" s="101"/>
      <c r="D401" s="100">
        <f>IF(OR(B401="",C401=""),"",IF(DATEDIF(C401,B401,"y")&gt;=1,DATEDIF(C401,B401,"y")&amp;IF(DATEDIF(C401,B401,"y")=1," year "," years ")&amp;DATEDIF(C401,B401,"ym")&amp;IF(DATEDIF(C401,B401,"ym")=1," month"," months"),IF(DATEDIF(C401,B401,"m")&gt;=1,DATEDIF(C401,B401,"m")&amp;IF(DATEDIF(C401,B401,"m")=1," month"," months"),DATEDIF(C401,B401,"d")&amp;IF(DATEDIF(C401,B401,"d")=1," day"," days"))))</f>
      </c>
      <c r="E401" s="100"/>
      <c r="F401" s="100"/>
      <c r="G401" s="100"/>
      <c r="H401" s="100"/>
      <c r="I401" s="100"/>
      <c r="J401" s="101"/>
      <c r="K401" s="100"/>
      <c r="L401" s="100"/>
      <c r="M401" s="102" t="str">
        <f>IFERROR(VLOOKUP(G401,Reference!$I$2:$J$175,2,FALSE()),"Operations")</f>
        <v>Operations</v>
      </c>
    </row>
    <row r="402" spans="1:13" ht="15" customHeight="1" x14ac:dyDescent="0.25">
      <c r="A402" s="103"/>
      <c r="B402" s="104"/>
      <c r="C402" s="104"/>
      <c r="D402" s="103">
        <f>IF(OR(B402="",C402=""),"",IF(DATEDIF(C402,B402,"y")&gt;=1,DATEDIF(C402,B402,"y")&amp;IF(DATEDIF(C402,B402,"y")=1," year "," years ")&amp;DATEDIF(C402,B402,"ym")&amp;IF(DATEDIF(C402,B402,"ym")=1," month"," months"),IF(DATEDIF(C402,B402,"m")&gt;=1,DATEDIF(C402,B402,"m")&amp;IF(DATEDIF(C402,B402,"m")=1," month"," months"),DATEDIF(C402,B402,"d")&amp;IF(DATEDIF(C402,B402,"d")=1," day"," days"))))</f>
      </c>
      <c r="E402" s="103"/>
      <c r="F402" s="103"/>
      <c r="G402" s="103"/>
      <c r="H402" s="103"/>
      <c r="I402" s="103"/>
      <c r="J402" s="104"/>
      <c r="K402" s="103"/>
      <c r="L402" s="103"/>
      <c r="M402" s="105" t="str">
        <f>IFERROR(VLOOKUP(G402,Reference!$I$2:$J$175,2,FALSE()),"Operations")</f>
        <v>Operations</v>
      </c>
    </row>
    <row r="403" spans="1:13" ht="15" customHeight="1" x14ac:dyDescent="0.25">
      <c r="A403" s="100"/>
      <c r="B403" s="101"/>
      <c r="C403" s="101"/>
      <c r="D403" s="100">
        <f>IF(OR(B403="",C403=""),"",IF(DATEDIF(C403,B403,"y")&gt;=1,DATEDIF(C403,B403,"y")&amp;IF(DATEDIF(C403,B403,"y")=1," year "," years ")&amp;DATEDIF(C403,B403,"ym")&amp;IF(DATEDIF(C403,B403,"ym")=1," month"," months"),IF(DATEDIF(C403,B403,"m")&gt;=1,DATEDIF(C403,B403,"m")&amp;IF(DATEDIF(C403,B403,"m")=1," month"," months"),DATEDIF(C403,B403,"d")&amp;IF(DATEDIF(C403,B403,"d")=1," day"," days"))))</f>
      </c>
      <c r="E403" s="100"/>
      <c r="F403" s="100"/>
      <c r="G403" s="100"/>
      <c r="H403" s="100"/>
      <c r="I403" s="100"/>
      <c r="J403" s="101"/>
      <c r="K403" s="100"/>
      <c r="L403" s="100"/>
      <c r="M403" s="102" t="str">
        <f>IFERROR(VLOOKUP(G403,Reference!$I$2:$J$175,2,FALSE()),"Operations")</f>
        <v>Operations</v>
      </c>
    </row>
    <row r="404" spans="1:13" ht="15" customHeight="1" x14ac:dyDescent="0.25">
      <c r="A404" s="103"/>
      <c r="B404" s="104"/>
      <c r="C404" s="104"/>
      <c r="D404" s="103">
        <f>IF(OR(B404="",C404=""),"",IF(DATEDIF(C404,B404,"y")&gt;=1,DATEDIF(C404,B404,"y")&amp;IF(DATEDIF(C404,B404,"y")=1," year "," years ")&amp;DATEDIF(C404,B404,"ym")&amp;IF(DATEDIF(C404,B404,"ym")=1," month"," months"),IF(DATEDIF(C404,B404,"m")&gt;=1,DATEDIF(C404,B404,"m")&amp;IF(DATEDIF(C404,B404,"m")=1," month"," months"),DATEDIF(C404,B404,"d")&amp;IF(DATEDIF(C404,B404,"d")=1," day"," days"))))</f>
      </c>
      <c r="E404" s="103"/>
      <c r="F404" s="103"/>
      <c r="G404" s="103"/>
      <c r="H404" s="103"/>
      <c r="I404" s="103"/>
      <c r="J404" s="104"/>
      <c r="K404" s="103"/>
      <c r="L404" s="103"/>
      <c r="M404" s="105" t="str">
        <f>IFERROR(VLOOKUP(G404,Reference!$I$2:$J$175,2,FALSE()),"Operations")</f>
        <v>Operations</v>
      </c>
    </row>
    <row r="405" spans="1:13" ht="15" customHeight="1" x14ac:dyDescent="0.25">
      <c r="A405" s="100"/>
      <c r="B405" s="101"/>
      <c r="C405" s="101"/>
      <c r="D405" s="100">
        <f>IF(OR(B405="",C405=""),"",IF(DATEDIF(C405,B405,"y")&gt;=1,DATEDIF(C405,B405,"y")&amp;IF(DATEDIF(C405,B405,"y")=1," year "," years ")&amp;DATEDIF(C405,B405,"ym")&amp;IF(DATEDIF(C405,B405,"ym")=1," month"," months"),IF(DATEDIF(C405,B405,"m")&gt;=1,DATEDIF(C405,B405,"m")&amp;IF(DATEDIF(C405,B405,"m")=1," month"," months"),DATEDIF(C405,B405,"d")&amp;IF(DATEDIF(C405,B405,"d")=1," day"," days"))))</f>
      </c>
      <c r="E405" s="100"/>
      <c r="F405" s="100"/>
      <c r="G405" s="100"/>
      <c r="H405" s="100"/>
      <c r="I405" s="100"/>
      <c r="J405" s="101"/>
      <c r="K405" s="100"/>
      <c r="L405" s="100"/>
      <c r="M405" s="102" t="str">
        <f>IFERROR(VLOOKUP(G405,Reference!$I$2:$J$175,2,FALSE()),"Operations")</f>
        <v>Operations</v>
      </c>
    </row>
    <row r="406" spans="1:13" ht="15" customHeight="1" x14ac:dyDescent="0.25">
      <c r="A406" s="103"/>
      <c r="B406" s="104"/>
      <c r="C406" s="104"/>
      <c r="D406" s="103">
        <f>IF(OR(B406="",C406=""),"",IF(DATEDIF(C406,B406,"y")&gt;=1,DATEDIF(C406,B406,"y")&amp;IF(DATEDIF(C406,B406,"y")=1," year "," years ")&amp;DATEDIF(C406,B406,"ym")&amp;IF(DATEDIF(C406,B406,"ym")=1," month"," months"),IF(DATEDIF(C406,B406,"m")&gt;=1,DATEDIF(C406,B406,"m")&amp;IF(DATEDIF(C406,B406,"m")=1," month"," months"),DATEDIF(C406,B406,"d")&amp;IF(DATEDIF(C406,B406,"d")=1," day"," days"))))</f>
      </c>
      <c r="E406" s="103"/>
      <c r="F406" s="103"/>
      <c r="G406" s="103"/>
      <c r="H406" s="103"/>
      <c r="I406" s="103"/>
      <c r="J406" s="104"/>
      <c r="K406" s="103"/>
      <c r="L406" s="103"/>
      <c r="M406" s="105" t="str">
        <f>IFERROR(VLOOKUP(G406,Reference!$I$2:$J$175,2,FALSE()),"Operations")</f>
        <v>Operations</v>
      </c>
    </row>
    <row r="407" spans="1:13" ht="15" customHeight="1" x14ac:dyDescent="0.25">
      <c r="A407" s="100"/>
      <c r="B407" s="101"/>
      <c r="C407" s="101"/>
      <c r="D407" s="100">
        <f>IF(OR(B407="",C407=""),"",IF(DATEDIF(C407,B407,"y")&gt;=1,DATEDIF(C407,B407,"y")&amp;IF(DATEDIF(C407,B407,"y")=1," year "," years ")&amp;DATEDIF(C407,B407,"ym")&amp;IF(DATEDIF(C407,B407,"ym")=1," month"," months"),IF(DATEDIF(C407,B407,"m")&gt;=1,DATEDIF(C407,B407,"m")&amp;IF(DATEDIF(C407,B407,"m")=1," month"," months"),DATEDIF(C407,B407,"d")&amp;IF(DATEDIF(C407,B407,"d")=1," day"," days"))))</f>
      </c>
      <c r="E407" s="100"/>
      <c r="F407" s="100"/>
      <c r="G407" s="100"/>
      <c r="H407" s="100"/>
      <c r="I407" s="100"/>
      <c r="J407" s="101"/>
      <c r="K407" s="100"/>
      <c r="L407" s="100"/>
      <c r="M407" s="102" t="str">
        <f>IFERROR(VLOOKUP(G407,Reference!$I$2:$J$175,2,FALSE()),"Operations")</f>
        <v>Operations</v>
      </c>
    </row>
    <row r="408" spans="1:13" ht="15" customHeight="1" x14ac:dyDescent="0.25">
      <c r="A408" s="103"/>
      <c r="B408" s="104"/>
      <c r="C408" s="104"/>
      <c r="D408" s="103">
        <f>IF(OR(B408="",C408=""),"",IF(DATEDIF(C408,B408,"y")&gt;=1,DATEDIF(C408,B408,"y")&amp;IF(DATEDIF(C408,B408,"y")=1," year "," years ")&amp;DATEDIF(C408,B408,"ym")&amp;IF(DATEDIF(C408,B408,"ym")=1," month"," months"),IF(DATEDIF(C408,B408,"m")&gt;=1,DATEDIF(C408,B408,"m")&amp;IF(DATEDIF(C408,B408,"m")=1," month"," months"),DATEDIF(C408,B408,"d")&amp;IF(DATEDIF(C408,B408,"d")=1," day"," days"))))</f>
      </c>
      <c r="E408" s="103"/>
      <c r="F408" s="103"/>
      <c r="G408" s="103"/>
      <c r="H408" s="103"/>
      <c r="I408" s="103"/>
      <c r="J408" s="104"/>
      <c r="K408" s="103"/>
      <c r="L408" s="103"/>
      <c r="M408" s="105" t="str">
        <f>IFERROR(VLOOKUP(G408,Reference!$I$2:$J$175,2,FALSE()),"Operations")</f>
        <v>Operations</v>
      </c>
    </row>
    <row r="409" spans="1:13" ht="15" customHeight="1" x14ac:dyDescent="0.25">
      <c r="A409" s="100"/>
      <c r="B409" s="101"/>
      <c r="C409" s="101"/>
      <c r="D409" s="100">
        <f>IF(OR(B409="",C409=""),"",IF(DATEDIF(C409,B409,"y")&gt;=1,DATEDIF(C409,B409,"y")&amp;IF(DATEDIF(C409,B409,"y")=1," year "," years ")&amp;DATEDIF(C409,B409,"ym")&amp;IF(DATEDIF(C409,B409,"ym")=1," month"," months"),IF(DATEDIF(C409,B409,"m")&gt;=1,DATEDIF(C409,B409,"m")&amp;IF(DATEDIF(C409,B409,"m")=1," month"," months"),DATEDIF(C409,B409,"d")&amp;IF(DATEDIF(C409,B409,"d")=1," day"," days"))))</f>
      </c>
      <c r="E409" s="100"/>
      <c r="F409" s="100"/>
      <c r="G409" s="100"/>
      <c r="H409" s="100"/>
      <c r="I409" s="100"/>
      <c r="J409" s="101"/>
      <c r="K409" s="100"/>
      <c r="L409" s="100"/>
      <c r="M409" s="102" t="str">
        <f>IFERROR(VLOOKUP(G409,Reference!$I$2:$J$175,2,FALSE()),"Operations")</f>
        <v>Operations</v>
      </c>
    </row>
    <row r="410" spans="1:13" ht="15" customHeight="1" x14ac:dyDescent="0.25">
      <c r="A410" s="103"/>
      <c r="B410" s="104"/>
      <c r="C410" s="104"/>
      <c r="D410" s="103">
        <f>IF(OR(B410="",C410=""),"",IF(DATEDIF(C410,B410,"y")&gt;=1,DATEDIF(C410,B410,"y")&amp;IF(DATEDIF(C410,B410,"y")=1," year "," years ")&amp;DATEDIF(C410,B410,"ym")&amp;IF(DATEDIF(C410,B410,"ym")=1," month"," months"),IF(DATEDIF(C410,B410,"m")&gt;=1,DATEDIF(C410,B410,"m")&amp;IF(DATEDIF(C410,B410,"m")=1," month"," months"),DATEDIF(C410,B410,"d")&amp;IF(DATEDIF(C410,B410,"d")=1," day"," days"))))</f>
      </c>
      <c r="E410" s="103"/>
      <c r="F410" s="103"/>
      <c r="G410" s="103"/>
      <c r="H410" s="103"/>
      <c r="I410" s="103"/>
      <c r="J410" s="104"/>
      <c r="K410" s="103"/>
      <c r="L410" s="103"/>
      <c r="M410" s="105" t="str">
        <f>IFERROR(VLOOKUP(G410,Reference!$I$2:$J$175,2,FALSE()),"Operations")</f>
        <v>Operations</v>
      </c>
    </row>
    <row r="411" spans="1:13" ht="15" customHeight="1" x14ac:dyDescent="0.25">
      <c r="A411" s="100"/>
      <c r="B411" s="101"/>
      <c r="C411" s="101"/>
      <c r="D411" s="100">
        <f>IF(OR(B411="",C411=""),"",IF(DATEDIF(C411,B411,"y")&gt;=1,DATEDIF(C411,B411,"y")&amp;IF(DATEDIF(C411,B411,"y")=1," year "," years ")&amp;DATEDIF(C411,B411,"ym")&amp;IF(DATEDIF(C411,B411,"ym")=1," month"," months"),IF(DATEDIF(C411,B411,"m")&gt;=1,DATEDIF(C411,B411,"m")&amp;IF(DATEDIF(C411,B411,"m")=1," month"," months"),DATEDIF(C411,B411,"d")&amp;IF(DATEDIF(C411,B411,"d")=1," day"," days"))))</f>
      </c>
      <c r="E411" s="100"/>
      <c r="F411" s="100"/>
      <c r="G411" s="100"/>
      <c r="H411" s="100"/>
      <c r="I411" s="100"/>
      <c r="J411" s="101"/>
      <c r="K411" s="100"/>
      <c r="L411" s="100"/>
      <c r="M411" s="102" t="str">
        <f>IFERROR(VLOOKUP(G411,Reference!$I$2:$J$175,2,FALSE()),"Operations")</f>
        <v>Operations</v>
      </c>
    </row>
    <row r="412" spans="1:13" ht="15" customHeight="1" x14ac:dyDescent="0.25">
      <c r="A412" s="103"/>
      <c r="B412" s="104"/>
      <c r="C412" s="104"/>
      <c r="D412" s="103">
        <f>IF(OR(B412="",C412=""),"",IF(DATEDIF(C412,B412,"y")&gt;=1,DATEDIF(C412,B412,"y")&amp;IF(DATEDIF(C412,B412,"y")=1," year "," years ")&amp;DATEDIF(C412,B412,"ym")&amp;IF(DATEDIF(C412,B412,"ym")=1," month"," months"),IF(DATEDIF(C412,B412,"m")&gt;=1,DATEDIF(C412,B412,"m")&amp;IF(DATEDIF(C412,B412,"m")=1," month"," months"),DATEDIF(C412,B412,"d")&amp;IF(DATEDIF(C412,B412,"d")=1," day"," days"))))</f>
      </c>
      <c r="E412" s="103"/>
      <c r="F412" s="103"/>
      <c r="G412" s="103"/>
      <c r="H412" s="103"/>
      <c r="I412" s="103"/>
      <c r="J412" s="104"/>
      <c r="K412" s="103"/>
      <c r="L412" s="103"/>
      <c r="M412" s="105" t="str">
        <f>IFERROR(VLOOKUP(G412,Reference!$I$2:$J$175,2,FALSE()),"Operations")</f>
        <v>Operations</v>
      </c>
    </row>
    <row r="413" spans="1:13" ht="15" customHeight="1" x14ac:dyDescent="0.25">
      <c r="A413" s="106" t="s">
        <v>163</v>
      </c>
      <c r="B413" s="107">
        <f>COUNTA(A383:A412)</f>
        <v>0</v>
      </c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</row>
    <row r="414" spans="1:13" ht="6" customHeight="1" x14ac:dyDescent="0.25"/>
  </sheetData>
  <mergeCells count="14">
    <mergeCell ref="A2:M2"/>
    <mergeCell ref="A3:M3"/>
    <mergeCell ref="A7:M7"/>
    <mergeCell ref="A41:M41"/>
    <mergeCell ref="A75:M75"/>
    <mergeCell ref="A279:M279"/>
    <mergeCell ref="A313:M313"/>
    <mergeCell ref="A347:M347"/>
    <mergeCell ref="A381:M381"/>
    <mergeCell ref="A109:M109"/>
    <mergeCell ref="A143:M143"/>
    <mergeCell ref="A177:M177"/>
    <mergeCell ref="A211:M211"/>
    <mergeCell ref="A245:M245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warning" allowBlank="1" showErrorMessage="1" errorTitle="Invalid Entry" error="Please select a value from the list." xr:uid="{00000000-0002-0000-0200-000000000000}">
          <x14:formula1>
            <xm:f>Reference!$G$2:$G$3</xm:f>
          </x14:formula1>
          <x14:formula2>
            <xm:f>0</xm:f>
          </x14:formula2>
          <xm:sqref>F9:F413</xm:sqref>
        </x14:dataValidation>
        <x14:dataValidation type="list" errorStyle="warning" allowBlank="1" showErrorMessage="1" errorTitle="Invalid Entry" error="Please select a value from the list." xr:uid="{00000000-0002-0000-0200-000001000000}">
          <x14:formula1>
            <xm:f>Reference!$E$2:$E$64</xm:f>
          </x14:formula1>
          <x14:formula2>
            <xm:f>0</xm:f>
          </x14:formula2>
          <xm:sqref>G9:G413</xm:sqref>
        </x14:dataValidation>
        <x14:dataValidation type="list" errorStyle="warning" allowBlank="1" showErrorMessage="1" errorTitle="Invalid Entry" error="Please select a value from the list." xr:uid="{00000000-0002-0000-0200-000002000000}">
          <x14:formula1>
            <xm:f>Reference!$C$2:$C$13</xm:f>
          </x14:formula1>
          <x14:formula2>
            <xm:f>0</xm:f>
          </x14:formula2>
          <xm:sqref>H9:H413</xm:sqref>
        </x14:dataValidation>
        <x14:dataValidation type="list" errorStyle="warning" allowBlank="1" showErrorMessage="1" errorTitle="Invalid Entry" error="Please select a value from the list." xr:uid="{00000000-0002-0000-0200-000003000000}">
          <x14:formula1>
            <xm:f>Reference!$A$2:$A$18</xm:f>
          </x14:formula1>
          <x14:formula2>
            <xm:f>0</xm:f>
          </x14:formula2>
          <xm:sqref>K9:K413</xm:sqref>
        </x14:dataValidation>
        <x14:dataValidation type="list" errorStyle="warning" allowBlank="1" showErrorMessage="1" errorTitle="Invalid Entry" error="Please select a value from the list." xr:uid="{00000000-0002-0000-0200-000004000000}">
          <x14:formula1>
            <xm:f>Reference!$L$2:$L$10</xm:f>
          </x14:formula1>
          <x14:formula2>
            <xm:f>0</xm:f>
          </x14:formula2>
          <xm:sqref>M9:M413</xm:sqref>
        </x14:dataValidation>
      </x14:dataValidations>
    </ext>
    <ext xmlns:x14="http://schemas.microsoft.com/office/spreadsheetml/2009/9/main" uri="{CCE6A557-97BC-4B89-ADB6-D9C93CAAB3DF}">
      <x14:dataValidations xmlns:xm="http://schemas.microsoft.com/office/excel/2006/main" count="6">
        <x14:dataValidation xmlns:xr="http://schemas.microsoft.com/office/spreadsheetml/2014/revision" type="list" errorStyle="stop" allowBlank="1" showInputMessage="1" showErrorMessage="1" errorTitle="Invalid Rehire" error="Rehire Eligibility must be Yes or No." promptTitle="" prompt="" xr:uid="{00000000-0002-0000-0005-00000000}">
          <x14:formula1>
            <xm:f>Reference!$B$2:$B$3</xm:f>
          </x14:formula1>
          <xm:sqref>E9:E413</xm:sqref>
        </x14:dataValidation>
        <x14:dataValidation xmlns:xr="http://schemas.microsoft.com/office/spreadsheetml/2014/revision" type="list" errorStyle="stop" allowBlank="1" showInputMessage="1" showErrorMessage="1" errorTitle="Invalid Status" error="Status must be U (uneligible) or D (discharged)." promptTitle="" prompt="" xr:uid="{00000000-0002-0000-0005-00000001}">
          <x14:formula1>
            <xm:f>Reference!$G$2:$G$3</xm:f>
          </x14:formula1>
          <xm:sqref>F9:F413</xm:sqref>
        </x14:dataValidation>
        <x14:dataValidation xmlns:xr="http://schemas.microsoft.com/office/spreadsheetml/2014/revision" type="list" errorStyle="stop" allowBlank="1" showInputMessage="1" showErrorMessage="1" errorTitle="Invalid Location" error="Pick a location from the Reference list." promptTitle="" prompt="" xr:uid="{00000000-0002-0000-0005-00000002}">
          <x14:formula1>
            <xm:f>Reference!$E$2:$E$64</xm:f>
          </x14:formula1>
          <xm:sqref>G9:G413</xm:sqref>
        </x14:dataValidation>
        <x14:dataValidation xmlns:xr="http://schemas.microsoft.com/office/spreadsheetml/2014/revision" type="list" errorStyle="stop" allowBlank="1" showInputMessage="1" showErrorMessage="1" errorTitle="Invalid Reason" error="Pick a reason from the Reference list." promptTitle="" prompt="" xr:uid="{00000000-0002-0000-0005-00000003}">
          <x14:formula1>
            <xm:f>Reference!$C$2:$C$14</xm:f>
          </x14:formula1>
          <xm:sqref>H9:H413</xm:sqref>
        </x14:dataValidation>
        <x14:dataValidation xmlns:xr="http://schemas.microsoft.com/office/spreadsheetml/2014/revision" type="list" errorStyle="stop" allowBlank="1" showInputMessage="1" showErrorMessage="1" errorTitle="Invalid Job" error="Pick a job from the Reference list." promptTitle="" prompt="" xr:uid="{00000000-0002-0000-0005-00000004}">
          <x14:formula1>
            <xm:f>Reference!$A$2:$A$18</xm:f>
          </x14:formula1>
          <xm:sqref>K9:K413</xm:sqref>
        </x14:dataValidation>
        <x14:dataValidation xmlns:xr="http://schemas.microsoft.com/office/spreadsheetml/2014/revision" type="list" errorStyle="stop" allowBlank="1" showInputMessage="1" showErrorMessage="1" errorTitle="Invalid Department" error="Pick a department from the Reference list." promptTitle="" prompt="" xr:uid="{00000000-0002-0000-0005-00000005}">
          <x14:formula1>
            <xm:f>Reference!$L$2:$L$10</xm:f>
          </x14:formula1>
          <xm:sqref>M9:M413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39C12"/>
  </sheetPr>
  <dimension ref="A1:O358"/>
  <sheetViews>
    <sheetView zoomScaleNormal="100" workbookViewId="0">
      <pane ySplit="6" topLeftCell="A98" activePane="bottomLeft" state="frozen"/>
      <selection pane="bottomLeft" activeCell="G58" sqref="G58"/>
    </sheetView>
  </sheetViews>
  <sheetFormatPr defaultColWidth="8.7109375" defaultRowHeight="15" x14ac:dyDescent="0.25"/>
  <cols>
    <col min="1" max="1" width="26" customWidth="1"/>
    <col min="2" max="2" width="18.28515625" customWidth="1"/>
    <col min="3" max="3" width="16" customWidth="1"/>
    <col min="4" max="4" width="20" customWidth="1"/>
    <col min="5" max="5" width="12" customWidth="1"/>
    <col min="6" max="6" width="2.42578125" customWidth="1"/>
    <col min="7" max="7" width="28" customWidth="1"/>
    <col min="8" max="8" width="23.5703125" customWidth="1"/>
    <col min="9" max="9" width="22" customWidth="1"/>
    <col min="10" max="10" width="18.28515625" customWidth="1"/>
    <col min="11" max="11" width="18" customWidth="1"/>
    <col min="12" max="12" width="34" customWidth="1"/>
    <col min="13" max="13" width="20" customWidth="1"/>
  </cols>
  <sheetData>
    <row r="1" spans="1:15" ht="7.5" customHeight="1" x14ac:dyDescent="0.25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"/>
      <c r="O1" s="6"/>
    </row>
    <row r="2" spans="1:15" ht="31.5" customHeight="1" x14ac:dyDescent="0.25">
      <c r="A2" s="160" t="s">
        <v>175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6"/>
      <c r="O2" s="6"/>
    </row>
    <row r="3" spans="1:15" ht="19.5" customHeight="1" x14ac:dyDescent="0.25">
      <c r="A3" s="164" t="s">
        <v>176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6"/>
      <c r="O3" s="6"/>
    </row>
    <row r="4" spans="1:15" ht="6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ht="27.75" customHeight="1" x14ac:dyDescent="0.25">
      <c r="A5" s="95" t="s">
        <v>147</v>
      </c>
      <c r="B5" s="109">
        <v>366</v>
      </c>
      <c r="C5" s="97"/>
      <c r="D5" s="95" t="s">
        <v>148</v>
      </c>
      <c r="E5" s="110">
        <f>B18+B33+B51+B85+B119+B153+B187+B221+B255+B289+B323+B357</f>
        <v>35</v>
      </c>
      <c r="F5" s="97"/>
      <c r="G5" s="95" t="s">
        <v>149</v>
      </c>
      <c r="H5" s="99">
        <f>IF(B5=0,0,E5/B5)</f>
        <v>9.5628415300546443E-2</v>
      </c>
      <c r="I5" s="97"/>
      <c r="J5" s="97"/>
      <c r="K5" s="97"/>
      <c r="L5" s="97"/>
      <c r="M5" s="97"/>
      <c r="N5" s="6"/>
      <c r="O5" s="6"/>
    </row>
    <row r="6" spans="1:15" ht="6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ht="21.75" customHeight="1" x14ac:dyDescent="0.25">
      <c r="A7" s="163" t="s">
        <v>177</v>
      </c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6"/>
      <c r="O7" s="6"/>
    </row>
    <row r="8" spans="1:15" ht="19.5" customHeight="1" x14ac:dyDescent="0.25">
      <c r="A8" s="64" t="s">
        <v>151</v>
      </c>
      <c r="B8" s="64" t="s">
        <v>152</v>
      </c>
      <c r="C8" s="64" t="s">
        <v>153</v>
      </c>
      <c r="D8" s="64" t="s">
        <v>154</v>
      </c>
      <c r="E8" s="64" t="s">
        <v>155</v>
      </c>
      <c r="F8" s="64" t="s">
        <v>156</v>
      </c>
      <c r="G8" s="64" t="s">
        <v>157</v>
      </c>
      <c r="H8" s="64" t="s">
        <v>158</v>
      </c>
      <c r="I8" s="64" t="s">
        <v>159</v>
      </c>
      <c r="J8" s="64" t="s">
        <v>160</v>
      </c>
      <c r="K8" s="64" t="s">
        <v>134</v>
      </c>
      <c r="L8" s="64" t="s">
        <v>161</v>
      </c>
      <c r="M8" s="64" t="s">
        <v>162</v>
      </c>
      <c r="N8" s="6"/>
      <c r="O8" s="6"/>
    </row>
    <row r="9" spans="1:15" ht="15" customHeight="1" x14ac:dyDescent="0.25">
      <c r="A9" s="77" t="s">
        <v>178</v>
      </c>
      <c r="B9" s="111">
        <v>46035</v>
      </c>
      <c r="C9" s="111">
        <v>44655</v>
      </c>
      <c r="D9" s="77" t="str">
        <f t="shared" ref="D9:D16" si="0">IF(OR(B9="",C9=""),"",IF(DATEDIF(C9,B9,"y")&gt;=1,DATEDIF(C9,B9,"y")&amp;IF(DATEDIF(C9,B9,"y")=1," year "," years ")&amp;DATEDIF(C9,B9,"ym")&amp;IF(DATEDIF(C9,B9,"ym")=1," month"," months"),IF(DATEDIF(C9,B9,"m")&gt;=1,DATEDIF(C9,B9,"m")&amp;IF(DATEDIF(C9,B9,"m")=1," month"," months"),DATEDIF(C9,B9,"d")&amp;IF(DATEDIF(C9,B9,"d")=1," day"," days"))))</f>
        <v>3 years 9 months</v>
      </c>
      <c r="E9" s="77" t="s">
        <v>179</v>
      </c>
      <c r="F9" s="77" t="s">
        <v>180</v>
      </c>
      <c r="G9" s="77" t="s">
        <v>181</v>
      </c>
      <c r="H9" s="77" t="s">
        <v>64</v>
      </c>
      <c r="I9" s="77" t="s">
        <v>182</v>
      </c>
      <c r="J9" s="77" t="s">
        <v>110</v>
      </c>
      <c r="K9" s="77" t="s">
        <v>66</v>
      </c>
      <c r="L9" s="77"/>
      <c r="M9" s="102" t="str">
        <f>IFERROR(VLOOKUP(G9,Reference!$I$2:$J$175,2,FALSE()),"Operations")</f>
        <v>Operations</v>
      </c>
      <c r="N9" s="6"/>
      <c r="O9" s="6"/>
    </row>
    <row r="10" spans="1:15" ht="15" customHeight="1" x14ac:dyDescent="0.25">
      <c r="A10" s="80" t="s">
        <v>183</v>
      </c>
      <c r="B10" s="112">
        <v>46037</v>
      </c>
      <c r="C10" s="112">
        <v>42660</v>
      </c>
      <c r="D10" s="80" t="str">
        <f t="shared" si="0"/>
        <v>9 years 2 months</v>
      </c>
      <c r="E10" s="80" t="s">
        <v>184</v>
      </c>
      <c r="F10" s="80" t="s">
        <v>180</v>
      </c>
      <c r="G10" s="80" t="s">
        <v>185</v>
      </c>
      <c r="H10" s="80" t="s">
        <v>56</v>
      </c>
      <c r="I10" s="80" t="s">
        <v>186</v>
      </c>
      <c r="J10" s="112">
        <v>46037</v>
      </c>
      <c r="K10" s="80" t="s">
        <v>91</v>
      </c>
      <c r="L10" s="80"/>
      <c r="M10" s="105" t="str">
        <f>IFERROR(VLOOKUP(G10,Reference!$I$2:$J$175,2,FALSE()),"Operations")</f>
        <v>QA</v>
      </c>
      <c r="N10" s="6"/>
      <c r="O10" s="6"/>
    </row>
    <row r="11" spans="1:15" ht="15" customHeight="1" x14ac:dyDescent="0.25">
      <c r="A11" s="77" t="s">
        <v>187</v>
      </c>
      <c r="B11" s="111">
        <v>46038</v>
      </c>
      <c r="C11" s="111">
        <v>45054</v>
      </c>
      <c r="D11" s="77" t="str">
        <f t="shared" si="0"/>
        <v>2 years 8 months</v>
      </c>
      <c r="E11" s="77" t="s">
        <v>184</v>
      </c>
      <c r="F11" s="77" t="s">
        <v>180</v>
      </c>
      <c r="G11" s="77" t="s">
        <v>188</v>
      </c>
      <c r="H11" s="77" t="s">
        <v>58</v>
      </c>
      <c r="I11" s="77" t="s">
        <v>189</v>
      </c>
      <c r="J11" s="111">
        <v>46039</v>
      </c>
      <c r="K11" s="77" t="s">
        <v>68</v>
      </c>
      <c r="L11" s="77"/>
      <c r="M11" s="102" t="str">
        <f>IFERROR(VLOOKUP(G11,Reference!$I$2:$J$175,2,FALSE()),"Operations")</f>
        <v>Operations</v>
      </c>
      <c r="N11" s="6"/>
      <c r="O11" s="6"/>
    </row>
    <row r="12" spans="1:15" ht="15" customHeight="1" x14ac:dyDescent="0.25">
      <c r="A12" s="80" t="s">
        <v>190</v>
      </c>
      <c r="B12" s="112">
        <v>46038</v>
      </c>
      <c r="C12" s="112">
        <v>44369</v>
      </c>
      <c r="D12" s="80" t="str">
        <f t="shared" si="0"/>
        <v>4 years 6 months</v>
      </c>
      <c r="E12" s="80" t="s">
        <v>179</v>
      </c>
      <c r="F12" s="80" t="s">
        <v>191</v>
      </c>
      <c r="G12" s="80" t="s">
        <v>192</v>
      </c>
      <c r="H12" s="80" t="s">
        <v>70</v>
      </c>
      <c r="I12" s="80" t="s">
        <v>193</v>
      </c>
      <c r="J12" s="80" t="s">
        <v>194</v>
      </c>
      <c r="K12" s="80" t="s">
        <v>74</v>
      </c>
      <c r="L12" s="80"/>
      <c r="M12" s="105" t="str">
        <f>IFERROR(VLOOKUP(G12,Reference!$I$2:$J$175,2,FALSE()),"Operations")</f>
        <v>Professional Services</v>
      </c>
      <c r="N12" s="6"/>
      <c r="O12" s="6"/>
    </row>
    <row r="13" spans="1:15" ht="15" customHeight="1" x14ac:dyDescent="0.25">
      <c r="A13" s="77" t="s">
        <v>195</v>
      </c>
      <c r="B13" s="111">
        <v>46044</v>
      </c>
      <c r="C13" s="111">
        <v>45404</v>
      </c>
      <c r="D13" s="77" t="str">
        <f t="shared" si="0"/>
        <v>1 year 9 months</v>
      </c>
      <c r="E13" s="77" t="s">
        <v>179</v>
      </c>
      <c r="F13" s="77" t="s">
        <v>191</v>
      </c>
      <c r="G13" s="77" t="s">
        <v>196</v>
      </c>
      <c r="H13" s="77" t="s">
        <v>70</v>
      </c>
      <c r="I13" s="77" t="s">
        <v>197</v>
      </c>
      <c r="J13" s="77" t="s">
        <v>110</v>
      </c>
      <c r="K13" s="77" t="s">
        <v>66</v>
      </c>
      <c r="L13" s="77"/>
      <c r="M13" s="102" t="str">
        <f>IFERROR(VLOOKUP(G13,Reference!$I$2:$J$175,2,FALSE()),"Operations")</f>
        <v>Operations</v>
      </c>
      <c r="N13" s="6"/>
      <c r="O13" s="6"/>
    </row>
    <row r="14" spans="1:15" ht="15" customHeight="1" x14ac:dyDescent="0.25">
      <c r="A14" s="80" t="s">
        <v>198</v>
      </c>
      <c r="B14" s="112">
        <v>46044</v>
      </c>
      <c r="C14" s="112">
        <v>45958</v>
      </c>
      <c r="D14" s="80" t="str">
        <f t="shared" si="0"/>
        <v>2 months</v>
      </c>
      <c r="E14" s="80" t="s">
        <v>179</v>
      </c>
      <c r="F14" s="80" t="s">
        <v>191</v>
      </c>
      <c r="G14" s="80" t="s">
        <v>199</v>
      </c>
      <c r="H14" s="80" t="s">
        <v>64</v>
      </c>
      <c r="I14" s="80" t="s">
        <v>182</v>
      </c>
      <c r="J14" s="80" t="s">
        <v>110</v>
      </c>
      <c r="K14" s="80" t="s">
        <v>66</v>
      </c>
      <c r="L14" s="80"/>
      <c r="M14" s="105" t="str">
        <f>IFERROR(VLOOKUP(G14,Reference!$I$2:$J$175,2,FALSE()),"Operations")</f>
        <v>Operations</v>
      </c>
      <c r="N14" s="6"/>
      <c r="O14" s="6"/>
    </row>
    <row r="15" spans="1:15" ht="15" customHeight="1" x14ac:dyDescent="0.25">
      <c r="A15" s="77" t="s">
        <v>200</v>
      </c>
      <c r="B15" s="111">
        <v>46051</v>
      </c>
      <c r="C15" s="111">
        <v>45082</v>
      </c>
      <c r="D15" s="77" t="str">
        <f t="shared" si="0"/>
        <v>2 years 7 months</v>
      </c>
      <c r="E15" s="77" t="s">
        <v>179</v>
      </c>
      <c r="F15" s="77" t="s">
        <v>191</v>
      </c>
      <c r="G15" s="77" t="s">
        <v>201</v>
      </c>
      <c r="H15" s="77" t="s">
        <v>58</v>
      </c>
      <c r="I15" s="77" t="s">
        <v>202</v>
      </c>
      <c r="J15" s="77" t="s">
        <v>110</v>
      </c>
      <c r="K15" s="77" t="s">
        <v>66</v>
      </c>
      <c r="L15" s="77"/>
      <c r="M15" s="102" t="str">
        <f>IFERROR(VLOOKUP(G15,Reference!$I$2:$J$175,2,FALSE()),"Operations")</f>
        <v>Operations</v>
      </c>
      <c r="N15" s="6"/>
      <c r="O15" s="6"/>
    </row>
    <row r="16" spans="1:15" ht="15" customHeight="1" x14ac:dyDescent="0.25">
      <c r="A16" s="80" t="s">
        <v>203</v>
      </c>
      <c r="B16" s="112">
        <v>46051</v>
      </c>
      <c r="C16" s="112">
        <v>46036</v>
      </c>
      <c r="D16" s="80" t="str">
        <f t="shared" si="0"/>
        <v>15 days</v>
      </c>
      <c r="E16" s="80" t="s">
        <v>179</v>
      </c>
      <c r="F16" s="80" t="s">
        <v>191</v>
      </c>
      <c r="G16" s="80" t="s">
        <v>204</v>
      </c>
      <c r="H16" s="80" t="s">
        <v>77</v>
      </c>
      <c r="I16" s="80" t="s">
        <v>205</v>
      </c>
      <c r="J16" s="80" t="s">
        <v>110</v>
      </c>
      <c r="K16" s="80" t="s">
        <v>66</v>
      </c>
      <c r="L16" s="80"/>
      <c r="M16" s="105" t="str">
        <f>IFERROR(VLOOKUP(G16,Reference!$I$2:$J$175,2,FALSE()),"Operations")</f>
        <v>Operations</v>
      </c>
      <c r="N16" s="6"/>
      <c r="O16" s="6"/>
    </row>
    <row r="17" spans="1:15" ht="15" customHeight="1" x14ac:dyDescent="0.25">
      <c r="A17" s="103"/>
      <c r="B17" s="104"/>
      <c r="C17" s="104"/>
      <c r="D17" s="103">
        <f>IF(OR(B17="",C17=""),"",IF(DATEDIF(C17,B17,"y")&gt;=1,DATEDIF(C17,B17,"y")&amp;IF(DATEDIF(C17,B17,"y")=1," year "," years ")&amp;DATEDIF(C17,B17,"ym")&amp;IF(DATEDIF(C17,B17,"ym")=1," month"," months"),IF(DATEDIF(C17,B17,"m")&gt;=1,DATEDIF(C17,B17,"m")&amp;IF(DATEDIF(C17,B17,"m")=1," month"," months"),DATEDIF(C17,B17,"d")&amp;IF(DATEDIF(C17,B17,"d")=1," day"," days"))))</f>
      </c>
      <c r="E17" s="103"/>
      <c r="F17" s="103"/>
      <c r="G17" s="103"/>
      <c r="H17" s="103"/>
      <c r="I17" s="103"/>
      <c r="J17" s="104"/>
      <c r="K17" s="103"/>
      <c r="L17" s="103"/>
      <c r="M17" s="105" t="str">
        <f>IFERROR(VLOOKUP(G17,Reference!$I$2:$J$175,2,FALSE()),"Operations")</f>
        <v>Operations</v>
      </c>
      <c r="N17" s="6"/>
      <c r="O17" s="6"/>
    </row>
    <row r="18" spans="1:15" ht="15" customHeight="1" x14ac:dyDescent="0.25">
      <c r="A18" s="106" t="s">
        <v>163</v>
      </c>
      <c r="B18" s="107">
        <f>COUNTA(A9:A17)</f>
        <v>8</v>
      </c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6"/>
      <c r="O18" s="6"/>
    </row>
    <row r="19" spans="1:15" ht="6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21.75" customHeight="1" x14ac:dyDescent="0.25">
      <c r="A20" s="163" t="s">
        <v>206</v>
      </c>
      <c r="B20" s="163"/>
      <c r="C20" s="163"/>
      <c r="D20" s="163"/>
      <c r="E20" s="163"/>
      <c r="F20" s="163"/>
      <c r="G20" s="163"/>
      <c r="H20" s="163"/>
      <c r="I20" s="163"/>
      <c r="J20" s="163"/>
      <c r="K20" s="163"/>
      <c r="L20" s="163"/>
      <c r="M20" s="163"/>
      <c r="N20" s="6"/>
      <c r="O20" s="6"/>
    </row>
    <row r="21" spans="1:15" ht="19.5" customHeight="1" x14ac:dyDescent="0.25">
      <c r="A21" s="64" t="s">
        <v>151</v>
      </c>
      <c r="B21" s="64" t="s">
        <v>152</v>
      </c>
      <c r="C21" s="64" t="s">
        <v>153</v>
      </c>
      <c r="D21" s="64" t="s">
        <v>154</v>
      </c>
      <c r="E21" s="64" t="s">
        <v>155</v>
      </c>
      <c r="F21" s="64" t="s">
        <v>156</v>
      </c>
      <c r="G21" s="64" t="s">
        <v>157</v>
      </c>
      <c r="H21" s="64" t="s">
        <v>158</v>
      </c>
      <c r="I21" s="64" t="s">
        <v>159</v>
      </c>
      <c r="J21" s="64" t="s">
        <v>160</v>
      </c>
      <c r="K21" s="64" t="s">
        <v>134</v>
      </c>
      <c r="L21" s="64" t="s">
        <v>161</v>
      </c>
      <c r="M21" s="64" t="s">
        <v>162</v>
      </c>
      <c r="N21" s="6"/>
      <c r="O21" s="6"/>
    </row>
    <row r="22" spans="1:15" ht="15" customHeight="1" x14ac:dyDescent="0.25">
      <c r="A22" s="77" t="s">
        <v>207</v>
      </c>
      <c r="B22" s="111">
        <v>46061</v>
      </c>
      <c r="C22" s="111">
        <v>45918</v>
      </c>
      <c r="D22" s="77" t="str">
        <f t="shared" ref="D22:D31" si="1">IF(OR(B22="",C22=""),"",IF(DATEDIF(C22,B22,"y")&gt;=1,DATEDIF(C22,B22,"y")&amp;IF(DATEDIF(C22,B22,"y")=1," year "," years ")&amp;DATEDIF(C22,B22,"ym")&amp;IF(DATEDIF(C22,B22,"ym")=1," month"," months"),IF(DATEDIF(C22,B22,"m")&gt;=1,DATEDIF(C22,B22,"m")&amp;IF(DATEDIF(C22,B22,"m")=1," month"," months"),DATEDIF(C22,B22,"d")&amp;IF(DATEDIF(C22,B22,"d")=1," day"," days"))))</f>
        <v>4 months</v>
      </c>
      <c r="E22" s="77" t="s">
        <v>179</v>
      </c>
      <c r="F22" s="77" t="s">
        <v>180</v>
      </c>
      <c r="G22" s="77" t="s">
        <v>208</v>
      </c>
      <c r="H22" s="77" t="s">
        <v>69</v>
      </c>
      <c r="I22" s="77" t="s">
        <v>209</v>
      </c>
      <c r="J22" s="77" t="s">
        <v>110</v>
      </c>
      <c r="K22" s="77" t="s">
        <v>66</v>
      </c>
      <c r="L22" s="77"/>
      <c r="M22" s="102" t="str">
        <f>IFERROR(VLOOKUP(G22,Reference!$I$2:$J$175,2,FALSE()),"Operations")</f>
        <v>Operations</v>
      </c>
      <c r="N22" s="6"/>
      <c r="O22" s="6"/>
    </row>
    <row r="23" spans="1:15" ht="15" customHeight="1" x14ac:dyDescent="0.25">
      <c r="A23" s="80" t="s">
        <v>210</v>
      </c>
      <c r="B23" s="112">
        <v>46056</v>
      </c>
      <c r="C23" s="112">
        <v>45967</v>
      </c>
      <c r="D23" s="80" t="str">
        <f t="shared" si="1"/>
        <v>2 months</v>
      </c>
      <c r="E23" s="80" t="s">
        <v>184</v>
      </c>
      <c r="F23" s="80" t="s">
        <v>191</v>
      </c>
      <c r="G23" s="80" t="s">
        <v>211</v>
      </c>
      <c r="H23" s="80" t="s">
        <v>58</v>
      </c>
      <c r="I23" s="80" t="s">
        <v>212</v>
      </c>
      <c r="J23" s="80" t="s">
        <v>110</v>
      </c>
      <c r="K23" s="80" t="s">
        <v>66</v>
      </c>
      <c r="L23" s="80"/>
      <c r="M23" s="105" t="str">
        <f>IFERROR(VLOOKUP(G23,Reference!$I$2:$J$175,2,FALSE()),"Operations")</f>
        <v>Operations</v>
      </c>
      <c r="N23" s="6"/>
      <c r="O23" s="6"/>
    </row>
    <row r="24" spans="1:15" ht="15" customHeight="1" x14ac:dyDescent="0.25">
      <c r="A24" s="77" t="s">
        <v>202</v>
      </c>
      <c r="B24" s="111">
        <v>46081</v>
      </c>
      <c r="C24" s="111">
        <v>45183</v>
      </c>
      <c r="D24" s="77" t="str">
        <f t="shared" si="1"/>
        <v>2 years 5 months</v>
      </c>
      <c r="E24" s="77" t="s">
        <v>213</v>
      </c>
      <c r="F24" s="77" t="s">
        <v>180</v>
      </c>
      <c r="G24" s="77" t="s">
        <v>214</v>
      </c>
      <c r="H24" s="77" t="s">
        <v>56</v>
      </c>
      <c r="I24" s="77" t="s">
        <v>215</v>
      </c>
      <c r="J24" s="77" t="s">
        <v>216</v>
      </c>
      <c r="K24" s="77" t="s">
        <v>66</v>
      </c>
      <c r="L24" s="77"/>
      <c r="M24" s="102" t="str">
        <f>IFERROR(VLOOKUP(G24,Reference!$I$2:$J$175,2,FALSE()),"Operations")</f>
        <v>Operations</v>
      </c>
      <c r="N24" s="6"/>
      <c r="O24" s="6"/>
    </row>
    <row r="25" spans="1:15" ht="15" customHeight="1" x14ac:dyDescent="0.25">
      <c r="A25" s="80" t="s">
        <v>217</v>
      </c>
      <c r="B25" s="112">
        <v>46081</v>
      </c>
      <c r="C25" s="112">
        <v>45203</v>
      </c>
      <c r="D25" s="80" t="str">
        <f t="shared" si="1"/>
        <v>2 years 4 months</v>
      </c>
      <c r="E25" s="80" t="s">
        <v>184</v>
      </c>
      <c r="F25" s="80" t="s">
        <v>191</v>
      </c>
      <c r="G25" s="80" t="s">
        <v>218</v>
      </c>
      <c r="H25" s="80" t="s">
        <v>56</v>
      </c>
      <c r="I25" s="80" t="s">
        <v>219</v>
      </c>
      <c r="J25" s="80" t="s">
        <v>216</v>
      </c>
      <c r="K25" s="80" t="s">
        <v>66</v>
      </c>
      <c r="L25" s="80"/>
      <c r="M25" s="105" t="str">
        <f>IFERROR(VLOOKUP(G25,Reference!$I$2:$J$175,2,FALSE()),"Operations")</f>
        <v>Operations</v>
      </c>
      <c r="N25" s="6"/>
      <c r="O25" s="6"/>
    </row>
    <row r="26" spans="1:15" ht="15" customHeight="1" x14ac:dyDescent="0.25">
      <c r="A26" s="77" t="s">
        <v>220</v>
      </c>
      <c r="B26" s="111">
        <v>46065</v>
      </c>
      <c r="C26" s="111">
        <v>41095</v>
      </c>
      <c r="D26" s="77" t="str">
        <f t="shared" si="1"/>
        <v>13 years 7 months</v>
      </c>
      <c r="E26" s="77" t="s">
        <v>179</v>
      </c>
      <c r="F26" s="77" t="s">
        <v>180</v>
      </c>
      <c r="G26" s="77" t="s">
        <v>196</v>
      </c>
      <c r="H26" s="77" t="s">
        <v>75</v>
      </c>
      <c r="I26" s="77" t="s">
        <v>221</v>
      </c>
      <c r="J26" s="77" t="s">
        <v>110</v>
      </c>
      <c r="K26" s="77" t="s">
        <v>66</v>
      </c>
      <c r="L26" s="77"/>
      <c r="M26" s="102" t="str">
        <f>IFERROR(VLOOKUP(G26,Reference!$I$2:$J$175,2,FALSE()),"Operations")</f>
        <v>Operations</v>
      </c>
      <c r="N26" s="6"/>
      <c r="O26" s="6"/>
    </row>
    <row r="27" spans="1:15" ht="15" customHeight="1" x14ac:dyDescent="0.25">
      <c r="A27" s="80" t="s">
        <v>222</v>
      </c>
      <c r="B27" s="112">
        <v>46069</v>
      </c>
      <c r="C27" s="112">
        <v>45600</v>
      </c>
      <c r="D27" s="80" t="str">
        <f t="shared" si="1"/>
        <v>1 year 3 months</v>
      </c>
      <c r="E27" s="80" t="s">
        <v>179</v>
      </c>
      <c r="F27" s="80" t="s">
        <v>191</v>
      </c>
      <c r="G27" s="80" t="s">
        <v>223</v>
      </c>
      <c r="H27" s="80" t="s">
        <v>53</v>
      </c>
      <c r="I27" s="80" t="s">
        <v>221</v>
      </c>
      <c r="J27" s="80" t="s">
        <v>110</v>
      </c>
      <c r="K27" s="80" t="s">
        <v>66</v>
      </c>
      <c r="L27" s="80"/>
      <c r="M27" s="105" t="str">
        <f>IFERROR(VLOOKUP(G27,Reference!$I$2:$J$175,2,FALSE()),"Operations")</f>
        <v>Operations</v>
      </c>
      <c r="N27" s="6"/>
      <c r="O27" s="6"/>
    </row>
    <row r="28" spans="1:15" ht="15" customHeight="1" x14ac:dyDescent="0.25">
      <c r="A28" s="77" t="s">
        <v>209</v>
      </c>
      <c r="B28" s="111">
        <v>46079</v>
      </c>
      <c r="C28" s="111">
        <v>45152</v>
      </c>
      <c r="D28" s="77" t="str">
        <f t="shared" si="1"/>
        <v>2 years 6 months</v>
      </c>
      <c r="E28" s="77" t="s">
        <v>179</v>
      </c>
      <c r="F28" s="77" t="s">
        <v>191</v>
      </c>
      <c r="G28" s="77" t="s">
        <v>223</v>
      </c>
      <c r="H28" s="77" t="s">
        <v>53</v>
      </c>
      <c r="I28" s="77" t="s">
        <v>221</v>
      </c>
      <c r="J28" s="77" t="s">
        <v>110</v>
      </c>
      <c r="K28" s="77" t="s">
        <v>68</v>
      </c>
      <c r="L28" s="77"/>
      <c r="M28" s="102" t="str">
        <f>IFERROR(VLOOKUP(G28,Reference!$I$2:$J$175,2,FALSE()),"Operations")</f>
        <v>Operations</v>
      </c>
      <c r="N28" s="6"/>
      <c r="O28" s="6"/>
    </row>
    <row r="29" spans="1:15" ht="15" customHeight="1" x14ac:dyDescent="0.25">
      <c r="A29" s="80" t="s">
        <v>224</v>
      </c>
      <c r="B29" s="112">
        <v>46080</v>
      </c>
      <c r="C29" s="112">
        <v>44711</v>
      </c>
      <c r="D29" s="80" t="str">
        <f t="shared" si="1"/>
        <v>3 years 8 months</v>
      </c>
      <c r="E29" s="80" t="s">
        <v>184</v>
      </c>
      <c r="F29" s="80" t="s">
        <v>191</v>
      </c>
      <c r="G29" s="80" t="s">
        <v>87</v>
      </c>
      <c r="H29" s="80" t="s">
        <v>53</v>
      </c>
      <c r="I29" s="80" t="s">
        <v>225</v>
      </c>
      <c r="J29" s="80" t="s">
        <v>110</v>
      </c>
      <c r="K29" s="80" t="s">
        <v>226</v>
      </c>
      <c r="L29" s="80"/>
      <c r="M29" s="105" t="str">
        <f>IFERROR(VLOOKUP(G29,Reference!$I$2:$J$175,2,FALSE()),"Operations")</f>
        <v>Finance</v>
      </c>
      <c r="N29" s="6"/>
      <c r="O29" s="6"/>
    </row>
    <row r="30" spans="1:15" ht="15" customHeight="1" x14ac:dyDescent="0.25">
      <c r="A30" s="77" t="s">
        <v>227</v>
      </c>
      <c r="B30" s="111">
        <v>46079</v>
      </c>
      <c r="C30" s="111">
        <v>45761</v>
      </c>
      <c r="D30" s="77" t="str">
        <f t="shared" si="1"/>
        <v>10 months</v>
      </c>
      <c r="E30" s="77" t="s">
        <v>179</v>
      </c>
      <c r="F30" s="77" t="s">
        <v>180</v>
      </c>
      <c r="G30" s="77" t="s">
        <v>87</v>
      </c>
      <c r="H30" s="77" t="s">
        <v>64</v>
      </c>
      <c r="I30" s="77" t="s">
        <v>228</v>
      </c>
      <c r="J30" s="77" t="s">
        <v>110</v>
      </c>
      <c r="K30" s="77" t="s">
        <v>229</v>
      </c>
      <c r="L30" s="77"/>
      <c r="M30" s="102" t="str">
        <f>IFERROR(VLOOKUP(G30,Reference!$I$2:$J$175,2,FALSE()),"Operations")</f>
        <v>Finance</v>
      </c>
      <c r="N30" s="6"/>
      <c r="O30" s="6"/>
    </row>
    <row r="31" spans="1:15" ht="15" customHeight="1" x14ac:dyDescent="0.25">
      <c r="A31" s="80" t="s">
        <v>230</v>
      </c>
      <c r="B31" s="112">
        <v>46080</v>
      </c>
      <c r="C31" s="112">
        <v>46062</v>
      </c>
      <c r="D31" s="80" t="str">
        <f t="shared" si="1"/>
        <v>18 days</v>
      </c>
      <c r="E31" s="80" t="s">
        <v>179</v>
      </c>
      <c r="F31" s="80" t="s">
        <v>180</v>
      </c>
      <c r="G31" s="80" t="s">
        <v>185</v>
      </c>
      <c r="H31" s="80" t="s">
        <v>64</v>
      </c>
      <c r="I31" s="80" t="s">
        <v>186</v>
      </c>
      <c r="J31" s="80" t="s">
        <v>110</v>
      </c>
      <c r="K31" s="80" t="s">
        <v>231</v>
      </c>
      <c r="L31" s="80"/>
      <c r="M31" s="105" t="str">
        <f>IFERROR(VLOOKUP(G31,Reference!$I$2:$J$175,2,FALSE()),"Operations")</f>
        <v>QA</v>
      </c>
      <c r="N31" s="6"/>
      <c r="O31" s="6"/>
    </row>
    <row r="32" spans="1:15" ht="15" customHeight="1" x14ac:dyDescent="0.25">
      <c r="A32" s="103"/>
      <c r="B32" s="104"/>
      <c r="C32" s="104"/>
      <c r="D32" s="103">
        <f>IF(OR(B32="",C32=""),"",IF(DATEDIF(C32,B32,"y")&gt;=1,DATEDIF(C32,B32,"y")&amp;IF(DATEDIF(C32,B32,"y")=1," year "," years ")&amp;DATEDIF(C32,B32,"ym")&amp;IF(DATEDIF(C32,B32,"ym")=1," month"," months"),IF(DATEDIF(C32,B32,"m")&gt;=1,DATEDIF(C32,B32,"m")&amp;IF(DATEDIF(C32,B32,"m")=1," month"," months"),DATEDIF(C32,B32,"d")&amp;IF(DATEDIF(C32,B32,"d")=1," day"," days"))))</f>
      </c>
      <c r="E32" s="103"/>
      <c r="F32" s="103"/>
      <c r="G32" s="103"/>
      <c r="H32" s="103"/>
      <c r="I32" s="103"/>
      <c r="J32" s="104"/>
      <c r="K32" s="103"/>
      <c r="L32" s="103"/>
      <c r="M32" s="105" t="str">
        <f>IFERROR(VLOOKUP(G32,Reference!$I$2:$J$175,2,FALSE()),"Operations")</f>
        <v>Operations</v>
      </c>
      <c r="N32" s="6"/>
      <c r="O32" s="6"/>
    </row>
    <row r="33" spans="1:15" ht="15" customHeight="1" x14ac:dyDescent="0.25">
      <c r="A33" s="106" t="s">
        <v>163</v>
      </c>
      <c r="B33" s="107">
        <f>COUNTA(A22:A32)</f>
        <v>10</v>
      </c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6"/>
      <c r="O33" s="6"/>
    </row>
    <row r="34" spans="1:15" ht="6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ht="21.75" customHeight="1" x14ac:dyDescent="0.25">
      <c r="A35" s="163" t="s">
        <v>232</v>
      </c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3"/>
      <c r="N35" s="6"/>
      <c r="O35" s="6"/>
    </row>
    <row r="36" spans="1:15" ht="19.5" customHeight="1" x14ac:dyDescent="0.25">
      <c r="A36" s="113" t="s">
        <v>151</v>
      </c>
      <c r="B36" s="114" t="s">
        <v>152</v>
      </c>
      <c r="C36" s="114" t="s">
        <v>153</v>
      </c>
      <c r="D36" s="114" t="s">
        <v>154</v>
      </c>
      <c r="E36" s="114" t="s">
        <v>155</v>
      </c>
      <c r="F36" s="114" t="s">
        <v>156</v>
      </c>
      <c r="G36" s="114" t="s">
        <v>157</v>
      </c>
      <c r="H36" s="114" t="s">
        <v>158</v>
      </c>
      <c r="I36" s="114" t="s">
        <v>159</v>
      </c>
      <c r="J36" s="114" t="s">
        <v>160</v>
      </c>
      <c r="K36" s="114" t="s">
        <v>134</v>
      </c>
      <c r="L36" s="114" t="s">
        <v>161</v>
      </c>
      <c r="M36" s="115" t="s">
        <v>162</v>
      </c>
      <c r="N36" s="6"/>
      <c r="O36" s="6"/>
    </row>
    <row r="37" spans="1:15" ht="15" customHeight="1" x14ac:dyDescent="0.25">
      <c r="A37" s="116" t="s">
        <v>233</v>
      </c>
      <c r="B37" s="112">
        <v>46083</v>
      </c>
      <c r="C37" s="112">
        <v>45252</v>
      </c>
      <c r="D37" s="80" t="str">
        <f>IF(OR(B37="",C37=""),"",IF(DATEDIF(C37,B37,"y")&gt;=1,DATEDIF(C37,B37,"y")&amp;IF(DATEDIF(C37,B37,"y")=1," year "," years ")&amp;DATEDIF(C37,B37,"ym")&amp;IF(DATEDIF(C37,B37,"ym")=1," month"," months"),IF(DATEDIF(C37,B37,"m")&gt;=1,DATEDIF(C37,B37,"m")&amp;IF(DATEDIF(C37,B37,"m")=1," month"," months"),DATEDIF(C37,B37,"d")&amp;IF(DATEDIF(C37,B37,"d")=1," day"," days"))))</f>
        <v>2 years 3 months</v>
      </c>
      <c r="E37" s="80" t="s">
        <v>179</v>
      </c>
      <c r="F37" s="80" t="s">
        <v>191</v>
      </c>
      <c r="G37" s="80" t="s">
        <v>234</v>
      </c>
      <c r="H37" s="80" t="s">
        <v>53</v>
      </c>
      <c r="I37" s="80" t="s">
        <v>235</v>
      </c>
      <c r="J37" s="80" t="s">
        <v>216</v>
      </c>
      <c r="K37" s="80" t="s">
        <v>66</v>
      </c>
      <c r="L37" s="80" t="s">
        <v>236</v>
      </c>
      <c r="M37" s="117" t="str">
        <f>IFERROR(VLOOKUP(G37,Reference!$I$2:$J$175,2,FALSE()),"Operations")</f>
        <v>Operations</v>
      </c>
      <c r="N37" s="6"/>
      <c r="O37" s="6"/>
    </row>
    <row r="38" spans="1:15" ht="15" customHeight="1" x14ac:dyDescent="0.25">
      <c r="A38" s="118" t="s">
        <v>237</v>
      </c>
      <c r="B38" s="111">
        <v>46083</v>
      </c>
      <c r="C38" s="111">
        <v>38933</v>
      </c>
      <c r="D38" s="77" t="str">
        <f>IF(OR(B38="",C38=""),"",IF(DATEDIF(C38,B38,"y")&gt;=1,DATEDIF(C38,B38,"y")&amp;IF(DATEDIF(C38,B38,"y")=1," year "," years ")&amp;DATEDIF(C38,B38,"ym")&amp;IF(DATEDIF(C38,B38,"ym")=1," month"," months"),IF(DATEDIF(C38,B38,"m")&gt;=1,DATEDIF(C38,B38,"m")&amp;IF(DATEDIF(C38,B38,"m")=1," month"," months"),DATEDIF(C38,B38,"d")&amp;IF(DATEDIF(C38,B38,"d")=1," day"," days"))))</f>
        <v>19 years 6 months</v>
      </c>
      <c r="E38" s="77" t="s">
        <v>179</v>
      </c>
      <c r="F38" s="77" t="s">
        <v>191</v>
      </c>
      <c r="G38" s="77" t="s">
        <v>234</v>
      </c>
      <c r="H38" s="77" t="s">
        <v>53</v>
      </c>
      <c r="I38" s="77" t="s">
        <v>235</v>
      </c>
      <c r="J38" s="77" t="s">
        <v>216</v>
      </c>
      <c r="K38" s="77" t="s">
        <v>66</v>
      </c>
      <c r="L38" s="77" t="s">
        <v>236</v>
      </c>
      <c r="M38" s="119" t="str">
        <f>IFERROR(VLOOKUP(G38,Reference!$I$2:$J$175,2,FALSE()),"Operations")</f>
        <v>Operations</v>
      </c>
      <c r="N38" s="6"/>
      <c r="O38" s="6"/>
    </row>
    <row r="39" spans="1:15" ht="15" customHeight="1" x14ac:dyDescent="0.25">
      <c r="A39" s="116" t="s">
        <v>238</v>
      </c>
      <c r="B39" s="112">
        <v>46083</v>
      </c>
      <c r="C39" s="112">
        <v>45943</v>
      </c>
      <c r="D39" s="80" t="str">
        <f>IF(OR(B39="",C39=""),"",IF(DATEDIF(C39,B39,"y")&gt;=1,DATEDIF(C39,B39,"y")&amp;IF(DATEDIF(C39,B39,"y")=1," year "," years ")&amp;DATEDIF(C39,B39,"ym")&amp;IF(DATEDIF(C39,B39,"ym")=1," month"," months"),IF(DATEDIF(C39,B39,"m")&gt;=1,DATEDIF(C39,B39,"m")&amp;IF(DATEDIF(C39,B39,"m")=1," month"," months"),DATEDIF(C39,B39,"d")&amp;IF(DATEDIF(C39,B39,"d")=1," day"," days"))))</f>
        <v>4 months</v>
      </c>
      <c r="E39" s="80" t="s">
        <v>179</v>
      </c>
      <c r="F39" s="80" t="s">
        <v>191</v>
      </c>
      <c r="G39" s="80" t="s">
        <v>234</v>
      </c>
      <c r="H39" s="80" t="s">
        <v>53</v>
      </c>
      <c r="I39" s="80" t="s">
        <v>235</v>
      </c>
      <c r="J39" s="80" t="s">
        <v>216</v>
      </c>
      <c r="K39" s="80" t="s">
        <v>66</v>
      </c>
      <c r="L39" s="80" t="s">
        <v>236</v>
      </c>
      <c r="M39" s="117" t="str">
        <f>IFERROR(VLOOKUP(G39,Reference!$I$2:$J$175,2,FALSE()),"Operations")</f>
        <v>Operations</v>
      </c>
      <c r="N39" s="6"/>
      <c r="O39" s="6"/>
    </row>
    <row r="40" spans="1:15" ht="15" customHeight="1" x14ac:dyDescent="0.25">
      <c r="A40" s="118" t="s">
        <v>235</v>
      </c>
      <c r="B40" s="111">
        <v>46084</v>
      </c>
      <c r="C40" s="111">
        <v>40715</v>
      </c>
      <c r="D40" s="77" t="str">
        <f>IF(OR(B40="",C40=""),"",IF(DATEDIF(C40,B40,"y")&gt;=1,DATEDIF(C40,B40,"y")&amp;IF(DATEDIF(C40,B40,"y")=1," year "," years ")&amp;DATEDIF(C40,B40,"ym")&amp;IF(DATEDIF(C40,B40,"ym")=1," month"," months"),IF(DATEDIF(C40,B40,"m")&gt;=1,DATEDIF(C40,B40,"m")&amp;IF(DATEDIF(C40,B40,"m")=1," month"," months"),DATEDIF(C40,B40,"d")&amp;IF(DATEDIF(C40,B40,"d")=1," day"," days"))))</f>
        <v>14 years 8 months</v>
      </c>
      <c r="E40" s="77" t="s">
        <v>184</v>
      </c>
      <c r="F40" s="77" t="s">
        <v>191</v>
      </c>
      <c r="G40" s="77" t="s">
        <v>234</v>
      </c>
      <c r="H40" s="77" t="s">
        <v>53</v>
      </c>
      <c r="I40" s="77" t="s">
        <v>239</v>
      </c>
      <c r="J40" s="77" t="s">
        <v>216</v>
      </c>
      <c r="K40" s="77" t="s">
        <v>68</v>
      </c>
      <c r="L40" s="77" t="s">
        <v>236</v>
      </c>
      <c r="M40" s="119" t="str">
        <f>IFERROR(VLOOKUP(G40,Reference!$I$2:$J$175,2,FALSE()),"Operations")</f>
        <v>Operations</v>
      </c>
      <c r="N40" s="6"/>
      <c r="O40" s="6"/>
    </row>
    <row r="41" spans="1:15" ht="15" customHeight="1" x14ac:dyDescent="0.25">
      <c r="A41" s="118" t="s">
        <v>240</v>
      </c>
      <c r="B41" s="111">
        <v>46085</v>
      </c>
      <c r="C41" s="165">
        <v>46076</v>
      </c>
      <c r="D41" s="77" t="str">
        <f>IF(OR(B41="",C41=""),"",IF(DATEDIF(C41,B41,"y")&gt;=1,DATEDIF(C41,B41,"y")&amp;IF(DATEDIF(C41,B41,"y")=1," year "," years ")&amp;DATEDIF(C41,B41,"ym")&amp;IF(DATEDIF(C41,B41,"ym")=1," month"," months"),IF(DATEDIF(C41,B41,"m")&gt;=1,DATEDIF(C41,B41,"m")&amp;IF(DATEDIF(C41,B41,"m")=1," month"," months"),DATEDIF(C41,B41,"d")&amp;IF(DATEDIF(C41,B41,"d")=1," day"," days"))))</f>
        <v>9 days</v>
      </c>
      <c r="E41" s="77" t="s">
        <v>179</v>
      </c>
      <c r="F41" s="77" t="s">
        <v>191</v>
      </c>
      <c r="G41" s="77" t="s">
        <v>241</v>
      </c>
      <c r="H41" s="77" t="s">
        <v>242</v>
      </c>
      <c r="I41" s="77" t="s">
        <v>243</v>
      </c>
      <c r="J41" s="77" t="s">
        <v>216</v>
      </c>
      <c r="K41" s="77" t="s">
        <v>66</v>
      </c>
      <c r="L41" s="77"/>
      <c r="M41" s="119" t="str">
        <f>IFERROR(VLOOKUP(G41,Reference!$I$2:$J$175,2,FALSE()),"Operations")</f>
        <v>Operations</v>
      </c>
      <c r="N41" s="6"/>
      <c r="O41" s="6"/>
    </row>
    <row r="42" spans="1:15" ht="15" customHeight="1" x14ac:dyDescent="0.25">
      <c r="A42" s="116" t="s">
        <v>244</v>
      </c>
      <c r="B42" s="112">
        <v>46085</v>
      </c>
      <c r="C42" s="112">
        <v>45463</v>
      </c>
      <c r="D42" s="80" t="str">
        <f t="shared" ref="D42:D47" si="2">IF(OR(B42="",C42=""),"",IF(DATEDIF(C42,B42,"y")&gt;=1,DATEDIF(C42,B42,"y")&amp;IF(DATEDIF(C42,B42,"y")=1," year "," years ")&amp;DATEDIF(C42,B42,"ym")&amp;IF(DATEDIF(C42,B42,"ym")=1," month"," months"),IF(DATEDIF(C42,B42,"m")&gt;=1,DATEDIF(C42,B42,"m")&amp;IF(DATEDIF(C42,B42,"m")=1," month"," months"),DATEDIF(C42,B42,"d")&amp;IF(DATEDIF(C42,B42,"d")=1," day"," days"))))</f>
        <v>1 year 8 months</v>
      </c>
      <c r="E42" s="80" t="s">
        <v>184</v>
      </c>
      <c r="F42" s="80" t="s">
        <v>191</v>
      </c>
      <c r="G42" s="80" t="s">
        <v>234</v>
      </c>
      <c r="H42" s="80" t="s">
        <v>53</v>
      </c>
      <c r="I42" s="80" t="s">
        <v>235</v>
      </c>
      <c r="J42" s="80" t="s">
        <v>216</v>
      </c>
      <c r="K42" s="80" t="s">
        <v>66</v>
      </c>
      <c r="L42" s="80" t="s">
        <v>236</v>
      </c>
      <c r="M42" s="117" t="str">
        <f>IFERROR(VLOOKUP(G42,Reference!$I$2:$J$175,2,FALSE()),"Operations")</f>
        <v>Operations</v>
      </c>
      <c r="N42" s="6"/>
      <c r="O42" s="6"/>
    </row>
    <row r="43" spans="1:15" ht="15" customHeight="1" x14ac:dyDescent="0.25">
      <c r="A43" s="116" t="s">
        <v>245</v>
      </c>
      <c r="B43" s="112">
        <v>46086</v>
      </c>
      <c r="C43" s="112">
        <v>45705</v>
      </c>
      <c r="D43" s="80" t="str">
        <f t="shared" si="2"/>
        <v>1 year 0 months</v>
      </c>
      <c r="E43" s="80" t="s">
        <v>184</v>
      </c>
      <c r="F43" s="80" t="s">
        <v>191</v>
      </c>
      <c r="G43" s="80" t="s">
        <v>246</v>
      </c>
      <c r="H43" s="80" t="s">
        <v>53</v>
      </c>
      <c r="I43" s="80" t="s">
        <v>197</v>
      </c>
      <c r="J43" s="80" t="s">
        <v>216</v>
      </c>
      <c r="K43" s="80" t="s">
        <v>66</v>
      </c>
      <c r="L43" s="80"/>
      <c r="M43" s="117" t="str">
        <f>IFERROR(VLOOKUP(G43,Reference!$I$2:$J$175,2,FALSE()),"Operations")</f>
        <v>Operations</v>
      </c>
      <c r="N43" s="6"/>
      <c r="O43" s="6"/>
    </row>
    <row r="44" spans="1:15" ht="15" customHeight="1" x14ac:dyDescent="0.25">
      <c r="A44" s="118" t="s">
        <v>247</v>
      </c>
      <c r="B44" s="111">
        <v>46092</v>
      </c>
      <c r="C44" s="111">
        <v>45875</v>
      </c>
      <c r="D44" s="77" t="str">
        <f t="shared" si="2"/>
        <v>7 months</v>
      </c>
      <c r="E44" s="77" t="s">
        <v>184</v>
      </c>
      <c r="F44" s="77" t="s">
        <v>180</v>
      </c>
      <c r="G44" s="77" t="s">
        <v>248</v>
      </c>
      <c r="H44" s="77" t="s">
        <v>53</v>
      </c>
      <c r="I44" s="166" t="s">
        <v>300</v>
      </c>
      <c r="J44" s="77" t="s">
        <v>216</v>
      </c>
      <c r="K44" s="77" t="s">
        <v>66</v>
      </c>
      <c r="L44" s="77"/>
      <c r="M44" s="119" t="str">
        <f>IFERROR(VLOOKUP(G44,Reference!$I$2:$J$175,2,FALSE()),"Operations")</f>
        <v>Operations</v>
      </c>
      <c r="N44" s="6"/>
      <c r="O44" s="6"/>
    </row>
    <row r="45" spans="1:15" ht="15" customHeight="1" x14ac:dyDescent="0.25">
      <c r="A45" s="116" t="s">
        <v>249</v>
      </c>
      <c r="B45" s="112">
        <v>46097</v>
      </c>
      <c r="C45" s="112">
        <v>45621</v>
      </c>
      <c r="D45" s="80" t="str">
        <f t="shared" si="2"/>
        <v>1 year 3 months</v>
      </c>
      <c r="E45" s="80" t="s">
        <v>184</v>
      </c>
      <c r="F45" s="80" t="s">
        <v>191</v>
      </c>
      <c r="G45" s="80" t="s">
        <v>250</v>
      </c>
      <c r="H45" s="166" t="s">
        <v>53</v>
      </c>
      <c r="I45" s="80" t="s">
        <v>251</v>
      </c>
      <c r="J45" s="80" t="s">
        <v>216</v>
      </c>
      <c r="K45" s="80" t="s">
        <v>66</v>
      </c>
      <c r="L45" s="80"/>
      <c r="M45" s="117" t="str">
        <f>IFERROR(VLOOKUP(G45,Reference!$I$2:$J$175,2,FALSE()),"Operations")</f>
        <v>Operations</v>
      </c>
      <c r="N45" s="6"/>
      <c r="O45" s="6"/>
    </row>
    <row r="46" spans="1:15" ht="15" customHeight="1" x14ac:dyDescent="0.25">
      <c r="A46" s="120" t="s">
        <v>252</v>
      </c>
      <c r="B46" s="121">
        <v>46110</v>
      </c>
      <c r="C46" s="121">
        <v>45839</v>
      </c>
      <c r="D46" s="122" t="str">
        <f t="shared" si="2"/>
        <v>8 months</v>
      </c>
      <c r="E46" s="167" t="s">
        <v>184</v>
      </c>
      <c r="F46" s="122" t="s">
        <v>191</v>
      </c>
      <c r="G46" s="122" t="s">
        <v>253</v>
      </c>
      <c r="H46" s="122" t="s">
        <v>53</v>
      </c>
      <c r="I46" s="122" t="s">
        <v>254</v>
      </c>
      <c r="J46" s="122" t="s">
        <v>216</v>
      </c>
      <c r="K46" s="122" t="s">
        <v>66</v>
      </c>
      <c r="L46" s="122"/>
      <c r="M46" s="123" t="str">
        <f>IFERROR(VLOOKUP(G46,Reference!$I$2:$J$175,2,FALSE()),"Operations")</f>
        <v>Operations</v>
      </c>
      <c r="N46" s="6"/>
      <c r="O46" s="6"/>
    </row>
    <row r="47" spans="1:15" ht="15" customHeight="1" x14ac:dyDescent="0.25">
      <c r="A47" s="124" t="s">
        <v>255</v>
      </c>
      <c r="B47" s="125">
        <v>46112</v>
      </c>
      <c r="C47" s="126">
        <v>46084</v>
      </c>
      <c r="D47" s="127" t="str">
        <f t="shared" si="2"/>
        <v>28 days</v>
      </c>
      <c r="E47" s="127" t="s">
        <v>179</v>
      </c>
      <c r="F47" s="127" t="s">
        <v>180</v>
      </c>
      <c r="G47" s="127" t="s">
        <v>983</v>
      </c>
      <c r="H47" s="127" t="s">
        <v>53</v>
      </c>
      <c r="I47" s="127" t="s">
        <v>1053</v>
      </c>
      <c r="J47" s="128" t="s">
        <v>110</v>
      </c>
      <c r="K47" s="127" t="s">
        <v>66</v>
      </c>
      <c r="L47" s="127"/>
      <c r="M47" s="129" t="str">
        <f>IFERROR(VLOOKUP(G47,Reference!$I$2:$J$175,2,FALSE()),"Operations")</f>
        <v>Operations</v>
      </c>
      <c r="N47" s="6"/>
      <c r="O47" s="6"/>
    </row>
    <row r="48" spans="1:15" ht="15" customHeight="1" x14ac:dyDescent="0.25">
      <c r="A48" s="130" t="s">
        <v>256</v>
      </c>
      <c r="B48" s="131"/>
      <c r="C48" s="131"/>
      <c r="D48" s="103"/>
      <c r="E48" s="103"/>
      <c r="F48" s="103"/>
      <c r="G48" s="103"/>
      <c r="H48" s="103"/>
      <c r="I48" s="103"/>
      <c r="J48" s="104"/>
      <c r="K48" s="103"/>
      <c r="L48" s="103"/>
      <c r="M48" s="105" t="str">
        <f>IFERROR(VLOOKUP(G48,Reference!$I$2:$J$175,2,FALSE()),"Operations")</f>
        <v>Operations</v>
      </c>
      <c r="N48" s="6"/>
      <c r="O48" s="6"/>
    </row>
    <row r="49" spans="1:15" ht="15" customHeight="1" x14ac:dyDescent="0.25">
      <c r="A49" s="100"/>
      <c r="B49" s="101"/>
      <c r="C49" s="101"/>
      <c r="D49" s="100"/>
      <c r="E49" s="100"/>
      <c r="F49" s="100"/>
      <c r="G49" s="100"/>
      <c r="H49" s="100"/>
      <c r="I49" s="100"/>
      <c r="J49" s="101"/>
      <c r="K49" s="100"/>
      <c r="L49" s="100"/>
      <c r="M49" s="102" t="str">
        <f>IFERROR(VLOOKUP(G49,Reference!$I$2:$J$175,2,FALSE()),"Operations")</f>
        <v>Operations</v>
      </c>
      <c r="N49" s="6"/>
      <c r="O49" s="6"/>
    </row>
    <row r="50" spans="1:15" ht="15" customHeight="1" x14ac:dyDescent="0.25">
      <c r="A50" s="103"/>
      <c r="B50" s="104"/>
      <c r="C50" s="104"/>
      <c r="D50" s="103"/>
      <c r="E50" s="103"/>
      <c r="F50" s="103"/>
      <c r="G50" s="103"/>
      <c r="H50" s="103"/>
      <c r="I50" s="103"/>
      <c r="J50" s="104"/>
      <c r="K50" s="103"/>
      <c r="L50" s="103"/>
      <c r="M50" s="105" t="str">
        <f>IFERROR(VLOOKUP(G50,Reference!$I$2:$J$175,2,FALSE()),"Operations")</f>
        <v>Operations</v>
      </c>
      <c r="N50" s="6"/>
      <c r="O50" s="6"/>
    </row>
    <row r="51" spans="1:15" ht="15" customHeight="1" x14ac:dyDescent="0.25">
      <c r="A51" s="106" t="s">
        <v>163</v>
      </c>
      <c r="B51" s="107">
        <f>COUNTA(A37:A47)</f>
      </c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6"/>
      <c r="O51" s="6"/>
    </row>
    <row r="52" spans="1:15" ht="6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ht="21.75" customHeight="1" x14ac:dyDescent="0.25">
      <c r="A53" s="163" t="s">
        <v>257</v>
      </c>
      <c r="B53" s="163"/>
      <c r="C53" s="163"/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6"/>
      <c r="O53" s="6">
        <v>7</v>
      </c>
    </row>
    <row r="54" spans="1:15" ht="19.5" customHeight="1" x14ac:dyDescent="0.25">
      <c r="A54" s="64" t="s">
        <v>151</v>
      </c>
      <c r="B54" s="64" t="s">
        <v>152</v>
      </c>
      <c r="C54" s="64" t="s">
        <v>153</v>
      </c>
      <c r="D54" s="64" t="s">
        <v>154</v>
      </c>
      <c r="E54" s="64" t="s">
        <v>155</v>
      </c>
      <c r="F54" s="64" t="s">
        <v>156</v>
      </c>
      <c r="G54" s="64" t="s">
        <v>157</v>
      </c>
      <c r="H54" s="64" t="s">
        <v>158</v>
      </c>
      <c r="I54" s="64" t="s">
        <v>159</v>
      </c>
      <c r="J54" s="64" t="s">
        <v>160</v>
      </c>
      <c r="K54" s="64" t="s">
        <v>134</v>
      </c>
      <c r="L54" s="64" t="s">
        <v>161</v>
      </c>
      <c r="M54" s="64" t="s">
        <v>162</v>
      </c>
      <c r="N54" s="6"/>
      <c r="O54" s="6"/>
    </row>
    <row r="55" spans="1:15" ht="15" customHeight="1" x14ac:dyDescent="0.25">
      <c r="A55" s="77" t="s">
        <v>258</v>
      </c>
      <c r="B55" s="111">
        <v>46128</v>
      </c>
      <c r="C55" s="111">
        <v>46029</v>
      </c>
      <c r="D55" s="77" t="str">
        <f>IF(OR(B55="",C55=""),"",IF(DATEDIF(C55,B55,"y")&gt;=1,DATEDIF(C55,B55,"y")&amp;IF(DATEDIF(C55,B55,"y")=1," year "," years ")&amp;DATEDIF(C55,B55,"ym")&amp;IF(DATEDIF(C55,B55,"ym")=1," month"," months"),IF(DATEDIF(C55,B55,"m")&gt;=1,DATEDIF(C55,B55,"m")&amp;IF(DATEDIF(C55,B55,"m")=1," month"," months"),DATEDIF(C55,B55,"d")&amp;IF(DATEDIF(C55,B55,"d")=1," day"," days"))))</f>
        <v>3 months</v>
      </c>
      <c r="E55" s="77" t="s">
        <v>184</v>
      </c>
      <c r="F55" s="77" t="s">
        <v>180</v>
      </c>
      <c r="G55" s="77" t="s">
        <v>259</v>
      </c>
      <c r="H55" s="77" t="s">
        <v>53</v>
      </c>
      <c r="I55" s="77" t="s">
        <v>260</v>
      </c>
      <c r="J55" s="77" t="s">
        <v>216</v>
      </c>
      <c r="K55" s="77" t="s">
        <v>70</v>
      </c>
      <c r="L55" s="77"/>
      <c r="M55" s="102" t="str">
        <f>IFERROR(VLOOKUP(G55,Reference!$I$2:$J$175,2,FALSE()),"Operations")</f>
        <v>Behavioral Health</v>
      </c>
      <c r="N55" s="6"/>
      <c r="O55" s="6"/>
    </row>
    <row r="56" spans="1:15" ht="15" customHeight="1" x14ac:dyDescent="0.25">
      <c r="A56" s="80" t="s">
        <v>261</v>
      </c>
      <c r="B56" s="112">
        <v>46124</v>
      </c>
      <c r="C56" s="112">
        <v>42971</v>
      </c>
      <c r="D56" s="80" t="str">
        <f>IF(OR(B56="",C56=""),"",IF(DATEDIF(C56,B56,"y")&gt;=1,DATEDIF(C56,B56,"y")&amp;IF(DATEDIF(C56,B56,"y")=1," year "," years ")&amp;DATEDIF(C56,B56,"ym")&amp;IF(DATEDIF(C56,B56,"ym")=1," month"," months"),IF(DATEDIF(C56,B56,"m")&gt;=1,DATEDIF(C56,B56,"m")&amp;IF(DATEDIF(C56,B56,"m")=1," month"," months"),DATEDIF(C56,B56,"d")&amp;IF(DATEDIF(C56,B56,"d")=1," day"," days"))))</f>
        <v>8 years 7 months</v>
      </c>
      <c r="E56" s="80" t="s">
        <v>184</v>
      </c>
      <c r="F56" s="80" t="s">
        <v>180</v>
      </c>
      <c r="G56" s="80" t="s">
        <v>259</v>
      </c>
      <c r="H56" s="80" t="s">
        <v>53</v>
      </c>
      <c r="I56" s="80" t="s">
        <v>260</v>
      </c>
      <c r="J56" s="80" t="s">
        <v>216</v>
      </c>
      <c r="K56" s="80" t="s">
        <v>70</v>
      </c>
      <c r="L56" s="80"/>
      <c r="M56" s="105" t="str">
        <f>IFERROR(VLOOKUP(G56,Reference!$I$2:$J$175,2,FALSE()),"Operations")</f>
        <v>Behavioral Health</v>
      </c>
      <c r="N56" s="6"/>
      <c r="O56" s="6"/>
    </row>
    <row r="57" spans="1:15" ht="15" customHeight="1" x14ac:dyDescent="0.25">
      <c r="A57" s="132" t="s">
        <v>262</v>
      </c>
      <c r="B57" s="133">
        <v>46121</v>
      </c>
      <c r="C57" s="133">
        <v>45813</v>
      </c>
      <c r="D57" s="134" t="str">
        <f>IF(OR(B57="",C57=""),"",IF(DATEDIF(C57,B57,"y")&gt;=1,DATEDIF(C57,B57,"y")&amp;IF(DATEDIF(C57,B57,"y")=1," year "," years ")&amp;DATEDIF(C57,B57,"ym")&amp;IF(DATEDIF(C57,B57,"ym")=1," month"," months"),IF(DATEDIF(C57,B57,"m")&gt;=1,DATEDIF(C57,B57,"m")&amp;IF(DATEDIF(C57,B57,"m")=1," month"," months"),DATEDIF(C57,B57,"d")&amp;IF(DATEDIF(C57,B57,"d")=1," day"," days"))))</f>
        <v>10 months</v>
      </c>
      <c r="E57" s="134"/>
      <c r="F57" s="134"/>
      <c r="G57" s="134"/>
      <c r="H57" s="134"/>
      <c r="I57" s="134"/>
      <c r="J57" s="135"/>
      <c r="K57" s="134" t="s">
        <v>83</v>
      </c>
      <c r="L57" s="134"/>
      <c r="M57" s="136" t="str">
        <f>IFERROR(VLOOKUP(G57,Reference!$I$2:$J$175,2,FALSE()),"Operations")</f>
        <v>Operations</v>
      </c>
      <c r="N57" s="6"/>
      <c r="O57" s="6"/>
    </row>
    <row r="58" spans="1:15" ht="15" customHeight="1" x14ac:dyDescent="0.25">
      <c r="A58" s="80" t="s">
        <v>263</v>
      </c>
      <c r="B58" s="80"/>
      <c r="C58" s="168">
        <v>46062</v>
      </c>
      <c r="D58" s="103">
        <f>IF(OR(B58="",C58=""),"",IF(DATEDIF(C58,B58,"y")&gt;=1,DATEDIF(C58,B58,"y")&amp;IF(DATEDIF(C58,B58,"y")=1," year "," years ")&amp;DATEDIF(C58,B58,"ym")&amp;IF(DATEDIF(C58,B58,"ym")=1," month"," months"),IF(DATEDIF(C58,B58,"m")&gt;=1,DATEDIF(C58,B58,"m")&amp;IF(DATEDIF(C58,B58,"m")=1," month"," months"),DATEDIF(C58,B58,"d")&amp;IF(DATEDIF(C58,B58,"d")=1," day"," days"))))</f>
      </c>
      <c r="E58" s="103"/>
      <c r="F58" s="103"/>
      <c r="G58" s="103"/>
      <c r="H58" s="103"/>
      <c r="I58" s="103"/>
      <c r="J58" s="104"/>
      <c r="K58" s="103" t="s">
        <v>66</v>
      </c>
      <c r="L58" s="103"/>
      <c r="M58" s="105" t="str">
        <f>IFERROR(VLOOKUP(G58,Reference!$I$2:$J$175,2,FALSE()),"Operations")</f>
        <v>Operations</v>
      </c>
      <c r="N58" s="6"/>
      <c r="O58" s="6"/>
    </row>
    <row r="59" spans="1:15" ht="15" customHeight="1" x14ac:dyDescent="0.25">
      <c r="A59" s="132" t="s">
        <v>264</v>
      </c>
      <c r="B59" s="132"/>
      <c r="C59" s="169">
        <v>45720</v>
      </c>
      <c r="D59" s="134">
        <f>IF(OR(B59="",C59=""),"",IF(DATEDIF(C59,B59,"y")&gt;=1,DATEDIF(C59,B59,"y")&amp;IF(DATEDIF(C59,B59,"y")=1," year "," years ")&amp;DATEDIF(C59,B59,"ym")&amp;IF(DATEDIF(C59,B59,"ym")=1," month"," months"),IF(DATEDIF(C59,B59,"m")&gt;=1,DATEDIF(C59,B59,"m")&amp;IF(DATEDIF(C59,B59,"m")=1," month"," months"),DATEDIF(C59,B59,"d")&amp;IF(DATEDIF(C59,B59,"d")=1," day"," days"))))</f>
      </c>
      <c r="E59" s="134"/>
      <c r="F59" s="134"/>
      <c r="G59" s="134"/>
      <c r="H59" s="134"/>
      <c r="I59" s="134"/>
      <c r="J59" s="135"/>
      <c r="K59" s="134" t="s">
        <v>66</v>
      </c>
      <c r="L59" s="134"/>
      <c r="M59" s="136" t="str">
        <f>IFERROR(VLOOKUP(G59,Reference!$I$2:$J$175,2,FALSE()),"Operations")</f>
        <v>Operations</v>
      </c>
      <c r="N59" s="6"/>
      <c r="O59" s="6"/>
    </row>
    <row r="60" spans="1:15" ht="15" customHeight="1" x14ac:dyDescent="0.25">
      <c r="A60" s="80" t="s">
        <v>265</v>
      </c>
      <c r="B60" s="80"/>
      <c r="C60" s="168">
        <v>45750</v>
      </c>
      <c r="D60" s="103">
        <f>IF(OR(B60="",C60=""),"",IF(DATEDIF(C60,B60,"y")&gt;=1,DATEDIF(C60,B60,"y")&amp;IF(DATEDIF(C60,B60,"y")=1," year "," years ")&amp;DATEDIF(C60,B60,"ym")&amp;IF(DATEDIF(C60,B60,"ym")=1," month"," months"),IF(DATEDIF(C60,B60,"m")&gt;=1,DATEDIF(C60,B60,"m")&amp;IF(DATEDIF(C60,B60,"m")=1," month"," months"),DATEDIF(C60,B60,"d")&amp;IF(DATEDIF(C60,B60,"d")=1," day"," days"))))</f>
      </c>
      <c r="E60" s="103"/>
      <c r="F60" s="103"/>
      <c r="G60" s="103"/>
      <c r="H60" s="103"/>
      <c r="I60" s="103"/>
      <c r="J60" s="104"/>
      <c r="K60" s="103" t="s">
        <v>66</v>
      </c>
      <c r="L60" s="103"/>
      <c r="M60" s="105" t="str">
        <f>IFERROR(VLOOKUP(G60,Reference!$I$2:$J$175,2,FALSE()),"Operations")</f>
        <v>Operations</v>
      </c>
      <c r="N60" s="6"/>
      <c r="O60" s="6"/>
    </row>
    <row r="61" spans="1:15" ht="15" customHeight="1" x14ac:dyDescent="0.25">
      <c r="A61" s="132" t="s">
        <v>266</v>
      </c>
      <c r="B61" s="132"/>
      <c r="C61" s="169">
        <v>46049</v>
      </c>
      <c r="D61" s="134">
        <f>IF(OR(B61="",C61=""),"",IF(DATEDIF(C61,B61,"y")&gt;=1,DATEDIF(C61,B61,"y")&amp;IF(DATEDIF(C61,B61,"y")=1," year "," years ")&amp;DATEDIF(C61,B61,"ym")&amp;IF(DATEDIF(C61,B61,"ym")=1," month"," months"),IF(DATEDIF(C61,B61,"m")&gt;=1,DATEDIF(C61,B61,"m")&amp;IF(DATEDIF(C61,B61,"m")=1," month"," months"),DATEDIF(C61,B61,"d")&amp;IF(DATEDIF(C61,B61,"d")=1," day"," days"))))</f>
      </c>
      <c r="E61" s="134"/>
      <c r="F61" s="134"/>
      <c r="G61" s="134"/>
      <c r="H61" s="134"/>
      <c r="I61" s="134"/>
      <c r="J61" s="135"/>
      <c r="K61" s="134" t="s">
        <v>66</v>
      </c>
      <c r="L61" s="134"/>
      <c r="M61" s="136" t="str">
        <f>IFERROR(VLOOKUP(G61,Reference!$I$2:$J$175,2,FALSE()),"Operations")</f>
        <v>Operations</v>
      </c>
      <c r="N61" s="6"/>
      <c r="O61" s="6"/>
    </row>
    <row r="62" spans="1:15" ht="15" customHeight="1" x14ac:dyDescent="0.25">
      <c r="A62" s="80"/>
      <c r="B62" s="80"/>
      <c r="C62" s="80"/>
      <c r="D62" s="103">
        <f>IF(OR(B62="",C62=""),"",IF(DATEDIF(C62,B62,"y")&gt;=1,DATEDIF(C62,B62,"y")&amp;IF(DATEDIF(C62,B62,"y")=1," year "," years ")&amp;DATEDIF(C62,B62,"ym")&amp;IF(DATEDIF(C62,B62,"ym")=1," month"," months"),IF(DATEDIF(C62,B62,"m")&gt;=1,DATEDIF(C62,B62,"m")&amp;IF(DATEDIF(C62,B62,"m")=1," month"," months"),DATEDIF(C62,B62,"d")&amp;IF(DATEDIF(C62,B62,"d")=1," day"," days"))))</f>
      </c>
      <c r="E62" s="103"/>
      <c r="F62" s="103"/>
      <c r="G62" s="103"/>
      <c r="H62" s="103"/>
      <c r="I62" s="103"/>
      <c r="J62" s="104"/>
      <c r="K62" s="103"/>
      <c r="L62" s="103"/>
      <c r="M62" s="105" t="str">
        <f>IFERROR(VLOOKUP(G62,Reference!$I$2:$J$175,2,FALSE()),"Operations")</f>
        <v>Operations</v>
      </c>
      <c r="N62" s="6"/>
      <c r="O62" s="6"/>
    </row>
    <row r="63" spans="1:15" ht="15" customHeight="1" x14ac:dyDescent="0.25">
      <c r="A63" s="100"/>
      <c r="B63" s="101"/>
      <c r="C63" s="101"/>
      <c r="D63" s="100">
        <f>IF(OR(B63="",C63=""),"",IF(DATEDIF(C63,B63,"y")&gt;=1,DATEDIF(C63,B63,"y")&amp;IF(DATEDIF(C63,B63,"y")=1," year "," years ")&amp;DATEDIF(C63,B63,"ym")&amp;IF(DATEDIF(C63,B63,"ym")=1," month"," months"),IF(DATEDIF(C63,B63,"m")&gt;=1,DATEDIF(C63,B63,"m")&amp;IF(DATEDIF(C63,B63,"m")=1," month"," months"),DATEDIF(C63,B63,"d")&amp;IF(DATEDIF(C63,B63,"d")=1," day"," days"))))</f>
      </c>
      <c r="E63" s="100"/>
      <c r="F63" s="100"/>
      <c r="G63" s="100"/>
      <c r="H63" s="100"/>
      <c r="I63" s="100"/>
      <c r="J63" s="101"/>
      <c r="K63" s="100"/>
      <c r="L63" s="100"/>
      <c r="M63" s="102" t="str">
        <f>IFERROR(VLOOKUP(G63,Reference!$I$2:$J$175,2,FALSE()),"Operations")</f>
        <v>Operations</v>
      </c>
      <c r="N63" s="6"/>
      <c r="O63" s="6"/>
    </row>
    <row r="64" spans="1:15" ht="15" customHeight="1" x14ac:dyDescent="0.25">
      <c r="A64" s="103"/>
      <c r="B64" s="104"/>
      <c r="C64" s="104"/>
      <c r="D64" s="103">
        <f>IF(OR(B64="",C64=""),"",IF(DATEDIF(C64,B64,"y")&gt;=1,DATEDIF(C64,B64,"y")&amp;IF(DATEDIF(C64,B64,"y")=1," year "," years ")&amp;DATEDIF(C64,B64,"ym")&amp;IF(DATEDIF(C64,B64,"ym")=1," month"," months"),IF(DATEDIF(C64,B64,"m")&gt;=1,DATEDIF(C64,B64,"m")&amp;IF(DATEDIF(C64,B64,"m")=1," month"," months"),DATEDIF(C64,B64,"d")&amp;IF(DATEDIF(C64,B64,"d")=1," day"," days"))))</f>
      </c>
      <c r="E64" s="103"/>
      <c r="F64" s="103"/>
      <c r="G64" s="103"/>
      <c r="H64" s="103"/>
      <c r="I64" s="103"/>
      <c r="J64" s="104"/>
      <c r="K64" s="103"/>
      <c r="L64" s="103"/>
      <c r="M64" s="105" t="str">
        <f>IFERROR(VLOOKUP(G64,Reference!$I$2:$J$175,2,FALSE()),"Operations")</f>
        <v>Operations</v>
      </c>
      <c r="N64" s="6"/>
      <c r="O64" s="6"/>
    </row>
    <row r="65" spans="1:15" ht="15" customHeight="1" x14ac:dyDescent="0.25">
      <c r="A65" s="100"/>
      <c r="B65" s="101"/>
      <c r="C65" s="101"/>
      <c r="D65" s="100">
        <f>IF(OR(B65="",C65=""),"",IF(DATEDIF(C65,B65,"y")&gt;=1,DATEDIF(C65,B65,"y")&amp;IF(DATEDIF(C65,B65,"y")=1," year "," years ")&amp;DATEDIF(C65,B65,"ym")&amp;IF(DATEDIF(C65,B65,"ym")=1," month"," months"),IF(DATEDIF(C65,B65,"m")&gt;=1,DATEDIF(C65,B65,"m")&amp;IF(DATEDIF(C65,B65,"m")=1," month"," months"),DATEDIF(C65,B65,"d")&amp;IF(DATEDIF(C65,B65,"d")=1," day"," days"))))</f>
      </c>
      <c r="E65" s="100"/>
      <c r="F65" s="100"/>
      <c r="G65" s="100"/>
      <c r="H65" s="100"/>
      <c r="I65" s="100"/>
      <c r="J65" s="101"/>
      <c r="K65" s="100"/>
      <c r="L65" s="100"/>
      <c r="M65" s="102" t="str">
        <f>IFERROR(VLOOKUP(G65,Reference!$I$2:$J$175,2,FALSE()),"Operations")</f>
        <v>Operations</v>
      </c>
      <c r="N65" s="6"/>
      <c r="O65" s="6"/>
    </row>
    <row r="66" spans="1:15" ht="15" customHeight="1" x14ac:dyDescent="0.25">
      <c r="A66" s="103"/>
      <c r="B66" s="104"/>
      <c r="C66" s="104"/>
      <c r="D66" s="103">
        <f>IF(OR(B66="",C66=""),"",IF(DATEDIF(C66,B66,"y")&gt;=1,DATEDIF(C66,B66,"y")&amp;IF(DATEDIF(C66,B66,"y")=1," year "," years ")&amp;DATEDIF(C66,B66,"ym")&amp;IF(DATEDIF(C66,B66,"ym")=1," month"," months"),IF(DATEDIF(C66,B66,"m")&gt;=1,DATEDIF(C66,B66,"m")&amp;IF(DATEDIF(C66,B66,"m")=1," month"," months"),DATEDIF(C66,B66,"d")&amp;IF(DATEDIF(C66,B66,"d")=1," day"," days"))))</f>
      </c>
      <c r="E66" s="103"/>
      <c r="F66" s="103"/>
      <c r="G66" s="103"/>
      <c r="H66" s="103"/>
      <c r="I66" s="103"/>
      <c r="J66" s="104"/>
      <c r="K66" s="103"/>
      <c r="L66" s="103"/>
      <c r="M66" s="105" t="str">
        <f>IFERROR(VLOOKUP(G66,Reference!$I$2:$J$175,2,FALSE()),"Operations")</f>
        <v>Operations</v>
      </c>
      <c r="N66" s="6"/>
      <c r="O66" s="6"/>
    </row>
    <row r="67" spans="1:15" ht="15" customHeight="1" x14ac:dyDescent="0.25">
      <c r="A67" s="100"/>
      <c r="B67" s="101"/>
      <c r="C67" s="101"/>
      <c r="D67" s="100">
        <f>IF(OR(B67="",C67=""),"",IF(DATEDIF(C67,B67,"y")&gt;=1,DATEDIF(C67,B67,"y")&amp;IF(DATEDIF(C67,B67,"y")=1," year "," years ")&amp;DATEDIF(C67,B67,"ym")&amp;IF(DATEDIF(C67,B67,"ym")=1," month"," months"),IF(DATEDIF(C67,B67,"m")&gt;=1,DATEDIF(C67,B67,"m")&amp;IF(DATEDIF(C67,B67,"m")=1," month"," months"),DATEDIF(C67,B67,"d")&amp;IF(DATEDIF(C67,B67,"d")=1," day"," days"))))</f>
      </c>
      <c r="E67" s="100"/>
      <c r="F67" s="100"/>
      <c r="G67" s="100"/>
      <c r="H67" s="100"/>
      <c r="I67" s="100"/>
      <c r="J67" s="101"/>
      <c r="K67" s="100"/>
      <c r="L67" s="100"/>
      <c r="M67" s="102" t="str">
        <f>IFERROR(VLOOKUP(G67,Reference!$I$2:$J$175,2,FALSE()),"Operations")</f>
        <v>Operations</v>
      </c>
      <c r="N67" s="6"/>
      <c r="O67" s="6"/>
    </row>
    <row r="68" spans="1:15" ht="15" customHeight="1" x14ac:dyDescent="0.25">
      <c r="A68" s="103"/>
      <c r="B68" s="104"/>
      <c r="C68" s="104"/>
      <c r="D68" s="103">
        <f>IF(OR(B68="",C68=""),"",IF(DATEDIF(C68,B68,"y")&gt;=1,DATEDIF(C68,B68,"y")&amp;IF(DATEDIF(C68,B68,"y")=1," year "," years ")&amp;DATEDIF(C68,B68,"ym")&amp;IF(DATEDIF(C68,B68,"ym")=1," month"," months"),IF(DATEDIF(C68,B68,"m")&gt;=1,DATEDIF(C68,B68,"m")&amp;IF(DATEDIF(C68,B68,"m")=1," month"," months"),DATEDIF(C68,B68,"d")&amp;IF(DATEDIF(C68,B68,"d")=1," day"," days"))))</f>
      </c>
      <c r="E68" s="103"/>
      <c r="F68" s="103"/>
      <c r="G68" s="103"/>
      <c r="H68" s="103"/>
      <c r="I68" s="103"/>
      <c r="J68" s="104"/>
      <c r="K68" s="103"/>
      <c r="L68" s="103"/>
      <c r="M68" s="105" t="str">
        <f>IFERROR(VLOOKUP(G68,Reference!$I$2:$J$175,2,FALSE()),"Operations")</f>
        <v>Operations</v>
      </c>
      <c r="N68" s="6"/>
      <c r="O68" s="6"/>
    </row>
    <row r="69" spans="1:15" ht="15" customHeight="1" x14ac:dyDescent="0.25">
      <c r="A69" s="100"/>
      <c r="B69" s="101"/>
      <c r="C69" s="101"/>
      <c r="D69" s="100">
        <f>IF(OR(B69="",C69=""),"",IF(DATEDIF(C69,B69,"y")&gt;=1,DATEDIF(C69,B69,"y")&amp;IF(DATEDIF(C69,B69,"y")=1," year "," years ")&amp;DATEDIF(C69,B69,"ym")&amp;IF(DATEDIF(C69,B69,"ym")=1," month"," months"),IF(DATEDIF(C69,B69,"m")&gt;=1,DATEDIF(C69,B69,"m")&amp;IF(DATEDIF(C69,B69,"m")=1," month"," months"),DATEDIF(C69,B69,"d")&amp;IF(DATEDIF(C69,B69,"d")=1," day"," days"))))</f>
      </c>
      <c r="E69" s="100"/>
      <c r="F69" s="100"/>
      <c r="G69" s="100"/>
      <c r="H69" s="100"/>
      <c r="I69" s="100"/>
      <c r="J69" s="101"/>
      <c r="K69" s="100"/>
      <c r="L69" s="100"/>
      <c r="M69" s="102" t="str">
        <f>IFERROR(VLOOKUP(G69,Reference!$I$2:$J$175,2,FALSE()),"Operations")</f>
        <v>Operations</v>
      </c>
      <c r="N69" s="6"/>
      <c r="O69" s="6"/>
    </row>
    <row r="70" spans="1:15" ht="15" customHeight="1" x14ac:dyDescent="0.25">
      <c r="A70" s="103"/>
      <c r="B70" s="104"/>
      <c r="C70" s="104"/>
      <c r="D70" s="103">
        <f>IF(OR(B70="",C70=""),"",IF(DATEDIF(C70,B70,"y")&gt;=1,DATEDIF(C70,B70,"y")&amp;IF(DATEDIF(C70,B70,"y")=1," year "," years ")&amp;DATEDIF(C70,B70,"ym")&amp;IF(DATEDIF(C70,B70,"ym")=1," month"," months"),IF(DATEDIF(C70,B70,"m")&gt;=1,DATEDIF(C70,B70,"m")&amp;IF(DATEDIF(C70,B70,"m")=1," month"," months"),DATEDIF(C70,B70,"d")&amp;IF(DATEDIF(C70,B70,"d")=1," day"," days"))))</f>
      </c>
      <c r="E70" s="103"/>
      <c r="F70" s="103"/>
      <c r="G70" s="103"/>
      <c r="H70" s="103"/>
      <c r="I70" s="103"/>
      <c r="J70" s="104"/>
      <c r="K70" s="103"/>
      <c r="L70" s="103"/>
      <c r="M70" s="105" t="str">
        <f>IFERROR(VLOOKUP(G70,Reference!$I$2:$J$175,2,FALSE()),"Operations")</f>
        <v>Operations</v>
      </c>
      <c r="N70" s="6"/>
      <c r="O70" s="6"/>
    </row>
    <row r="71" spans="1:15" ht="15" customHeight="1" x14ac:dyDescent="0.25">
      <c r="A71" s="100"/>
      <c r="B71" s="101"/>
      <c r="C71" s="101"/>
      <c r="D71" s="100">
        <f>IF(OR(B71="",C71=""),"",IF(DATEDIF(C71,B71,"y")&gt;=1,DATEDIF(C71,B71,"y")&amp;IF(DATEDIF(C71,B71,"y")=1," year "," years ")&amp;DATEDIF(C71,B71,"ym")&amp;IF(DATEDIF(C71,B71,"ym")=1," month"," months"),IF(DATEDIF(C71,B71,"m")&gt;=1,DATEDIF(C71,B71,"m")&amp;IF(DATEDIF(C71,B71,"m")=1," month"," months"),DATEDIF(C71,B71,"d")&amp;IF(DATEDIF(C71,B71,"d")=1," day"," days"))))</f>
      </c>
      <c r="E71" s="100"/>
      <c r="F71" s="100"/>
      <c r="G71" s="100"/>
      <c r="H71" s="100"/>
      <c r="I71" s="100"/>
      <c r="J71" s="101"/>
      <c r="K71" s="100"/>
      <c r="L71" s="100"/>
      <c r="M71" s="102" t="str">
        <f>IFERROR(VLOOKUP(G71,Reference!$I$2:$J$175,2,FALSE()),"Operations")</f>
        <v>Operations</v>
      </c>
      <c r="N71" s="6"/>
      <c r="O71" s="6"/>
    </row>
    <row r="72" spans="1:15" ht="15" customHeight="1" x14ac:dyDescent="0.25">
      <c r="A72" s="103"/>
      <c r="B72" s="104"/>
      <c r="C72" s="104"/>
      <c r="D72" s="103">
        <f>IF(OR(B72="",C72=""),"",IF(DATEDIF(C72,B72,"y")&gt;=1,DATEDIF(C72,B72,"y")&amp;IF(DATEDIF(C72,B72,"y")=1," year "," years ")&amp;DATEDIF(C72,B72,"ym")&amp;IF(DATEDIF(C72,B72,"ym")=1," month"," months"),IF(DATEDIF(C72,B72,"m")&gt;=1,DATEDIF(C72,B72,"m")&amp;IF(DATEDIF(C72,B72,"m")=1," month"," months"),DATEDIF(C72,B72,"d")&amp;IF(DATEDIF(C72,B72,"d")=1," day"," days"))))</f>
      </c>
      <c r="E72" s="103"/>
      <c r="F72" s="103"/>
      <c r="G72" s="103"/>
      <c r="H72" s="103"/>
      <c r="I72" s="103"/>
      <c r="J72" s="104"/>
      <c r="K72" s="103"/>
      <c r="L72" s="103"/>
      <c r="M72" s="105" t="str">
        <f>IFERROR(VLOOKUP(G72,Reference!$I$2:$J$175,2,FALSE()),"Operations")</f>
        <v>Operations</v>
      </c>
      <c r="N72" s="6"/>
      <c r="O72" s="6"/>
    </row>
    <row r="73" spans="1:15" ht="15" customHeight="1" x14ac:dyDescent="0.25">
      <c r="A73" s="100"/>
      <c r="B73" s="101"/>
      <c r="C73" s="101"/>
      <c r="D73" s="100">
        <f>IF(OR(B73="",C73=""),"",IF(DATEDIF(C73,B73,"y")&gt;=1,DATEDIF(C73,B73,"y")&amp;IF(DATEDIF(C73,B73,"y")=1," year "," years ")&amp;DATEDIF(C73,B73,"ym")&amp;IF(DATEDIF(C73,B73,"ym")=1," month"," months"),IF(DATEDIF(C73,B73,"m")&gt;=1,DATEDIF(C73,B73,"m")&amp;IF(DATEDIF(C73,B73,"m")=1," month"," months"),DATEDIF(C73,B73,"d")&amp;IF(DATEDIF(C73,B73,"d")=1," day"," days"))))</f>
      </c>
      <c r="E73" s="100"/>
      <c r="F73" s="100"/>
      <c r="G73" s="100"/>
      <c r="H73" s="100"/>
      <c r="I73" s="100"/>
      <c r="J73" s="101"/>
      <c r="K73" s="100"/>
      <c r="L73" s="100"/>
      <c r="M73" s="102" t="str">
        <f>IFERROR(VLOOKUP(G73,Reference!$I$2:$J$175,2,FALSE()),"Operations")</f>
        <v>Operations</v>
      </c>
      <c r="N73" s="6"/>
      <c r="O73" s="6"/>
    </row>
    <row r="74" spans="1:15" ht="15" customHeight="1" x14ac:dyDescent="0.25">
      <c r="A74" s="103"/>
      <c r="B74" s="104"/>
      <c r="C74" s="104"/>
      <c r="D74" s="103">
        <f>IF(OR(B74="",C74=""),"",IF(DATEDIF(C74,B74,"y")&gt;=1,DATEDIF(C74,B74,"y")&amp;IF(DATEDIF(C74,B74,"y")=1," year "," years ")&amp;DATEDIF(C74,B74,"ym")&amp;IF(DATEDIF(C74,B74,"ym")=1," month"," months"),IF(DATEDIF(C74,B74,"m")&gt;=1,DATEDIF(C74,B74,"m")&amp;IF(DATEDIF(C74,B74,"m")=1," month"," months"),DATEDIF(C74,B74,"d")&amp;IF(DATEDIF(C74,B74,"d")=1," day"," days"))))</f>
      </c>
      <c r="E74" s="103"/>
      <c r="F74" s="103"/>
      <c r="G74" s="103"/>
      <c r="H74" s="103"/>
      <c r="I74" s="103"/>
      <c r="J74" s="104"/>
      <c r="K74" s="103"/>
      <c r="L74" s="103"/>
      <c r="M74" s="105" t="str">
        <f>IFERROR(VLOOKUP(G74,Reference!$I$2:$J$175,2,FALSE()),"Operations")</f>
        <v>Operations</v>
      </c>
      <c r="N74" s="6"/>
      <c r="O74" s="6"/>
    </row>
    <row r="75" spans="1:15" ht="15" customHeight="1" x14ac:dyDescent="0.25">
      <c r="A75" s="100"/>
      <c r="B75" s="101"/>
      <c r="C75" s="101"/>
      <c r="D75" s="100">
        <f>IF(OR(B75="",C75=""),"",IF(DATEDIF(C75,B75,"y")&gt;=1,DATEDIF(C75,B75,"y")&amp;IF(DATEDIF(C75,B75,"y")=1," year "," years ")&amp;DATEDIF(C75,B75,"ym")&amp;IF(DATEDIF(C75,B75,"ym")=1," month"," months"),IF(DATEDIF(C75,B75,"m")&gt;=1,DATEDIF(C75,B75,"m")&amp;IF(DATEDIF(C75,B75,"m")=1," month"," months"),DATEDIF(C75,B75,"d")&amp;IF(DATEDIF(C75,B75,"d")=1," day"," days"))))</f>
      </c>
      <c r="E75" s="100"/>
      <c r="F75" s="100"/>
      <c r="G75" s="100"/>
      <c r="H75" s="100"/>
      <c r="I75" s="100"/>
      <c r="J75" s="101"/>
      <c r="K75" s="100"/>
      <c r="L75" s="100"/>
      <c r="M75" s="102" t="str">
        <f>IFERROR(VLOOKUP(G75,Reference!$I$2:$J$175,2,FALSE()),"Operations")</f>
        <v>Operations</v>
      </c>
      <c r="N75" s="6"/>
      <c r="O75" s="6"/>
    </row>
    <row r="76" spans="1:15" ht="15" customHeight="1" x14ac:dyDescent="0.25">
      <c r="A76" s="103"/>
      <c r="B76" s="104"/>
      <c r="C76" s="104"/>
      <c r="D76" s="103">
        <f>IF(OR(B76="",C76=""),"",IF(DATEDIF(C76,B76,"y")&gt;=1,DATEDIF(C76,B76,"y")&amp;IF(DATEDIF(C76,B76,"y")=1," year "," years ")&amp;DATEDIF(C76,B76,"ym")&amp;IF(DATEDIF(C76,B76,"ym")=1," month"," months"),IF(DATEDIF(C76,B76,"m")&gt;=1,DATEDIF(C76,B76,"m")&amp;IF(DATEDIF(C76,B76,"m")=1," month"," months"),DATEDIF(C76,B76,"d")&amp;IF(DATEDIF(C76,B76,"d")=1," day"," days"))))</f>
      </c>
      <c r="E76" s="103"/>
      <c r="F76" s="103"/>
      <c r="G76" s="103"/>
      <c r="H76" s="103"/>
      <c r="I76" s="103"/>
      <c r="J76" s="104"/>
      <c r="K76" s="103"/>
      <c r="L76" s="103"/>
      <c r="M76" s="105" t="str">
        <f>IFERROR(VLOOKUP(G76,Reference!$I$2:$J$175,2,FALSE()),"Operations")</f>
        <v>Operations</v>
      </c>
      <c r="N76" s="6"/>
      <c r="O76" s="6"/>
    </row>
    <row r="77" spans="1:15" ht="15" customHeight="1" x14ac:dyDescent="0.25">
      <c r="A77" s="100"/>
      <c r="B77" s="101"/>
      <c r="C77" s="101"/>
      <c r="D77" s="100">
        <f>IF(OR(B77="",C77=""),"",IF(DATEDIF(C77,B77,"y")&gt;=1,DATEDIF(C77,B77,"y")&amp;IF(DATEDIF(C77,B77,"y")=1," year "," years ")&amp;DATEDIF(C77,B77,"ym")&amp;IF(DATEDIF(C77,B77,"ym")=1," month"," months"),IF(DATEDIF(C77,B77,"m")&gt;=1,DATEDIF(C77,B77,"m")&amp;IF(DATEDIF(C77,B77,"m")=1," month"," months"),DATEDIF(C77,B77,"d")&amp;IF(DATEDIF(C77,B77,"d")=1," day"," days"))))</f>
      </c>
      <c r="E77" s="100"/>
      <c r="F77" s="100"/>
      <c r="G77" s="100"/>
      <c r="H77" s="100"/>
      <c r="I77" s="100"/>
      <c r="J77" s="101"/>
      <c r="K77" s="100"/>
      <c r="L77" s="100"/>
      <c r="M77" s="102" t="str">
        <f>IFERROR(VLOOKUP(G77,Reference!$I$2:$J$175,2,FALSE()),"Operations")</f>
        <v>Operations</v>
      </c>
      <c r="N77" s="6"/>
      <c r="O77" s="6"/>
    </row>
    <row r="78" spans="1:15" ht="15" customHeight="1" x14ac:dyDescent="0.25">
      <c r="A78" s="103"/>
      <c r="B78" s="104"/>
      <c r="C78" s="104"/>
      <c r="D78" s="103">
        <f>IF(OR(B78="",C78=""),"",IF(DATEDIF(C78,B78,"y")&gt;=1,DATEDIF(C78,B78,"y")&amp;IF(DATEDIF(C78,B78,"y")=1," year "," years ")&amp;DATEDIF(C78,B78,"ym")&amp;IF(DATEDIF(C78,B78,"ym")=1," month"," months"),IF(DATEDIF(C78,B78,"m")&gt;=1,DATEDIF(C78,B78,"m")&amp;IF(DATEDIF(C78,B78,"m")=1," month"," months"),DATEDIF(C78,B78,"d")&amp;IF(DATEDIF(C78,B78,"d")=1," day"," days"))))</f>
      </c>
      <c r="E78" s="103"/>
      <c r="F78" s="103"/>
      <c r="G78" s="103"/>
      <c r="H78" s="103"/>
      <c r="I78" s="103"/>
      <c r="J78" s="104"/>
      <c r="K78" s="103"/>
      <c r="L78" s="103"/>
      <c r="M78" s="105" t="str">
        <f>IFERROR(VLOOKUP(G78,Reference!$I$2:$J$175,2,FALSE()),"Operations")</f>
        <v>Operations</v>
      </c>
      <c r="N78" s="6"/>
      <c r="O78" s="6"/>
    </row>
    <row r="79" spans="1:15" ht="15" customHeight="1" x14ac:dyDescent="0.25">
      <c r="A79" s="100"/>
      <c r="B79" s="101"/>
      <c r="C79" s="101"/>
      <c r="D79" s="100">
        <f>IF(OR(B79="",C79=""),"",IF(DATEDIF(C79,B79,"y")&gt;=1,DATEDIF(C79,B79,"y")&amp;IF(DATEDIF(C79,B79,"y")=1," year "," years ")&amp;DATEDIF(C79,B79,"ym")&amp;IF(DATEDIF(C79,B79,"ym")=1," month"," months"),IF(DATEDIF(C79,B79,"m")&gt;=1,DATEDIF(C79,B79,"m")&amp;IF(DATEDIF(C79,B79,"m")=1," month"," months"),DATEDIF(C79,B79,"d")&amp;IF(DATEDIF(C79,B79,"d")=1," day"," days"))))</f>
      </c>
      <c r="E79" s="100"/>
      <c r="F79" s="100"/>
      <c r="G79" s="100"/>
      <c r="H79" s="100"/>
      <c r="I79" s="100"/>
      <c r="J79" s="101"/>
      <c r="K79" s="100"/>
      <c r="L79" s="100"/>
      <c r="M79" s="102" t="str">
        <f>IFERROR(VLOOKUP(G79,Reference!$I$2:$J$175,2,FALSE()),"Operations")</f>
        <v>Operations</v>
      </c>
      <c r="N79" s="6"/>
      <c r="O79" s="6"/>
    </row>
    <row r="80" spans="1:15" ht="15" customHeight="1" x14ac:dyDescent="0.25">
      <c r="A80" s="103"/>
      <c r="B80" s="104"/>
      <c r="C80" s="104"/>
      <c r="D80" s="103">
        <f>IF(OR(B80="",C80=""),"",IF(DATEDIF(C80,B80,"y")&gt;=1,DATEDIF(C80,B80,"y")&amp;IF(DATEDIF(C80,B80,"y")=1," year "," years ")&amp;DATEDIF(C80,B80,"ym")&amp;IF(DATEDIF(C80,B80,"ym")=1," month"," months"),IF(DATEDIF(C80,B80,"m")&gt;=1,DATEDIF(C80,B80,"m")&amp;IF(DATEDIF(C80,B80,"m")=1," month"," months"),DATEDIF(C80,B80,"d")&amp;IF(DATEDIF(C80,B80,"d")=1," day"," days"))))</f>
      </c>
      <c r="E80" s="103"/>
      <c r="F80" s="103"/>
      <c r="G80" s="103"/>
      <c r="H80" s="103"/>
      <c r="I80" s="103"/>
      <c r="J80" s="104"/>
      <c r="K80" s="103"/>
      <c r="L80" s="103"/>
      <c r="M80" s="105" t="str">
        <f>IFERROR(VLOOKUP(G80,Reference!$I$2:$J$175,2,FALSE()),"Operations")</f>
        <v>Operations</v>
      </c>
      <c r="N80" s="6"/>
      <c r="O80" s="6"/>
    </row>
    <row r="81" spans="1:15" ht="15" customHeight="1" x14ac:dyDescent="0.25">
      <c r="A81" s="100"/>
      <c r="B81" s="101"/>
      <c r="C81" s="101"/>
      <c r="D81" s="100">
        <f>IF(OR(B81="",C81=""),"",IF(DATEDIF(C81,B81,"y")&gt;=1,DATEDIF(C81,B81,"y")&amp;IF(DATEDIF(C81,B81,"y")=1," year "," years ")&amp;DATEDIF(C81,B81,"ym")&amp;IF(DATEDIF(C81,B81,"ym")=1," month"," months"),IF(DATEDIF(C81,B81,"m")&gt;=1,DATEDIF(C81,B81,"m")&amp;IF(DATEDIF(C81,B81,"m")=1," month"," months"),DATEDIF(C81,B81,"d")&amp;IF(DATEDIF(C81,B81,"d")=1," day"," days"))))</f>
      </c>
      <c r="E81" s="100"/>
      <c r="F81" s="100"/>
      <c r="G81" s="100"/>
      <c r="H81" s="100"/>
      <c r="I81" s="100"/>
      <c r="J81" s="101"/>
      <c r="K81" s="100"/>
      <c r="L81" s="100"/>
      <c r="M81" s="102" t="str">
        <f>IFERROR(VLOOKUP(G81,Reference!$I$2:$J$175,2,FALSE()),"Operations")</f>
        <v>Operations</v>
      </c>
      <c r="N81" s="6"/>
      <c r="O81" s="6"/>
    </row>
    <row r="82" spans="1:15" ht="15" customHeight="1" x14ac:dyDescent="0.25">
      <c r="A82" s="103"/>
      <c r="B82" s="104"/>
      <c r="C82" s="104"/>
      <c r="D82" s="103">
        <f>IF(OR(B82="",C82=""),"",IF(DATEDIF(C82,B82,"y")&gt;=1,DATEDIF(C82,B82,"y")&amp;IF(DATEDIF(C82,B82,"y")=1," year "," years ")&amp;DATEDIF(C82,B82,"ym")&amp;IF(DATEDIF(C82,B82,"ym")=1," month"," months"),IF(DATEDIF(C82,B82,"m")&gt;=1,DATEDIF(C82,B82,"m")&amp;IF(DATEDIF(C82,B82,"m")=1," month"," months"),DATEDIF(C82,B82,"d")&amp;IF(DATEDIF(C82,B82,"d")=1," day"," days"))))</f>
      </c>
      <c r="E82" s="103"/>
      <c r="F82" s="103"/>
      <c r="G82" s="103"/>
      <c r="H82" s="103"/>
      <c r="I82" s="103"/>
      <c r="J82" s="104"/>
      <c r="K82" s="103"/>
      <c r="L82" s="103"/>
      <c r="M82" s="105" t="str">
        <f>IFERROR(VLOOKUP(G82,Reference!$I$2:$J$175,2,FALSE()),"Operations")</f>
        <v>Operations</v>
      </c>
      <c r="N82" s="6"/>
      <c r="O82" s="6"/>
    </row>
    <row r="83" spans="1:15" ht="15" customHeight="1" x14ac:dyDescent="0.25">
      <c r="A83" s="100"/>
      <c r="B83" s="101"/>
      <c r="C83" s="101"/>
      <c r="D83" s="100">
        <f>IF(OR(B83="",C83=""),"",IF(DATEDIF(C83,B83,"y")&gt;=1,DATEDIF(C83,B83,"y")&amp;IF(DATEDIF(C83,B83,"y")=1," year "," years ")&amp;DATEDIF(C83,B83,"ym")&amp;IF(DATEDIF(C83,B83,"ym")=1," month"," months"),IF(DATEDIF(C83,B83,"m")&gt;=1,DATEDIF(C83,B83,"m")&amp;IF(DATEDIF(C83,B83,"m")=1," month"," months"),DATEDIF(C83,B83,"d")&amp;IF(DATEDIF(C83,B83,"d")=1," day"," days"))))</f>
      </c>
      <c r="E83" s="100"/>
      <c r="F83" s="100"/>
      <c r="G83" s="100"/>
      <c r="H83" s="100"/>
      <c r="I83" s="100"/>
      <c r="J83" s="101"/>
      <c r="K83" s="100"/>
      <c r="L83" s="100"/>
      <c r="M83" s="102" t="str">
        <f>IFERROR(VLOOKUP(G83,Reference!$I$2:$J$175,2,FALSE()),"Operations")</f>
        <v>Operations</v>
      </c>
      <c r="N83" s="6"/>
      <c r="O83" s="6"/>
    </row>
    <row r="84" spans="1:15" ht="15" customHeight="1" x14ac:dyDescent="0.25">
      <c r="A84" s="103"/>
      <c r="B84" s="104"/>
      <c r="C84" s="104"/>
      <c r="D84" s="103">
        <f>IF(OR(B84="",C84=""),"",IF(DATEDIF(C84,B84,"y")&gt;=1,DATEDIF(C84,B84,"y")&amp;IF(DATEDIF(C84,B84,"y")=1," year "," years ")&amp;DATEDIF(C84,B84,"ym")&amp;IF(DATEDIF(C84,B84,"ym")=1," month"," months"),IF(DATEDIF(C84,B84,"m")&gt;=1,DATEDIF(C84,B84,"m")&amp;IF(DATEDIF(C84,B84,"m")=1," month"," months"),DATEDIF(C84,B84,"d")&amp;IF(DATEDIF(C84,B84,"d")=1," day"," days"))))</f>
      </c>
      <c r="E84" s="103"/>
      <c r="F84" s="103"/>
      <c r="G84" s="103"/>
      <c r="H84" s="103"/>
      <c r="I84" s="103"/>
      <c r="J84" s="104"/>
      <c r="K84" s="103"/>
      <c r="L84" s="103"/>
      <c r="M84" s="105" t="str">
        <f>IFERROR(VLOOKUP(G84,Reference!$I$2:$J$175,2,FALSE()),"Operations")</f>
        <v>Operations</v>
      </c>
      <c r="N84" s="6"/>
      <c r="O84" s="6"/>
    </row>
    <row r="85" spans="1:15" ht="15" customHeight="1" x14ac:dyDescent="0.25">
      <c r="A85" s="106" t="s">
        <v>163</v>
      </c>
      <c r="B85" s="107">
        <f>COUNTA(A55:A84)</f>
        <v>7</v>
      </c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6"/>
      <c r="O85" s="6"/>
    </row>
    <row r="86" spans="1:15" ht="6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ht="21.75" customHeight="1" x14ac:dyDescent="0.25">
      <c r="A87" s="163" t="s">
        <v>267</v>
      </c>
      <c r="B87" s="163"/>
      <c r="C87" s="163"/>
      <c r="D87" s="163"/>
      <c r="E87" s="163"/>
      <c r="F87" s="163"/>
      <c r="G87" s="163"/>
      <c r="H87" s="163"/>
      <c r="I87" s="163"/>
      <c r="J87" s="163"/>
      <c r="K87" s="163"/>
      <c r="L87" s="163"/>
      <c r="M87" s="163"/>
      <c r="N87" s="6"/>
      <c r="O87" s="6"/>
    </row>
    <row r="88" spans="1:15" ht="19.5" customHeight="1" x14ac:dyDescent="0.25">
      <c r="A88" s="64" t="s">
        <v>151</v>
      </c>
      <c r="B88" s="64" t="s">
        <v>152</v>
      </c>
      <c r="C88" s="64" t="s">
        <v>153</v>
      </c>
      <c r="D88" s="64" t="s">
        <v>154</v>
      </c>
      <c r="E88" s="64" t="s">
        <v>155</v>
      </c>
      <c r="F88" s="64" t="s">
        <v>156</v>
      </c>
      <c r="G88" s="64" t="s">
        <v>157</v>
      </c>
      <c r="H88" s="64" t="s">
        <v>158</v>
      </c>
      <c r="I88" s="64" t="s">
        <v>159</v>
      </c>
      <c r="J88" s="64" t="s">
        <v>160</v>
      </c>
      <c r="K88" s="64" t="s">
        <v>134</v>
      </c>
      <c r="L88" s="64" t="s">
        <v>161</v>
      </c>
      <c r="M88" s="64" t="s">
        <v>162</v>
      </c>
      <c r="N88" s="6"/>
      <c r="O88" s="6"/>
    </row>
    <row r="89" spans="1:15" ht="15" customHeight="1" x14ac:dyDescent="0.25">
      <c r="A89" s="100"/>
      <c r="B89" s="101"/>
      <c r="C89" s="101"/>
      <c r="D89" s="100">
        <f>IF(OR(B89="",C89=""),"",IF(DATEDIF(C89,B89,"y")&gt;=1,DATEDIF(C89,B89,"y")&amp;IF(DATEDIF(C89,B89,"y")=1," year "," years ")&amp;DATEDIF(C89,B89,"ym")&amp;IF(DATEDIF(C89,B89,"ym")=1," month"," months"),IF(DATEDIF(C89,B89,"m")&gt;=1,DATEDIF(C89,B89,"m")&amp;IF(DATEDIF(C89,B89,"m")=1," month"," months"),DATEDIF(C89,B89,"d")&amp;IF(DATEDIF(C89,B89,"d")=1," day"," days"))))</f>
      </c>
      <c r="E89" s="100"/>
      <c r="F89" s="100"/>
      <c r="G89" s="100"/>
      <c r="H89" s="100"/>
      <c r="I89" s="100"/>
      <c r="J89" s="101"/>
      <c r="K89" s="100"/>
      <c r="L89" s="100"/>
      <c r="M89" s="102" t="str">
        <f>IFERROR(VLOOKUP(G89,Reference!$I$2:$J$175,2,FALSE()),"Operations")</f>
        <v>Operations</v>
      </c>
      <c r="N89" s="6"/>
      <c r="O89" s="6"/>
    </row>
    <row r="90" spans="1:15" ht="15" customHeight="1" x14ac:dyDescent="0.25">
      <c r="A90" s="103"/>
      <c r="B90" s="104"/>
      <c r="C90" s="104"/>
      <c r="D90" s="103">
        <f>IF(OR(B90="",C90=""),"",IF(DATEDIF(C90,B90,"y")&gt;=1,DATEDIF(C90,B90,"y")&amp;IF(DATEDIF(C90,B90,"y")=1," year "," years ")&amp;DATEDIF(C90,B90,"ym")&amp;IF(DATEDIF(C90,B90,"ym")=1," month"," months"),IF(DATEDIF(C90,B90,"m")&gt;=1,DATEDIF(C90,B90,"m")&amp;IF(DATEDIF(C90,B90,"m")=1," month"," months"),DATEDIF(C90,B90,"d")&amp;IF(DATEDIF(C90,B90,"d")=1," day"," days"))))</f>
      </c>
      <c r="E90" s="103"/>
      <c r="F90" s="103"/>
      <c r="G90" s="103"/>
      <c r="H90" s="103"/>
      <c r="I90" s="103"/>
      <c r="J90" s="104"/>
      <c r="K90" s="103"/>
      <c r="L90" s="103"/>
      <c r="M90" s="105" t="str">
        <f>IFERROR(VLOOKUP(G90,Reference!$I$2:$J$175,2,FALSE()),"Operations")</f>
        <v>Operations</v>
      </c>
      <c r="N90" s="6"/>
      <c r="O90" s="6"/>
    </row>
    <row r="91" spans="1:15" ht="15" customHeight="1" x14ac:dyDescent="0.25">
      <c r="A91" s="100"/>
      <c r="B91" s="101"/>
      <c r="C91" s="101"/>
      <c r="D91" s="100">
        <f>IF(OR(B91="",C91=""),"",IF(DATEDIF(C91,B91,"y")&gt;=1,DATEDIF(C91,B91,"y")&amp;IF(DATEDIF(C91,B91,"y")=1," year "," years ")&amp;DATEDIF(C91,B91,"ym")&amp;IF(DATEDIF(C91,B91,"ym")=1," month"," months"),IF(DATEDIF(C91,B91,"m")&gt;=1,DATEDIF(C91,B91,"m")&amp;IF(DATEDIF(C91,B91,"m")=1," month"," months"),DATEDIF(C91,B91,"d")&amp;IF(DATEDIF(C91,B91,"d")=1," day"," days"))))</f>
      </c>
      <c r="E91" s="100"/>
      <c r="F91" s="100"/>
      <c r="G91" s="100"/>
      <c r="H91" s="100"/>
      <c r="I91" s="100"/>
      <c r="J91" s="101"/>
      <c r="K91" s="100"/>
      <c r="L91" s="100"/>
      <c r="M91" s="102" t="str">
        <f>IFERROR(VLOOKUP(G91,Reference!$I$2:$J$175,2,FALSE()),"Operations")</f>
        <v>Operations</v>
      </c>
      <c r="N91" s="6"/>
      <c r="O91" s="6"/>
    </row>
    <row r="92" spans="1:15" ht="15" customHeight="1" x14ac:dyDescent="0.25">
      <c r="A92" s="103"/>
      <c r="B92" s="104"/>
      <c r="C92" s="104"/>
      <c r="D92" s="103">
        <f>IF(OR(B92="",C92=""),"",IF(DATEDIF(C92,B92,"y")&gt;=1,DATEDIF(C92,B92,"y")&amp;IF(DATEDIF(C92,B92,"y")=1," year "," years ")&amp;DATEDIF(C92,B92,"ym")&amp;IF(DATEDIF(C92,B92,"ym")=1," month"," months"),IF(DATEDIF(C92,B92,"m")&gt;=1,DATEDIF(C92,B92,"m")&amp;IF(DATEDIF(C92,B92,"m")=1," month"," months"),DATEDIF(C92,B92,"d")&amp;IF(DATEDIF(C92,B92,"d")=1," day"," days"))))</f>
      </c>
      <c r="E92" s="103"/>
      <c r="F92" s="103"/>
      <c r="G92" s="103"/>
      <c r="H92" s="103"/>
      <c r="I92" s="103"/>
      <c r="J92" s="104"/>
      <c r="K92" s="103"/>
      <c r="L92" s="103"/>
      <c r="M92" s="105" t="str">
        <f>IFERROR(VLOOKUP(G92,Reference!$I$2:$J$175,2,FALSE()),"Operations")</f>
        <v>Operations</v>
      </c>
      <c r="N92" s="6"/>
      <c r="O92" s="6"/>
    </row>
    <row r="93" spans="1:15" ht="15" customHeight="1" x14ac:dyDescent="0.25">
      <c r="A93" s="100"/>
      <c r="B93" s="101"/>
      <c r="C93" s="101"/>
      <c r="D93" s="100">
        <f>IF(OR(B93="",C93=""),"",IF(DATEDIF(C93,B93,"y")&gt;=1,DATEDIF(C93,B93,"y")&amp;IF(DATEDIF(C93,B93,"y")=1," year "," years ")&amp;DATEDIF(C93,B93,"ym")&amp;IF(DATEDIF(C93,B93,"ym")=1," month"," months"),IF(DATEDIF(C93,B93,"m")&gt;=1,DATEDIF(C93,B93,"m")&amp;IF(DATEDIF(C93,B93,"m")=1," month"," months"),DATEDIF(C93,B93,"d")&amp;IF(DATEDIF(C93,B93,"d")=1," day"," days"))))</f>
      </c>
      <c r="E93" s="100"/>
      <c r="F93" s="100"/>
      <c r="G93" s="100"/>
      <c r="H93" s="100"/>
      <c r="I93" s="100"/>
      <c r="J93" s="101"/>
      <c r="K93" s="100"/>
      <c r="L93" s="100"/>
      <c r="M93" s="102" t="str">
        <f>IFERROR(VLOOKUP(G93,Reference!$I$2:$J$175,2,FALSE()),"Operations")</f>
        <v>Operations</v>
      </c>
      <c r="N93" s="6"/>
      <c r="O93" s="6"/>
    </row>
    <row r="94" spans="1:15" ht="15" customHeight="1" x14ac:dyDescent="0.25">
      <c r="A94" s="103"/>
      <c r="B94" s="104"/>
      <c r="C94" s="104"/>
      <c r="D94" s="103">
        <f>IF(OR(B94="",C94=""),"",IF(DATEDIF(C94,B94,"y")&gt;=1,DATEDIF(C94,B94,"y")&amp;IF(DATEDIF(C94,B94,"y")=1," year "," years ")&amp;DATEDIF(C94,B94,"ym")&amp;IF(DATEDIF(C94,B94,"ym")=1," month"," months"),IF(DATEDIF(C94,B94,"m")&gt;=1,DATEDIF(C94,B94,"m")&amp;IF(DATEDIF(C94,B94,"m")=1," month"," months"),DATEDIF(C94,B94,"d")&amp;IF(DATEDIF(C94,B94,"d")=1," day"," days"))))</f>
      </c>
      <c r="E94" s="103"/>
      <c r="F94" s="103"/>
      <c r="G94" s="103"/>
      <c r="H94" s="103"/>
      <c r="I94" s="103"/>
      <c r="J94" s="104"/>
      <c r="K94" s="103"/>
      <c r="L94" s="103"/>
      <c r="M94" s="105" t="str">
        <f>IFERROR(VLOOKUP(G94,Reference!$I$2:$J$175,2,FALSE()),"Operations")</f>
        <v>Operations</v>
      </c>
      <c r="N94" s="6"/>
      <c r="O94" s="6"/>
    </row>
    <row r="95" spans="1:15" ht="15" customHeight="1" x14ac:dyDescent="0.25">
      <c r="A95" s="100"/>
      <c r="B95" s="101"/>
      <c r="C95" s="101"/>
      <c r="D95" s="100">
        <f>IF(OR(B95="",C95=""),"",IF(DATEDIF(C95,B95,"y")&gt;=1,DATEDIF(C95,B95,"y")&amp;IF(DATEDIF(C95,B95,"y")=1," year "," years ")&amp;DATEDIF(C95,B95,"ym")&amp;IF(DATEDIF(C95,B95,"ym")=1," month"," months"),IF(DATEDIF(C95,B95,"m")&gt;=1,DATEDIF(C95,B95,"m")&amp;IF(DATEDIF(C95,B95,"m")=1," month"," months"),DATEDIF(C95,B95,"d")&amp;IF(DATEDIF(C95,B95,"d")=1," day"," days"))))</f>
      </c>
      <c r="E95" s="100"/>
      <c r="F95" s="100"/>
      <c r="G95" s="100"/>
      <c r="H95" s="100"/>
      <c r="I95" s="100"/>
      <c r="J95" s="101"/>
      <c r="K95" s="100"/>
      <c r="L95" s="100"/>
      <c r="M95" s="102" t="str">
        <f>IFERROR(VLOOKUP(G95,Reference!$I$2:$J$175,2,FALSE()),"Operations")</f>
        <v>Operations</v>
      </c>
      <c r="N95" s="6"/>
      <c r="O95" s="6"/>
    </row>
    <row r="96" spans="1:15" ht="15" customHeight="1" x14ac:dyDescent="0.25">
      <c r="A96" s="103"/>
      <c r="B96" s="104"/>
      <c r="C96" s="104"/>
      <c r="D96" s="103">
        <f>IF(OR(B96="",C96=""),"",IF(DATEDIF(C96,B96,"y")&gt;=1,DATEDIF(C96,B96,"y")&amp;IF(DATEDIF(C96,B96,"y")=1," year "," years ")&amp;DATEDIF(C96,B96,"ym")&amp;IF(DATEDIF(C96,B96,"ym")=1," month"," months"),IF(DATEDIF(C96,B96,"m")&gt;=1,DATEDIF(C96,B96,"m")&amp;IF(DATEDIF(C96,B96,"m")=1," month"," months"),DATEDIF(C96,B96,"d")&amp;IF(DATEDIF(C96,B96,"d")=1," day"," days"))))</f>
      </c>
      <c r="E96" s="103"/>
      <c r="F96" s="103"/>
      <c r="G96" s="103"/>
      <c r="H96" s="103"/>
      <c r="I96" s="103"/>
      <c r="J96" s="104"/>
      <c r="K96" s="103"/>
      <c r="L96" s="103"/>
      <c r="M96" s="105" t="str">
        <f>IFERROR(VLOOKUP(G96,Reference!$I$2:$J$175,2,FALSE()),"Operations")</f>
        <v>Operations</v>
      </c>
      <c r="N96" s="6"/>
      <c r="O96" s="6"/>
    </row>
    <row r="97" spans="1:15" ht="15" customHeight="1" x14ac:dyDescent="0.25">
      <c r="A97" s="100"/>
      <c r="B97" s="101"/>
      <c r="C97" s="101"/>
      <c r="D97" s="100">
        <f>IF(OR(B97="",C97=""),"",IF(DATEDIF(C97,B97,"y")&gt;=1,DATEDIF(C97,B97,"y")&amp;IF(DATEDIF(C97,B97,"y")=1," year "," years ")&amp;DATEDIF(C97,B97,"ym")&amp;IF(DATEDIF(C97,B97,"ym")=1," month"," months"),IF(DATEDIF(C97,B97,"m")&gt;=1,DATEDIF(C97,B97,"m")&amp;IF(DATEDIF(C97,B97,"m")=1," month"," months"),DATEDIF(C97,B97,"d")&amp;IF(DATEDIF(C97,B97,"d")=1," day"," days"))))</f>
      </c>
      <c r="E97" s="100"/>
      <c r="F97" s="100"/>
      <c r="G97" s="100"/>
      <c r="H97" s="100"/>
      <c r="I97" s="100"/>
      <c r="J97" s="101"/>
      <c r="K97" s="100"/>
      <c r="L97" s="100"/>
      <c r="M97" s="102" t="str">
        <f>IFERROR(VLOOKUP(G97,Reference!$I$2:$J$175,2,FALSE()),"Operations")</f>
        <v>Operations</v>
      </c>
      <c r="N97" s="6"/>
      <c r="O97" s="6"/>
    </row>
    <row r="98" spans="1:15" ht="15" customHeight="1" x14ac:dyDescent="0.25">
      <c r="A98" s="103"/>
      <c r="B98" s="104"/>
      <c r="C98" s="104"/>
      <c r="D98" s="103">
        <f>IF(OR(B98="",C98=""),"",IF(DATEDIF(C98,B98,"y")&gt;=1,DATEDIF(C98,B98,"y")&amp;IF(DATEDIF(C98,B98,"y")=1," year "," years ")&amp;DATEDIF(C98,B98,"ym")&amp;IF(DATEDIF(C98,B98,"ym")=1," month"," months"),IF(DATEDIF(C98,B98,"m")&gt;=1,DATEDIF(C98,B98,"m")&amp;IF(DATEDIF(C98,B98,"m")=1," month"," months"),DATEDIF(C98,B98,"d")&amp;IF(DATEDIF(C98,B98,"d")=1," day"," days"))))</f>
      </c>
      <c r="E98" s="103"/>
      <c r="F98" s="103"/>
      <c r="G98" s="103"/>
      <c r="H98" s="103"/>
      <c r="I98" s="103"/>
      <c r="J98" s="104"/>
      <c r="K98" s="103"/>
      <c r="L98" s="103"/>
      <c r="M98" s="105" t="str">
        <f>IFERROR(VLOOKUP(G98,Reference!$I$2:$J$175,2,FALSE()),"Operations")</f>
        <v>Operations</v>
      </c>
      <c r="N98" s="6"/>
      <c r="O98" s="6"/>
    </row>
    <row r="99" spans="1:15" ht="15" customHeight="1" x14ac:dyDescent="0.25">
      <c r="A99" s="100"/>
      <c r="B99" s="101"/>
      <c r="C99" s="101"/>
      <c r="D99" s="100">
        <f>IF(OR(B99="",C99=""),"",IF(DATEDIF(C99,B99,"y")&gt;=1,DATEDIF(C99,B99,"y")&amp;IF(DATEDIF(C99,B99,"y")=1," year "," years ")&amp;DATEDIF(C99,B99,"ym")&amp;IF(DATEDIF(C99,B99,"ym")=1," month"," months"),IF(DATEDIF(C99,B99,"m")&gt;=1,DATEDIF(C99,B99,"m")&amp;IF(DATEDIF(C99,B99,"m")=1," month"," months"),DATEDIF(C99,B99,"d")&amp;IF(DATEDIF(C99,B99,"d")=1," day"," days"))))</f>
      </c>
      <c r="E99" s="100"/>
      <c r="F99" s="100"/>
      <c r="G99" s="100"/>
      <c r="H99" s="100"/>
      <c r="I99" s="100"/>
      <c r="J99" s="101"/>
      <c r="K99" s="100"/>
      <c r="L99" s="100"/>
      <c r="M99" s="102" t="str">
        <f>IFERROR(VLOOKUP(G99,Reference!$I$2:$J$175,2,FALSE()),"Operations")</f>
        <v>Operations</v>
      </c>
      <c r="N99" s="6"/>
      <c r="O99" s="6"/>
    </row>
    <row r="100" spans="1:15" ht="15" customHeight="1" x14ac:dyDescent="0.25">
      <c r="A100" s="103"/>
      <c r="B100" s="104"/>
      <c r="C100" s="104"/>
      <c r="D100" s="103">
        <f>IF(OR(B100="",C100=""),"",IF(DATEDIF(C100,B100,"y")&gt;=1,DATEDIF(C100,B100,"y")&amp;IF(DATEDIF(C100,B100,"y")=1," year "," years ")&amp;DATEDIF(C100,B100,"ym")&amp;IF(DATEDIF(C100,B100,"ym")=1," month"," months"),IF(DATEDIF(C100,B100,"m")&gt;=1,DATEDIF(C100,B100,"m")&amp;IF(DATEDIF(C100,B100,"m")=1," month"," months"),DATEDIF(C100,B100,"d")&amp;IF(DATEDIF(C100,B100,"d")=1," day"," days"))))</f>
      </c>
      <c r="E100" s="103"/>
      <c r="F100" s="103"/>
      <c r="G100" s="103"/>
      <c r="H100" s="103"/>
      <c r="I100" s="103"/>
      <c r="J100" s="104"/>
      <c r="K100" s="103"/>
      <c r="L100" s="103"/>
      <c r="M100" s="105" t="str">
        <f>IFERROR(VLOOKUP(G100,Reference!$I$2:$J$175,2,FALSE()),"Operations")</f>
        <v>Operations</v>
      </c>
      <c r="N100" s="6"/>
      <c r="O100" s="6"/>
    </row>
    <row r="101" spans="1:15" ht="15" customHeight="1" x14ac:dyDescent="0.25">
      <c r="A101" s="100"/>
      <c r="B101" s="101"/>
      <c r="C101" s="101"/>
      <c r="D101" s="100">
        <f>IF(OR(B101="",C101=""),"",IF(DATEDIF(C101,B101,"y")&gt;=1,DATEDIF(C101,B101,"y")&amp;IF(DATEDIF(C101,B101,"y")=1," year "," years ")&amp;DATEDIF(C101,B101,"ym")&amp;IF(DATEDIF(C101,B101,"ym")=1," month"," months"),IF(DATEDIF(C101,B101,"m")&gt;=1,DATEDIF(C101,B101,"m")&amp;IF(DATEDIF(C101,B101,"m")=1," month"," months"),DATEDIF(C101,B101,"d")&amp;IF(DATEDIF(C101,B101,"d")=1," day"," days"))))</f>
      </c>
      <c r="E101" s="100"/>
      <c r="F101" s="100"/>
      <c r="G101" s="100"/>
      <c r="H101" s="100"/>
      <c r="I101" s="100"/>
      <c r="J101" s="101"/>
      <c r="K101" s="100"/>
      <c r="L101" s="100"/>
      <c r="M101" s="102" t="str">
        <f>IFERROR(VLOOKUP(G101,Reference!$I$2:$J$175,2,FALSE()),"Operations")</f>
        <v>Operations</v>
      </c>
      <c r="N101" s="6"/>
      <c r="O101" s="6"/>
    </row>
    <row r="102" spans="1:15" ht="15" customHeight="1" x14ac:dyDescent="0.25">
      <c r="A102" s="103"/>
      <c r="B102" s="104"/>
      <c r="C102" s="104"/>
      <c r="D102" s="103">
        <f>IF(OR(B102="",C102=""),"",IF(DATEDIF(C102,B102,"y")&gt;=1,DATEDIF(C102,B102,"y")&amp;IF(DATEDIF(C102,B102,"y")=1," year "," years ")&amp;DATEDIF(C102,B102,"ym")&amp;IF(DATEDIF(C102,B102,"ym")=1," month"," months"),IF(DATEDIF(C102,B102,"m")&gt;=1,DATEDIF(C102,B102,"m")&amp;IF(DATEDIF(C102,B102,"m")=1," month"," months"),DATEDIF(C102,B102,"d")&amp;IF(DATEDIF(C102,B102,"d")=1," day"," days"))))</f>
      </c>
      <c r="E102" s="103"/>
      <c r="F102" s="103"/>
      <c r="G102" s="103"/>
      <c r="H102" s="103"/>
      <c r="I102" s="103"/>
      <c r="J102" s="104"/>
      <c r="K102" s="103"/>
      <c r="L102" s="103"/>
      <c r="M102" s="105" t="str">
        <f>IFERROR(VLOOKUP(G102,Reference!$I$2:$J$175,2,FALSE()),"Operations")</f>
        <v>Operations</v>
      </c>
      <c r="N102" s="6"/>
      <c r="O102" s="6"/>
    </row>
    <row r="103" spans="1:15" ht="15" customHeight="1" x14ac:dyDescent="0.25">
      <c r="A103" s="100"/>
      <c r="B103" s="101"/>
      <c r="C103" s="101"/>
      <c r="D103" s="100">
        <f>IF(OR(B103="",C103=""),"",IF(DATEDIF(C103,B103,"y")&gt;=1,DATEDIF(C103,B103,"y")&amp;IF(DATEDIF(C103,B103,"y")=1," year "," years ")&amp;DATEDIF(C103,B103,"ym")&amp;IF(DATEDIF(C103,B103,"ym")=1," month"," months"),IF(DATEDIF(C103,B103,"m")&gt;=1,DATEDIF(C103,B103,"m")&amp;IF(DATEDIF(C103,B103,"m")=1," month"," months"),DATEDIF(C103,B103,"d")&amp;IF(DATEDIF(C103,B103,"d")=1," day"," days"))))</f>
      </c>
      <c r="E103" s="100"/>
      <c r="F103" s="100"/>
      <c r="G103" s="100"/>
      <c r="H103" s="100"/>
      <c r="I103" s="100"/>
      <c r="J103" s="101"/>
      <c r="K103" s="100"/>
      <c r="L103" s="100"/>
      <c r="M103" s="102" t="str">
        <f>IFERROR(VLOOKUP(G103,Reference!$I$2:$J$175,2,FALSE()),"Operations")</f>
        <v>Operations</v>
      </c>
      <c r="N103" s="6"/>
      <c r="O103" s="6"/>
    </row>
    <row r="104" spans="1:15" ht="15" customHeight="1" x14ac:dyDescent="0.25">
      <c r="A104" s="103"/>
      <c r="B104" s="104"/>
      <c r="C104" s="104"/>
      <c r="D104" s="103">
        <f>IF(OR(B104="",C104=""),"",IF(DATEDIF(C104,B104,"y")&gt;=1,DATEDIF(C104,B104,"y")&amp;IF(DATEDIF(C104,B104,"y")=1," year "," years ")&amp;DATEDIF(C104,B104,"ym")&amp;IF(DATEDIF(C104,B104,"ym")=1," month"," months"),IF(DATEDIF(C104,B104,"m")&gt;=1,DATEDIF(C104,B104,"m")&amp;IF(DATEDIF(C104,B104,"m")=1," month"," months"),DATEDIF(C104,B104,"d")&amp;IF(DATEDIF(C104,B104,"d")=1," day"," days"))))</f>
      </c>
      <c r="E104" s="103"/>
      <c r="F104" s="103"/>
      <c r="G104" s="103"/>
      <c r="H104" s="103"/>
      <c r="I104" s="103"/>
      <c r="J104" s="104"/>
      <c r="K104" s="103"/>
      <c r="L104" s="103"/>
      <c r="M104" s="105" t="str">
        <f>IFERROR(VLOOKUP(G104,Reference!$I$2:$J$175,2,FALSE()),"Operations")</f>
        <v>Operations</v>
      </c>
      <c r="N104" s="6"/>
      <c r="O104" s="6"/>
    </row>
    <row r="105" spans="1:15" ht="15" customHeight="1" x14ac:dyDescent="0.25">
      <c r="A105" s="100"/>
      <c r="B105" s="101"/>
      <c r="C105" s="101"/>
      <c r="D105" s="100">
        <f>IF(OR(B105="",C105=""),"",IF(DATEDIF(C105,B105,"y")&gt;=1,DATEDIF(C105,B105,"y")&amp;IF(DATEDIF(C105,B105,"y")=1," year "," years ")&amp;DATEDIF(C105,B105,"ym")&amp;IF(DATEDIF(C105,B105,"ym")=1," month"," months"),IF(DATEDIF(C105,B105,"m")&gt;=1,DATEDIF(C105,B105,"m")&amp;IF(DATEDIF(C105,B105,"m")=1," month"," months"),DATEDIF(C105,B105,"d")&amp;IF(DATEDIF(C105,B105,"d")=1," day"," days"))))</f>
      </c>
      <c r="E105" s="100"/>
      <c r="F105" s="100"/>
      <c r="G105" s="100"/>
      <c r="H105" s="100"/>
      <c r="I105" s="100"/>
      <c r="J105" s="101"/>
      <c r="K105" s="100"/>
      <c r="L105" s="100"/>
      <c r="M105" s="102" t="str">
        <f>IFERROR(VLOOKUP(G105,Reference!$I$2:$J$175,2,FALSE()),"Operations")</f>
        <v>Operations</v>
      </c>
      <c r="N105" s="6"/>
      <c r="O105" s="6"/>
    </row>
    <row r="106" spans="1:15" ht="15" customHeight="1" x14ac:dyDescent="0.25">
      <c r="A106" s="103"/>
      <c r="B106" s="104"/>
      <c r="C106" s="104"/>
      <c r="D106" s="103">
        <f>IF(OR(B106="",C106=""),"",IF(DATEDIF(C106,B106,"y")&gt;=1,DATEDIF(C106,B106,"y")&amp;IF(DATEDIF(C106,B106,"y")=1," year "," years ")&amp;DATEDIF(C106,B106,"ym")&amp;IF(DATEDIF(C106,B106,"ym")=1," month"," months"),IF(DATEDIF(C106,B106,"m")&gt;=1,DATEDIF(C106,B106,"m")&amp;IF(DATEDIF(C106,B106,"m")=1," month"," months"),DATEDIF(C106,B106,"d")&amp;IF(DATEDIF(C106,B106,"d")=1," day"," days"))))</f>
      </c>
      <c r="E106" s="103"/>
      <c r="F106" s="103"/>
      <c r="G106" s="103"/>
      <c r="H106" s="103"/>
      <c r="I106" s="103"/>
      <c r="J106" s="104"/>
      <c r="K106" s="103"/>
      <c r="L106" s="103"/>
      <c r="M106" s="105" t="str">
        <f>IFERROR(VLOOKUP(G106,Reference!$I$2:$J$175,2,FALSE()),"Operations")</f>
        <v>Operations</v>
      </c>
      <c r="N106" s="6"/>
      <c r="O106" s="6"/>
    </row>
    <row r="107" spans="1:15" ht="15" customHeight="1" x14ac:dyDescent="0.25">
      <c r="A107" s="100"/>
      <c r="B107" s="101"/>
      <c r="C107" s="101"/>
      <c r="D107" s="100">
        <f>IF(OR(B107="",C107=""),"",IF(DATEDIF(C107,B107,"y")&gt;=1,DATEDIF(C107,B107,"y")&amp;IF(DATEDIF(C107,B107,"y")=1," year "," years ")&amp;DATEDIF(C107,B107,"ym")&amp;IF(DATEDIF(C107,B107,"ym")=1," month"," months"),IF(DATEDIF(C107,B107,"m")&gt;=1,DATEDIF(C107,B107,"m")&amp;IF(DATEDIF(C107,B107,"m")=1," month"," months"),DATEDIF(C107,B107,"d")&amp;IF(DATEDIF(C107,B107,"d")=1," day"," days"))))</f>
      </c>
      <c r="E107" s="100"/>
      <c r="F107" s="100"/>
      <c r="G107" s="100"/>
      <c r="H107" s="100"/>
      <c r="I107" s="100"/>
      <c r="J107" s="101"/>
      <c r="K107" s="100"/>
      <c r="L107" s="100"/>
      <c r="M107" s="102" t="str">
        <f>IFERROR(VLOOKUP(G107,Reference!$I$2:$J$175,2,FALSE()),"Operations")</f>
        <v>Operations</v>
      </c>
      <c r="N107" s="6"/>
      <c r="O107" s="6"/>
    </row>
    <row r="108" spans="1:15" ht="15" customHeight="1" x14ac:dyDescent="0.25">
      <c r="A108" s="103"/>
      <c r="B108" s="104"/>
      <c r="C108" s="104"/>
      <c r="D108" s="103">
        <f>IF(OR(B108="",C108=""),"",IF(DATEDIF(C108,B108,"y")&gt;=1,DATEDIF(C108,B108,"y")&amp;IF(DATEDIF(C108,B108,"y")=1," year "," years ")&amp;DATEDIF(C108,B108,"ym")&amp;IF(DATEDIF(C108,B108,"ym")=1," month"," months"),IF(DATEDIF(C108,B108,"m")&gt;=1,DATEDIF(C108,B108,"m")&amp;IF(DATEDIF(C108,B108,"m")=1," month"," months"),DATEDIF(C108,B108,"d")&amp;IF(DATEDIF(C108,B108,"d")=1," day"," days"))))</f>
      </c>
      <c r="E108" s="103"/>
      <c r="F108" s="103"/>
      <c r="G108" s="103"/>
      <c r="H108" s="103"/>
      <c r="I108" s="103"/>
      <c r="J108" s="104"/>
      <c r="K108" s="103"/>
      <c r="L108" s="103"/>
      <c r="M108" s="105" t="str">
        <f>IFERROR(VLOOKUP(G108,Reference!$I$2:$J$175,2,FALSE()),"Operations")</f>
        <v>Operations</v>
      </c>
      <c r="N108" s="6"/>
      <c r="O108" s="6"/>
    </row>
    <row r="109" spans="1:15" ht="15" customHeight="1" x14ac:dyDescent="0.25">
      <c r="A109" s="100"/>
      <c r="B109" s="101"/>
      <c r="C109" s="101"/>
      <c r="D109" s="100">
        <f>IF(OR(B109="",C109=""),"",IF(DATEDIF(C109,B109,"y")&gt;=1,DATEDIF(C109,B109,"y")&amp;IF(DATEDIF(C109,B109,"y")=1," year "," years ")&amp;DATEDIF(C109,B109,"ym")&amp;IF(DATEDIF(C109,B109,"ym")=1," month"," months"),IF(DATEDIF(C109,B109,"m")&gt;=1,DATEDIF(C109,B109,"m")&amp;IF(DATEDIF(C109,B109,"m")=1," month"," months"),DATEDIF(C109,B109,"d")&amp;IF(DATEDIF(C109,B109,"d")=1," day"," days"))))</f>
      </c>
      <c r="E109" s="100"/>
      <c r="F109" s="100"/>
      <c r="G109" s="100"/>
      <c r="H109" s="100"/>
      <c r="I109" s="100"/>
      <c r="J109" s="101"/>
      <c r="K109" s="100"/>
      <c r="L109" s="100"/>
      <c r="M109" s="102" t="str">
        <f>IFERROR(VLOOKUP(G109,Reference!$I$2:$J$175,2,FALSE()),"Operations")</f>
        <v>Operations</v>
      </c>
      <c r="N109" s="6"/>
      <c r="O109" s="6"/>
    </row>
    <row r="110" spans="1:15" ht="15" customHeight="1" x14ac:dyDescent="0.25">
      <c r="A110" s="103"/>
      <c r="B110" s="104"/>
      <c r="C110" s="104"/>
      <c r="D110" s="103">
        <f>IF(OR(B110="",C110=""),"",IF(DATEDIF(C110,B110,"y")&gt;=1,DATEDIF(C110,B110,"y")&amp;IF(DATEDIF(C110,B110,"y")=1," year "," years ")&amp;DATEDIF(C110,B110,"ym")&amp;IF(DATEDIF(C110,B110,"ym")=1," month"," months"),IF(DATEDIF(C110,B110,"m")&gt;=1,DATEDIF(C110,B110,"m")&amp;IF(DATEDIF(C110,B110,"m")=1," month"," months"),DATEDIF(C110,B110,"d")&amp;IF(DATEDIF(C110,B110,"d")=1," day"," days"))))</f>
      </c>
      <c r="E110" s="103"/>
      <c r="F110" s="103"/>
      <c r="G110" s="103"/>
      <c r="H110" s="103"/>
      <c r="I110" s="103"/>
      <c r="J110" s="104"/>
      <c r="K110" s="103"/>
      <c r="L110" s="103"/>
      <c r="M110" s="105" t="str">
        <f>IFERROR(VLOOKUP(G110,Reference!$I$2:$J$175,2,FALSE()),"Operations")</f>
        <v>Operations</v>
      </c>
      <c r="N110" s="6"/>
      <c r="O110" s="6"/>
    </row>
    <row r="111" spans="1:15" ht="15" customHeight="1" x14ac:dyDescent="0.25">
      <c r="A111" s="100"/>
      <c r="B111" s="101"/>
      <c r="C111" s="101"/>
      <c r="D111" s="100">
        <f>IF(OR(B111="",C111=""),"",IF(DATEDIF(C111,B111,"y")&gt;=1,DATEDIF(C111,B111,"y")&amp;IF(DATEDIF(C111,B111,"y")=1," year "," years ")&amp;DATEDIF(C111,B111,"ym")&amp;IF(DATEDIF(C111,B111,"ym")=1," month"," months"),IF(DATEDIF(C111,B111,"m")&gt;=1,DATEDIF(C111,B111,"m")&amp;IF(DATEDIF(C111,B111,"m")=1," month"," months"),DATEDIF(C111,B111,"d")&amp;IF(DATEDIF(C111,B111,"d")=1," day"," days"))))</f>
      </c>
      <c r="E111" s="100"/>
      <c r="F111" s="100"/>
      <c r="G111" s="100"/>
      <c r="H111" s="100"/>
      <c r="I111" s="100"/>
      <c r="J111" s="101"/>
      <c r="K111" s="100"/>
      <c r="L111" s="100"/>
      <c r="M111" s="102" t="str">
        <f>IFERROR(VLOOKUP(G111,Reference!$I$2:$J$175,2,FALSE()),"Operations")</f>
        <v>Operations</v>
      </c>
      <c r="N111" s="6"/>
      <c r="O111" s="6"/>
    </row>
    <row r="112" spans="1:15" ht="15" customHeight="1" x14ac:dyDescent="0.25">
      <c r="A112" s="103"/>
      <c r="B112" s="104"/>
      <c r="C112" s="104"/>
      <c r="D112" s="103">
        <f>IF(OR(B112="",C112=""),"",IF(DATEDIF(C112,B112,"y")&gt;=1,DATEDIF(C112,B112,"y")&amp;IF(DATEDIF(C112,B112,"y")=1," year "," years ")&amp;DATEDIF(C112,B112,"ym")&amp;IF(DATEDIF(C112,B112,"ym")=1," month"," months"),IF(DATEDIF(C112,B112,"m")&gt;=1,DATEDIF(C112,B112,"m")&amp;IF(DATEDIF(C112,B112,"m")=1," month"," months"),DATEDIF(C112,B112,"d")&amp;IF(DATEDIF(C112,B112,"d")=1," day"," days"))))</f>
      </c>
      <c r="E112" s="103"/>
      <c r="F112" s="103"/>
      <c r="G112" s="103"/>
      <c r="H112" s="103"/>
      <c r="I112" s="103"/>
      <c r="J112" s="104"/>
      <c r="K112" s="103"/>
      <c r="L112" s="103"/>
      <c r="M112" s="105" t="str">
        <f>IFERROR(VLOOKUP(G112,Reference!$I$2:$J$175,2,FALSE()),"Operations")</f>
        <v>Operations</v>
      </c>
      <c r="N112" s="6"/>
      <c r="O112" s="6"/>
    </row>
    <row r="113" spans="1:15" ht="15" customHeight="1" x14ac:dyDescent="0.25">
      <c r="A113" s="100"/>
      <c r="B113" s="101"/>
      <c r="C113" s="101"/>
      <c r="D113" s="100">
        <f>IF(OR(B113="",C113=""),"",IF(DATEDIF(C113,B113,"y")&gt;=1,DATEDIF(C113,B113,"y")&amp;IF(DATEDIF(C113,B113,"y")=1," year "," years ")&amp;DATEDIF(C113,B113,"ym")&amp;IF(DATEDIF(C113,B113,"ym")=1," month"," months"),IF(DATEDIF(C113,B113,"m")&gt;=1,DATEDIF(C113,B113,"m")&amp;IF(DATEDIF(C113,B113,"m")=1," month"," months"),DATEDIF(C113,B113,"d")&amp;IF(DATEDIF(C113,B113,"d")=1," day"," days"))))</f>
      </c>
      <c r="E113" s="100"/>
      <c r="F113" s="100"/>
      <c r="G113" s="100"/>
      <c r="H113" s="100"/>
      <c r="I113" s="100"/>
      <c r="J113" s="101"/>
      <c r="K113" s="100"/>
      <c r="L113" s="100"/>
      <c r="M113" s="102" t="str">
        <f>IFERROR(VLOOKUP(G113,Reference!$I$2:$J$175,2,FALSE()),"Operations")</f>
        <v>Operations</v>
      </c>
      <c r="N113" s="6"/>
      <c r="O113" s="6"/>
    </row>
    <row r="114" spans="1:15" ht="15" customHeight="1" x14ac:dyDescent="0.25">
      <c r="A114" s="103"/>
      <c r="B114" s="104"/>
      <c r="C114" s="104"/>
      <c r="D114" s="103">
        <f>IF(OR(B114="",C114=""),"",IF(DATEDIF(C114,B114,"y")&gt;=1,DATEDIF(C114,B114,"y")&amp;IF(DATEDIF(C114,B114,"y")=1," year "," years ")&amp;DATEDIF(C114,B114,"ym")&amp;IF(DATEDIF(C114,B114,"ym")=1," month"," months"),IF(DATEDIF(C114,B114,"m")&gt;=1,DATEDIF(C114,B114,"m")&amp;IF(DATEDIF(C114,B114,"m")=1," month"," months"),DATEDIF(C114,B114,"d")&amp;IF(DATEDIF(C114,B114,"d")=1," day"," days"))))</f>
      </c>
      <c r="E114" s="103"/>
      <c r="F114" s="103"/>
      <c r="G114" s="103"/>
      <c r="H114" s="103"/>
      <c r="I114" s="103"/>
      <c r="J114" s="104"/>
      <c r="K114" s="103"/>
      <c r="L114" s="103"/>
      <c r="M114" s="105" t="str">
        <f>IFERROR(VLOOKUP(G114,Reference!$I$2:$J$175,2,FALSE()),"Operations")</f>
        <v>Operations</v>
      </c>
      <c r="N114" s="6"/>
      <c r="O114" s="6"/>
    </row>
    <row r="115" spans="1:15" ht="15" customHeight="1" x14ac:dyDescent="0.25">
      <c r="A115" s="100"/>
      <c r="B115" s="101"/>
      <c r="C115" s="101"/>
      <c r="D115" s="100">
        <f>IF(OR(B115="",C115=""),"",IF(DATEDIF(C115,B115,"y")&gt;=1,DATEDIF(C115,B115,"y")&amp;IF(DATEDIF(C115,B115,"y")=1," year "," years ")&amp;DATEDIF(C115,B115,"ym")&amp;IF(DATEDIF(C115,B115,"ym")=1," month"," months"),IF(DATEDIF(C115,B115,"m")&gt;=1,DATEDIF(C115,B115,"m")&amp;IF(DATEDIF(C115,B115,"m")=1," month"," months"),DATEDIF(C115,B115,"d")&amp;IF(DATEDIF(C115,B115,"d")=1," day"," days"))))</f>
      </c>
      <c r="E115" s="100"/>
      <c r="F115" s="100"/>
      <c r="G115" s="100"/>
      <c r="H115" s="100"/>
      <c r="I115" s="100"/>
      <c r="J115" s="101"/>
      <c r="K115" s="100"/>
      <c r="L115" s="100"/>
      <c r="M115" s="102" t="str">
        <f>IFERROR(VLOOKUP(G115,Reference!$I$2:$J$175,2,FALSE()),"Operations")</f>
        <v>Operations</v>
      </c>
      <c r="N115" s="6"/>
      <c r="O115" s="6"/>
    </row>
    <row r="116" spans="1:15" ht="15" customHeight="1" x14ac:dyDescent="0.25">
      <c r="A116" s="103"/>
      <c r="B116" s="104"/>
      <c r="C116" s="104"/>
      <c r="D116" s="103">
        <f>IF(OR(B116="",C116=""),"",IF(DATEDIF(C116,B116,"y")&gt;=1,DATEDIF(C116,B116,"y")&amp;IF(DATEDIF(C116,B116,"y")=1," year "," years ")&amp;DATEDIF(C116,B116,"ym")&amp;IF(DATEDIF(C116,B116,"ym")=1," month"," months"),IF(DATEDIF(C116,B116,"m")&gt;=1,DATEDIF(C116,B116,"m")&amp;IF(DATEDIF(C116,B116,"m")=1," month"," months"),DATEDIF(C116,B116,"d")&amp;IF(DATEDIF(C116,B116,"d")=1," day"," days"))))</f>
      </c>
      <c r="E116" s="103"/>
      <c r="F116" s="103"/>
      <c r="G116" s="103"/>
      <c r="H116" s="103"/>
      <c r="I116" s="103"/>
      <c r="J116" s="104"/>
      <c r="K116" s="103"/>
      <c r="L116" s="103"/>
      <c r="M116" s="105" t="str">
        <f>IFERROR(VLOOKUP(G116,Reference!$I$2:$J$175,2,FALSE()),"Operations")</f>
        <v>Operations</v>
      </c>
      <c r="N116" s="6"/>
      <c r="O116" s="6"/>
    </row>
    <row r="117" spans="1:15" ht="15" customHeight="1" x14ac:dyDescent="0.25">
      <c r="A117" s="100"/>
      <c r="B117" s="101"/>
      <c r="C117" s="101"/>
      <c r="D117" s="100">
        <f>IF(OR(B117="",C117=""),"",IF(DATEDIF(C117,B117,"y")&gt;=1,DATEDIF(C117,B117,"y")&amp;IF(DATEDIF(C117,B117,"y")=1," year "," years ")&amp;DATEDIF(C117,B117,"ym")&amp;IF(DATEDIF(C117,B117,"ym")=1," month"," months"),IF(DATEDIF(C117,B117,"m")&gt;=1,DATEDIF(C117,B117,"m")&amp;IF(DATEDIF(C117,B117,"m")=1," month"," months"),DATEDIF(C117,B117,"d")&amp;IF(DATEDIF(C117,B117,"d")=1," day"," days"))))</f>
      </c>
      <c r="E117" s="100"/>
      <c r="F117" s="100"/>
      <c r="G117" s="100"/>
      <c r="H117" s="100"/>
      <c r="I117" s="100"/>
      <c r="J117" s="101"/>
      <c r="K117" s="100"/>
      <c r="L117" s="100"/>
      <c r="M117" s="102" t="str">
        <f>IFERROR(VLOOKUP(G117,Reference!$I$2:$J$175,2,FALSE()),"Operations")</f>
        <v>Operations</v>
      </c>
      <c r="N117" s="6"/>
      <c r="O117" s="6"/>
    </row>
    <row r="118" spans="1:15" ht="15" customHeight="1" x14ac:dyDescent="0.25">
      <c r="A118" s="103"/>
      <c r="B118" s="104"/>
      <c r="C118" s="104"/>
      <c r="D118" s="103">
        <f>IF(OR(B118="",C118=""),"",IF(DATEDIF(C118,B118,"y")&gt;=1,DATEDIF(C118,B118,"y")&amp;IF(DATEDIF(C118,B118,"y")=1," year "," years ")&amp;DATEDIF(C118,B118,"ym")&amp;IF(DATEDIF(C118,B118,"ym")=1," month"," months"),IF(DATEDIF(C118,B118,"m")&gt;=1,DATEDIF(C118,B118,"m")&amp;IF(DATEDIF(C118,B118,"m")=1," month"," months"),DATEDIF(C118,B118,"d")&amp;IF(DATEDIF(C118,B118,"d")=1," day"," days"))))</f>
      </c>
      <c r="E118" s="103"/>
      <c r="F118" s="103"/>
      <c r="G118" s="103"/>
      <c r="H118" s="103"/>
      <c r="I118" s="103"/>
      <c r="J118" s="104"/>
      <c r="K118" s="103"/>
      <c r="L118" s="103"/>
      <c r="M118" s="105" t="str">
        <f>IFERROR(VLOOKUP(G118,Reference!$I$2:$J$175,2,FALSE()),"Operations")</f>
        <v>Operations</v>
      </c>
      <c r="N118" s="6"/>
      <c r="O118" s="6"/>
    </row>
    <row r="119" spans="1:15" ht="15" customHeight="1" x14ac:dyDescent="0.25">
      <c r="A119" s="106" t="s">
        <v>163</v>
      </c>
      <c r="B119" s="107">
        <f>COUNTA(A89:A118)</f>
        <v>0</v>
      </c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6"/>
      <c r="O119" s="6"/>
    </row>
    <row r="120" spans="1:15" ht="6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ht="21.75" customHeight="1" x14ac:dyDescent="0.25">
      <c r="A121" s="163" t="s">
        <v>268</v>
      </c>
      <c r="B121" s="163"/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6"/>
      <c r="O121" s="6"/>
    </row>
    <row r="122" spans="1:15" ht="19.5" customHeight="1" x14ac:dyDescent="0.25">
      <c r="A122" s="64" t="s">
        <v>151</v>
      </c>
      <c r="B122" s="64" t="s">
        <v>152</v>
      </c>
      <c r="C122" s="64" t="s">
        <v>153</v>
      </c>
      <c r="D122" s="64" t="s">
        <v>154</v>
      </c>
      <c r="E122" s="64" t="s">
        <v>155</v>
      </c>
      <c r="F122" s="64" t="s">
        <v>156</v>
      </c>
      <c r="G122" s="64" t="s">
        <v>157</v>
      </c>
      <c r="H122" s="64" t="s">
        <v>158</v>
      </c>
      <c r="I122" s="64" t="s">
        <v>159</v>
      </c>
      <c r="J122" s="64" t="s">
        <v>160</v>
      </c>
      <c r="K122" s="64" t="s">
        <v>134</v>
      </c>
      <c r="L122" s="64" t="s">
        <v>161</v>
      </c>
      <c r="M122" s="64" t="s">
        <v>162</v>
      </c>
      <c r="N122" s="6"/>
      <c r="O122" s="6"/>
    </row>
    <row r="123" spans="1:15" ht="15" customHeight="1" x14ac:dyDescent="0.25">
      <c r="A123" s="100"/>
      <c r="B123" s="101"/>
      <c r="C123" s="101"/>
      <c r="D123" s="100">
        <f>IF(OR(B123="",C123=""),"",IF(DATEDIF(C123,B123,"y")&gt;=1,DATEDIF(C123,B123,"y")&amp;IF(DATEDIF(C123,B123,"y")=1," year "," years ")&amp;DATEDIF(C123,B123,"ym")&amp;IF(DATEDIF(C123,B123,"ym")=1," month"," months"),IF(DATEDIF(C123,B123,"m")&gt;=1,DATEDIF(C123,B123,"m")&amp;IF(DATEDIF(C123,B123,"m")=1," month"," months"),DATEDIF(C123,B123,"d")&amp;IF(DATEDIF(C123,B123,"d")=1," day"," days"))))</f>
      </c>
      <c r="E123" s="100"/>
      <c r="F123" s="100"/>
      <c r="G123" s="100"/>
      <c r="H123" s="100"/>
      <c r="I123" s="100"/>
      <c r="J123" s="101"/>
      <c r="K123" s="100"/>
      <c r="L123" s="100"/>
      <c r="M123" s="102" t="str">
        <f>IFERROR(VLOOKUP(G123,Reference!$I$2:$J$175,2,FALSE()),"Operations")</f>
        <v>Operations</v>
      </c>
      <c r="N123" s="6"/>
      <c r="O123" s="6"/>
    </row>
    <row r="124" spans="1:15" ht="15" customHeight="1" x14ac:dyDescent="0.25">
      <c r="A124" s="103"/>
      <c r="B124" s="104"/>
      <c r="C124" s="104"/>
      <c r="D124" s="103">
        <f>IF(OR(B124="",C124=""),"",IF(DATEDIF(C124,B124,"y")&gt;=1,DATEDIF(C124,B124,"y")&amp;IF(DATEDIF(C124,B124,"y")=1," year "," years ")&amp;DATEDIF(C124,B124,"ym")&amp;IF(DATEDIF(C124,B124,"ym")=1," month"," months"),IF(DATEDIF(C124,B124,"m")&gt;=1,DATEDIF(C124,B124,"m")&amp;IF(DATEDIF(C124,B124,"m")=1," month"," months"),DATEDIF(C124,B124,"d")&amp;IF(DATEDIF(C124,B124,"d")=1," day"," days"))))</f>
      </c>
      <c r="E124" s="103"/>
      <c r="F124" s="103"/>
      <c r="G124" s="103"/>
      <c r="H124" s="103"/>
      <c r="I124" s="103"/>
      <c r="J124" s="104"/>
      <c r="K124" s="103"/>
      <c r="L124" s="103"/>
      <c r="M124" s="105" t="str">
        <f>IFERROR(VLOOKUP(G124,Reference!$I$2:$J$175,2,FALSE()),"Operations")</f>
        <v>Operations</v>
      </c>
      <c r="N124" s="6"/>
      <c r="O124" s="6"/>
    </row>
    <row r="125" spans="1:15" ht="15" customHeight="1" x14ac:dyDescent="0.25">
      <c r="A125" s="100"/>
      <c r="B125" s="101"/>
      <c r="C125" s="101"/>
      <c r="D125" s="100">
        <f>IF(OR(B125="",C125=""),"",IF(DATEDIF(C125,B125,"y")&gt;=1,DATEDIF(C125,B125,"y")&amp;IF(DATEDIF(C125,B125,"y")=1," year "," years ")&amp;DATEDIF(C125,B125,"ym")&amp;IF(DATEDIF(C125,B125,"ym")=1," month"," months"),IF(DATEDIF(C125,B125,"m")&gt;=1,DATEDIF(C125,B125,"m")&amp;IF(DATEDIF(C125,B125,"m")=1," month"," months"),DATEDIF(C125,B125,"d")&amp;IF(DATEDIF(C125,B125,"d")=1," day"," days"))))</f>
      </c>
      <c r="E125" s="100"/>
      <c r="F125" s="100"/>
      <c r="G125" s="100"/>
      <c r="H125" s="100"/>
      <c r="I125" s="100"/>
      <c r="J125" s="101"/>
      <c r="K125" s="100"/>
      <c r="L125" s="100"/>
      <c r="M125" s="102" t="str">
        <f>IFERROR(VLOOKUP(G125,Reference!$I$2:$J$175,2,FALSE()),"Operations")</f>
        <v>Operations</v>
      </c>
      <c r="N125" s="6"/>
      <c r="O125" s="6"/>
    </row>
    <row r="126" spans="1:15" ht="15" customHeight="1" x14ac:dyDescent="0.25">
      <c r="A126" s="103"/>
      <c r="B126" s="104"/>
      <c r="C126" s="104"/>
      <c r="D126" s="103">
        <f>IF(OR(B126="",C126=""),"",IF(DATEDIF(C126,B126,"y")&gt;=1,DATEDIF(C126,B126,"y")&amp;IF(DATEDIF(C126,B126,"y")=1," year "," years ")&amp;DATEDIF(C126,B126,"ym")&amp;IF(DATEDIF(C126,B126,"ym")=1," month"," months"),IF(DATEDIF(C126,B126,"m")&gt;=1,DATEDIF(C126,B126,"m")&amp;IF(DATEDIF(C126,B126,"m")=1," month"," months"),DATEDIF(C126,B126,"d")&amp;IF(DATEDIF(C126,B126,"d")=1," day"," days"))))</f>
      </c>
      <c r="E126" s="103"/>
      <c r="F126" s="103"/>
      <c r="G126" s="103"/>
      <c r="H126" s="103"/>
      <c r="I126" s="103"/>
      <c r="J126" s="104"/>
      <c r="K126" s="103"/>
      <c r="L126" s="103"/>
      <c r="M126" s="105" t="str">
        <f>IFERROR(VLOOKUP(G126,Reference!$I$2:$J$175,2,FALSE()),"Operations")</f>
        <v>Operations</v>
      </c>
      <c r="N126" s="6"/>
      <c r="O126" s="6"/>
    </row>
    <row r="127" spans="1:15" ht="15" customHeight="1" x14ac:dyDescent="0.25">
      <c r="A127" s="100"/>
      <c r="B127" s="101"/>
      <c r="C127" s="101"/>
      <c r="D127" s="100">
        <f>IF(OR(B127="",C127=""),"",IF(DATEDIF(C127,B127,"y")&gt;=1,DATEDIF(C127,B127,"y")&amp;IF(DATEDIF(C127,B127,"y")=1," year "," years ")&amp;DATEDIF(C127,B127,"ym")&amp;IF(DATEDIF(C127,B127,"ym")=1," month"," months"),IF(DATEDIF(C127,B127,"m")&gt;=1,DATEDIF(C127,B127,"m")&amp;IF(DATEDIF(C127,B127,"m")=1," month"," months"),DATEDIF(C127,B127,"d")&amp;IF(DATEDIF(C127,B127,"d")=1," day"," days"))))</f>
      </c>
      <c r="E127" s="100"/>
      <c r="F127" s="100"/>
      <c r="G127" s="100"/>
      <c r="H127" s="100"/>
      <c r="I127" s="100"/>
      <c r="J127" s="101"/>
      <c r="K127" s="100"/>
      <c r="L127" s="100"/>
      <c r="M127" s="102" t="str">
        <f>IFERROR(VLOOKUP(G127,Reference!$I$2:$J$175,2,FALSE()),"Operations")</f>
        <v>Operations</v>
      </c>
      <c r="N127" s="6"/>
      <c r="O127" s="6"/>
    </row>
    <row r="128" spans="1:15" ht="15" customHeight="1" x14ac:dyDescent="0.25">
      <c r="A128" s="103"/>
      <c r="B128" s="104"/>
      <c r="C128" s="104"/>
      <c r="D128" s="103">
        <f>IF(OR(B128="",C128=""),"",IF(DATEDIF(C128,B128,"y")&gt;=1,DATEDIF(C128,B128,"y")&amp;IF(DATEDIF(C128,B128,"y")=1," year "," years ")&amp;DATEDIF(C128,B128,"ym")&amp;IF(DATEDIF(C128,B128,"ym")=1," month"," months"),IF(DATEDIF(C128,B128,"m")&gt;=1,DATEDIF(C128,B128,"m")&amp;IF(DATEDIF(C128,B128,"m")=1," month"," months"),DATEDIF(C128,B128,"d")&amp;IF(DATEDIF(C128,B128,"d")=1," day"," days"))))</f>
      </c>
      <c r="E128" s="103"/>
      <c r="F128" s="103"/>
      <c r="G128" s="103"/>
      <c r="H128" s="103"/>
      <c r="I128" s="103"/>
      <c r="J128" s="104"/>
      <c r="K128" s="103"/>
      <c r="L128" s="103"/>
      <c r="M128" s="105" t="str">
        <f>IFERROR(VLOOKUP(G128,Reference!$I$2:$J$175,2,FALSE()),"Operations")</f>
        <v>Operations</v>
      </c>
      <c r="N128" s="6"/>
      <c r="O128" s="6"/>
    </row>
    <row r="129" spans="1:15" ht="15" customHeight="1" x14ac:dyDescent="0.25">
      <c r="A129" s="100"/>
      <c r="B129" s="101"/>
      <c r="C129" s="101"/>
      <c r="D129" s="100">
        <f>IF(OR(B129="",C129=""),"",IF(DATEDIF(C129,B129,"y")&gt;=1,DATEDIF(C129,B129,"y")&amp;IF(DATEDIF(C129,B129,"y")=1," year "," years ")&amp;DATEDIF(C129,B129,"ym")&amp;IF(DATEDIF(C129,B129,"ym")=1," month"," months"),IF(DATEDIF(C129,B129,"m")&gt;=1,DATEDIF(C129,B129,"m")&amp;IF(DATEDIF(C129,B129,"m")=1," month"," months"),DATEDIF(C129,B129,"d")&amp;IF(DATEDIF(C129,B129,"d")=1," day"," days"))))</f>
      </c>
      <c r="E129" s="100"/>
      <c r="F129" s="100"/>
      <c r="G129" s="100"/>
      <c r="H129" s="100"/>
      <c r="I129" s="100"/>
      <c r="J129" s="101"/>
      <c r="K129" s="100"/>
      <c r="L129" s="100"/>
      <c r="M129" s="102" t="str">
        <f>IFERROR(VLOOKUP(G129,Reference!$I$2:$J$175,2,FALSE()),"Operations")</f>
        <v>Operations</v>
      </c>
      <c r="N129" s="6"/>
      <c r="O129" s="6"/>
    </row>
    <row r="130" spans="1:15" ht="15" customHeight="1" x14ac:dyDescent="0.25">
      <c r="A130" s="103"/>
      <c r="B130" s="104"/>
      <c r="C130" s="104"/>
      <c r="D130" s="103">
        <f>IF(OR(B130="",C130=""),"",IF(DATEDIF(C130,B130,"y")&gt;=1,DATEDIF(C130,B130,"y")&amp;IF(DATEDIF(C130,B130,"y")=1," year "," years ")&amp;DATEDIF(C130,B130,"ym")&amp;IF(DATEDIF(C130,B130,"ym")=1," month"," months"),IF(DATEDIF(C130,B130,"m")&gt;=1,DATEDIF(C130,B130,"m")&amp;IF(DATEDIF(C130,B130,"m")=1," month"," months"),DATEDIF(C130,B130,"d")&amp;IF(DATEDIF(C130,B130,"d")=1," day"," days"))))</f>
      </c>
      <c r="E130" s="103"/>
      <c r="F130" s="103"/>
      <c r="G130" s="103"/>
      <c r="H130" s="103"/>
      <c r="I130" s="103"/>
      <c r="J130" s="104"/>
      <c r="K130" s="103"/>
      <c r="L130" s="103"/>
      <c r="M130" s="105" t="str">
        <f>IFERROR(VLOOKUP(G130,Reference!$I$2:$J$175,2,FALSE()),"Operations")</f>
        <v>Operations</v>
      </c>
      <c r="N130" s="6"/>
      <c r="O130" s="6"/>
    </row>
    <row r="131" spans="1:15" ht="15" customHeight="1" x14ac:dyDescent="0.25">
      <c r="A131" s="100"/>
      <c r="B131" s="101"/>
      <c r="C131" s="101"/>
      <c r="D131" s="100">
        <f>IF(OR(B131="",C131=""),"",IF(DATEDIF(C131,B131,"y")&gt;=1,DATEDIF(C131,B131,"y")&amp;IF(DATEDIF(C131,B131,"y")=1," year "," years ")&amp;DATEDIF(C131,B131,"ym")&amp;IF(DATEDIF(C131,B131,"ym")=1," month"," months"),IF(DATEDIF(C131,B131,"m")&gt;=1,DATEDIF(C131,B131,"m")&amp;IF(DATEDIF(C131,B131,"m")=1," month"," months"),DATEDIF(C131,B131,"d")&amp;IF(DATEDIF(C131,B131,"d")=1," day"," days"))))</f>
      </c>
      <c r="E131" s="100"/>
      <c r="F131" s="100"/>
      <c r="G131" s="100"/>
      <c r="H131" s="100"/>
      <c r="I131" s="100"/>
      <c r="J131" s="101"/>
      <c r="K131" s="100"/>
      <c r="L131" s="100"/>
      <c r="M131" s="102" t="str">
        <f>IFERROR(VLOOKUP(G131,Reference!$I$2:$J$175,2,FALSE()),"Operations")</f>
        <v>Operations</v>
      </c>
      <c r="N131" s="6"/>
      <c r="O131" s="6"/>
    </row>
    <row r="132" spans="1:15" ht="15" customHeight="1" x14ac:dyDescent="0.25">
      <c r="A132" s="103"/>
      <c r="B132" s="104"/>
      <c r="C132" s="104"/>
      <c r="D132" s="103">
        <f>IF(OR(B132="",C132=""),"",IF(DATEDIF(C132,B132,"y")&gt;=1,DATEDIF(C132,B132,"y")&amp;IF(DATEDIF(C132,B132,"y")=1," year "," years ")&amp;DATEDIF(C132,B132,"ym")&amp;IF(DATEDIF(C132,B132,"ym")=1," month"," months"),IF(DATEDIF(C132,B132,"m")&gt;=1,DATEDIF(C132,B132,"m")&amp;IF(DATEDIF(C132,B132,"m")=1," month"," months"),DATEDIF(C132,B132,"d")&amp;IF(DATEDIF(C132,B132,"d")=1," day"," days"))))</f>
      </c>
      <c r="E132" s="103"/>
      <c r="F132" s="103"/>
      <c r="G132" s="103"/>
      <c r="H132" s="103"/>
      <c r="I132" s="103"/>
      <c r="J132" s="104"/>
      <c r="K132" s="103"/>
      <c r="L132" s="103"/>
      <c r="M132" s="105" t="str">
        <f>IFERROR(VLOOKUP(G132,Reference!$I$2:$J$175,2,FALSE()),"Operations")</f>
        <v>Operations</v>
      </c>
      <c r="N132" s="6"/>
      <c r="O132" s="6"/>
    </row>
    <row r="133" spans="1:15" ht="15" customHeight="1" x14ac:dyDescent="0.25">
      <c r="A133" s="100"/>
      <c r="B133" s="101"/>
      <c r="C133" s="101"/>
      <c r="D133" s="100">
        <f>IF(OR(B133="",C133=""),"",IF(DATEDIF(C133,B133,"y")&gt;=1,DATEDIF(C133,B133,"y")&amp;IF(DATEDIF(C133,B133,"y")=1," year "," years ")&amp;DATEDIF(C133,B133,"ym")&amp;IF(DATEDIF(C133,B133,"ym")=1," month"," months"),IF(DATEDIF(C133,B133,"m")&gt;=1,DATEDIF(C133,B133,"m")&amp;IF(DATEDIF(C133,B133,"m")=1," month"," months"),DATEDIF(C133,B133,"d")&amp;IF(DATEDIF(C133,B133,"d")=1," day"," days"))))</f>
      </c>
      <c r="E133" s="100"/>
      <c r="F133" s="100"/>
      <c r="G133" s="100"/>
      <c r="H133" s="100"/>
      <c r="I133" s="100"/>
      <c r="J133" s="101"/>
      <c r="K133" s="100"/>
      <c r="L133" s="100"/>
      <c r="M133" s="102" t="str">
        <f>IFERROR(VLOOKUP(G133,Reference!$I$2:$J$175,2,FALSE()),"Operations")</f>
        <v>Operations</v>
      </c>
      <c r="N133" s="6"/>
      <c r="O133" s="6"/>
    </row>
    <row r="134" spans="1:15" ht="15" customHeight="1" x14ac:dyDescent="0.25">
      <c r="A134" s="103"/>
      <c r="B134" s="104"/>
      <c r="C134" s="104"/>
      <c r="D134" s="103">
        <f>IF(OR(B134="",C134=""),"",IF(DATEDIF(C134,B134,"y")&gt;=1,DATEDIF(C134,B134,"y")&amp;IF(DATEDIF(C134,B134,"y")=1," year "," years ")&amp;DATEDIF(C134,B134,"ym")&amp;IF(DATEDIF(C134,B134,"ym")=1," month"," months"),IF(DATEDIF(C134,B134,"m")&gt;=1,DATEDIF(C134,B134,"m")&amp;IF(DATEDIF(C134,B134,"m")=1," month"," months"),DATEDIF(C134,B134,"d")&amp;IF(DATEDIF(C134,B134,"d")=1," day"," days"))))</f>
      </c>
      <c r="E134" s="103"/>
      <c r="F134" s="103"/>
      <c r="G134" s="103"/>
      <c r="H134" s="103"/>
      <c r="I134" s="103"/>
      <c r="J134" s="104"/>
      <c r="K134" s="103"/>
      <c r="L134" s="103"/>
      <c r="M134" s="105" t="str">
        <f>IFERROR(VLOOKUP(G134,Reference!$I$2:$J$175,2,FALSE()),"Operations")</f>
        <v>Operations</v>
      </c>
      <c r="N134" s="6"/>
      <c r="O134" s="6"/>
    </row>
    <row r="135" spans="1:15" ht="15" customHeight="1" x14ac:dyDescent="0.25">
      <c r="A135" s="100"/>
      <c r="B135" s="101"/>
      <c r="C135" s="101"/>
      <c r="D135" s="100">
        <f>IF(OR(B135="",C135=""),"",IF(DATEDIF(C135,B135,"y")&gt;=1,DATEDIF(C135,B135,"y")&amp;IF(DATEDIF(C135,B135,"y")=1," year "," years ")&amp;DATEDIF(C135,B135,"ym")&amp;IF(DATEDIF(C135,B135,"ym")=1," month"," months"),IF(DATEDIF(C135,B135,"m")&gt;=1,DATEDIF(C135,B135,"m")&amp;IF(DATEDIF(C135,B135,"m")=1," month"," months"),DATEDIF(C135,B135,"d")&amp;IF(DATEDIF(C135,B135,"d")=1," day"," days"))))</f>
      </c>
      <c r="E135" s="100"/>
      <c r="F135" s="100"/>
      <c r="G135" s="100"/>
      <c r="H135" s="100"/>
      <c r="I135" s="100"/>
      <c r="J135" s="101"/>
      <c r="K135" s="100"/>
      <c r="L135" s="100"/>
      <c r="M135" s="102" t="str">
        <f>IFERROR(VLOOKUP(G135,Reference!$I$2:$J$175,2,FALSE()),"Operations")</f>
        <v>Operations</v>
      </c>
      <c r="N135" s="6"/>
      <c r="O135" s="6"/>
    </row>
    <row r="136" spans="1:15" ht="15" customHeight="1" x14ac:dyDescent="0.25">
      <c r="A136" s="103"/>
      <c r="B136" s="104"/>
      <c r="C136" s="104"/>
      <c r="D136" s="103">
        <f>IF(OR(B136="",C136=""),"",IF(DATEDIF(C136,B136,"y")&gt;=1,DATEDIF(C136,B136,"y")&amp;IF(DATEDIF(C136,B136,"y")=1," year "," years ")&amp;DATEDIF(C136,B136,"ym")&amp;IF(DATEDIF(C136,B136,"ym")=1," month"," months"),IF(DATEDIF(C136,B136,"m")&gt;=1,DATEDIF(C136,B136,"m")&amp;IF(DATEDIF(C136,B136,"m")=1," month"," months"),DATEDIF(C136,B136,"d")&amp;IF(DATEDIF(C136,B136,"d")=1," day"," days"))))</f>
      </c>
      <c r="E136" s="103"/>
      <c r="F136" s="103"/>
      <c r="G136" s="103"/>
      <c r="H136" s="103"/>
      <c r="I136" s="103"/>
      <c r="J136" s="104"/>
      <c r="K136" s="103"/>
      <c r="L136" s="103"/>
      <c r="M136" s="105" t="str">
        <f>IFERROR(VLOOKUP(G136,Reference!$I$2:$J$175,2,FALSE()),"Operations")</f>
        <v>Operations</v>
      </c>
      <c r="N136" s="6"/>
      <c r="O136" s="6"/>
    </row>
    <row r="137" spans="1:15" ht="15" customHeight="1" x14ac:dyDescent="0.25">
      <c r="A137" s="100"/>
      <c r="B137" s="101"/>
      <c r="C137" s="101"/>
      <c r="D137" s="100">
        <f>IF(OR(B137="",C137=""),"",IF(DATEDIF(C137,B137,"y")&gt;=1,DATEDIF(C137,B137,"y")&amp;IF(DATEDIF(C137,B137,"y")=1," year "," years ")&amp;DATEDIF(C137,B137,"ym")&amp;IF(DATEDIF(C137,B137,"ym")=1," month"," months"),IF(DATEDIF(C137,B137,"m")&gt;=1,DATEDIF(C137,B137,"m")&amp;IF(DATEDIF(C137,B137,"m")=1," month"," months"),DATEDIF(C137,B137,"d")&amp;IF(DATEDIF(C137,B137,"d")=1," day"," days"))))</f>
      </c>
      <c r="E137" s="100"/>
      <c r="F137" s="100"/>
      <c r="G137" s="100"/>
      <c r="H137" s="100"/>
      <c r="I137" s="100"/>
      <c r="J137" s="101"/>
      <c r="K137" s="100"/>
      <c r="L137" s="100"/>
      <c r="M137" s="102" t="str">
        <f>IFERROR(VLOOKUP(G137,Reference!$I$2:$J$175,2,FALSE()),"Operations")</f>
        <v>Operations</v>
      </c>
      <c r="N137" s="6"/>
      <c r="O137" s="6"/>
    </row>
    <row r="138" spans="1:15" ht="15" customHeight="1" x14ac:dyDescent="0.25">
      <c r="A138" s="103"/>
      <c r="B138" s="104"/>
      <c r="C138" s="104"/>
      <c r="D138" s="103">
        <f>IF(OR(B138="",C138=""),"",IF(DATEDIF(C138,B138,"y")&gt;=1,DATEDIF(C138,B138,"y")&amp;IF(DATEDIF(C138,B138,"y")=1," year "," years ")&amp;DATEDIF(C138,B138,"ym")&amp;IF(DATEDIF(C138,B138,"ym")=1," month"," months"),IF(DATEDIF(C138,B138,"m")&gt;=1,DATEDIF(C138,B138,"m")&amp;IF(DATEDIF(C138,B138,"m")=1," month"," months"),DATEDIF(C138,B138,"d")&amp;IF(DATEDIF(C138,B138,"d")=1," day"," days"))))</f>
      </c>
      <c r="E138" s="103"/>
      <c r="F138" s="103"/>
      <c r="G138" s="103"/>
      <c r="H138" s="103"/>
      <c r="I138" s="103"/>
      <c r="J138" s="104"/>
      <c r="K138" s="103"/>
      <c r="L138" s="103"/>
      <c r="M138" s="105" t="str">
        <f>IFERROR(VLOOKUP(G138,Reference!$I$2:$J$175,2,FALSE()),"Operations")</f>
        <v>Operations</v>
      </c>
      <c r="N138" s="6"/>
      <c r="O138" s="6"/>
    </row>
    <row r="139" spans="1:15" ht="15" customHeight="1" x14ac:dyDescent="0.25">
      <c r="A139" s="100"/>
      <c r="B139" s="101"/>
      <c r="C139" s="101"/>
      <c r="D139" s="100">
        <f>IF(OR(B139="",C139=""),"",IF(DATEDIF(C139,B139,"y")&gt;=1,DATEDIF(C139,B139,"y")&amp;IF(DATEDIF(C139,B139,"y")=1," year "," years ")&amp;DATEDIF(C139,B139,"ym")&amp;IF(DATEDIF(C139,B139,"ym")=1," month"," months"),IF(DATEDIF(C139,B139,"m")&gt;=1,DATEDIF(C139,B139,"m")&amp;IF(DATEDIF(C139,B139,"m")=1," month"," months"),DATEDIF(C139,B139,"d")&amp;IF(DATEDIF(C139,B139,"d")=1," day"," days"))))</f>
      </c>
      <c r="E139" s="100"/>
      <c r="F139" s="100"/>
      <c r="G139" s="100"/>
      <c r="H139" s="100"/>
      <c r="I139" s="100"/>
      <c r="J139" s="101"/>
      <c r="K139" s="100"/>
      <c r="L139" s="100"/>
      <c r="M139" s="102" t="str">
        <f>IFERROR(VLOOKUP(G139,Reference!$I$2:$J$175,2,FALSE()),"Operations")</f>
        <v>Operations</v>
      </c>
      <c r="N139" s="6"/>
      <c r="O139" s="6"/>
    </row>
    <row r="140" spans="1:15" ht="15" customHeight="1" x14ac:dyDescent="0.25">
      <c r="A140" s="103"/>
      <c r="B140" s="104"/>
      <c r="C140" s="104"/>
      <c r="D140" s="103">
        <f>IF(OR(B140="",C140=""),"",IF(DATEDIF(C140,B140,"y")&gt;=1,DATEDIF(C140,B140,"y")&amp;IF(DATEDIF(C140,B140,"y")=1," year "," years ")&amp;DATEDIF(C140,B140,"ym")&amp;IF(DATEDIF(C140,B140,"ym")=1," month"," months"),IF(DATEDIF(C140,B140,"m")&gt;=1,DATEDIF(C140,B140,"m")&amp;IF(DATEDIF(C140,B140,"m")=1," month"," months"),DATEDIF(C140,B140,"d")&amp;IF(DATEDIF(C140,B140,"d")=1," day"," days"))))</f>
      </c>
      <c r="E140" s="103"/>
      <c r="F140" s="103"/>
      <c r="G140" s="103"/>
      <c r="H140" s="103"/>
      <c r="I140" s="103"/>
      <c r="J140" s="104"/>
      <c r="K140" s="103"/>
      <c r="L140" s="103"/>
      <c r="M140" s="105" t="str">
        <f>IFERROR(VLOOKUP(G140,Reference!$I$2:$J$175,2,FALSE()),"Operations")</f>
        <v>Operations</v>
      </c>
      <c r="N140" s="6"/>
      <c r="O140" s="6"/>
    </row>
    <row r="141" spans="1:15" ht="15" customHeight="1" x14ac:dyDescent="0.25">
      <c r="A141" s="100"/>
      <c r="B141" s="101"/>
      <c r="C141" s="101"/>
      <c r="D141" s="100">
        <f>IF(OR(B141="",C141=""),"",IF(DATEDIF(C141,B141,"y")&gt;=1,DATEDIF(C141,B141,"y")&amp;IF(DATEDIF(C141,B141,"y")=1," year "," years ")&amp;DATEDIF(C141,B141,"ym")&amp;IF(DATEDIF(C141,B141,"ym")=1," month"," months"),IF(DATEDIF(C141,B141,"m")&gt;=1,DATEDIF(C141,B141,"m")&amp;IF(DATEDIF(C141,B141,"m")=1," month"," months"),DATEDIF(C141,B141,"d")&amp;IF(DATEDIF(C141,B141,"d")=1," day"," days"))))</f>
      </c>
      <c r="E141" s="100"/>
      <c r="F141" s="100"/>
      <c r="G141" s="100"/>
      <c r="H141" s="100"/>
      <c r="I141" s="100"/>
      <c r="J141" s="101"/>
      <c r="K141" s="100"/>
      <c r="L141" s="100"/>
      <c r="M141" s="102" t="str">
        <f>IFERROR(VLOOKUP(G141,Reference!$I$2:$J$175,2,FALSE()),"Operations")</f>
        <v>Operations</v>
      </c>
      <c r="N141" s="6"/>
      <c r="O141" s="6"/>
    </row>
    <row r="142" spans="1:15" ht="15" customHeight="1" x14ac:dyDescent="0.25">
      <c r="A142" s="103"/>
      <c r="B142" s="104"/>
      <c r="C142" s="104"/>
      <c r="D142" s="103">
        <f>IF(OR(B142="",C142=""),"",IF(DATEDIF(C142,B142,"y")&gt;=1,DATEDIF(C142,B142,"y")&amp;IF(DATEDIF(C142,B142,"y")=1," year "," years ")&amp;DATEDIF(C142,B142,"ym")&amp;IF(DATEDIF(C142,B142,"ym")=1," month"," months"),IF(DATEDIF(C142,B142,"m")&gt;=1,DATEDIF(C142,B142,"m")&amp;IF(DATEDIF(C142,B142,"m")=1," month"," months"),DATEDIF(C142,B142,"d")&amp;IF(DATEDIF(C142,B142,"d")=1," day"," days"))))</f>
      </c>
      <c r="E142" s="103"/>
      <c r="F142" s="103"/>
      <c r="G142" s="103"/>
      <c r="H142" s="103"/>
      <c r="I142" s="103"/>
      <c r="J142" s="104"/>
      <c r="K142" s="103"/>
      <c r="L142" s="103"/>
      <c r="M142" s="105" t="str">
        <f>IFERROR(VLOOKUP(G142,Reference!$I$2:$J$175,2,FALSE()),"Operations")</f>
        <v>Operations</v>
      </c>
      <c r="N142" s="6"/>
      <c r="O142" s="6"/>
    </row>
    <row r="143" spans="1:15" ht="15" customHeight="1" x14ac:dyDescent="0.25">
      <c r="A143" s="100"/>
      <c r="B143" s="101"/>
      <c r="C143" s="101"/>
      <c r="D143" s="100">
        <f>IF(OR(B143="",C143=""),"",IF(DATEDIF(C143,B143,"y")&gt;=1,DATEDIF(C143,B143,"y")&amp;IF(DATEDIF(C143,B143,"y")=1," year "," years ")&amp;DATEDIF(C143,B143,"ym")&amp;IF(DATEDIF(C143,B143,"ym")=1," month"," months"),IF(DATEDIF(C143,B143,"m")&gt;=1,DATEDIF(C143,B143,"m")&amp;IF(DATEDIF(C143,B143,"m")=1," month"," months"),DATEDIF(C143,B143,"d")&amp;IF(DATEDIF(C143,B143,"d")=1," day"," days"))))</f>
      </c>
      <c r="E143" s="100"/>
      <c r="F143" s="100"/>
      <c r="G143" s="100"/>
      <c r="H143" s="100"/>
      <c r="I143" s="100"/>
      <c r="J143" s="101"/>
      <c r="K143" s="100"/>
      <c r="L143" s="100"/>
      <c r="M143" s="102" t="str">
        <f>IFERROR(VLOOKUP(G143,Reference!$I$2:$J$175,2,FALSE()),"Operations")</f>
        <v>Operations</v>
      </c>
      <c r="N143" s="6"/>
      <c r="O143" s="6"/>
    </row>
    <row r="144" spans="1:15" ht="15" customHeight="1" x14ac:dyDescent="0.25">
      <c r="A144" s="103"/>
      <c r="B144" s="104"/>
      <c r="C144" s="104"/>
      <c r="D144" s="103">
        <f>IF(OR(B144="",C144=""),"",IF(DATEDIF(C144,B144,"y")&gt;=1,DATEDIF(C144,B144,"y")&amp;IF(DATEDIF(C144,B144,"y")=1," year "," years ")&amp;DATEDIF(C144,B144,"ym")&amp;IF(DATEDIF(C144,B144,"ym")=1," month"," months"),IF(DATEDIF(C144,B144,"m")&gt;=1,DATEDIF(C144,B144,"m")&amp;IF(DATEDIF(C144,B144,"m")=1," month"," months"),DATEDIF(C144,B144,"d")&amp;IF(DATEDIF(C144,B144,"d")=1," day"," days"))))</f>
      </c>
      <c r="E144" s="103"/>
      <c r="F144" s="103"/>
      <c r="G144" s="103"/>
      <c r="H144" s="103"/>
      <c r="I144" s="103"/>
      <c r="J144" s="104"/>
      <c r="K144" s="103"/>
      <c r="L144" s="103"/>
      <c r="M144" s="105" t="str">
        <f>IFERROR(VLOOKUP(G144,Reference!$I$2:$J$175,2,FALSE()),"Operations")</f>
        <v>Operations</v>
      </c>
      <c r="N144" s="6"/>
      <c r="O144" s="6"/>
    </row>
    <row r="145" spans="1:15" ht="15" customHeight="1" x14ac:dyDescent="0.25">
      <c r="A145" s="100"/>
      <c r="B145" s="101"/>
      <c r="C145" s="101"/>
      <c r="D145" s="100">
        <f>IF(OR(B145="",C145=""),"",IF(DATEDIF(C145,B145,"y")&gt;=1,DATEDIF(C145,B145,"y")&amp;IF(DATEDIF(C145,B145,"y")=1," year "," years ")&amp;DATEDIF(C145,B145,"ym")&amp;IF(DATEDIF(C145,B145,"ym")=1," month"," months"),IF(DATEDIF(C145,B145,"m")&gt;=1,DATEDIF(C145,B145,"m")&amp;IF(DATEDIF(C145,B145,"m")=1," month"," months"),DATEDIF(C145,B145,"d")&amp;IF(DATEDIF(C145,B145,"d")=1," day"," days"))))</f>
      </c>
      <c r="E145" s="100"/>
      <c r="F145" s="100"/>
      <c r="G145" s="100"/>
      <c r="H145" s="100"/>
      <c r="I145" s="100"/>
      <c r="J145" s="101"/>
      <c r="K145" s="100"/>
      <c r="L145" s="100"/>
      <c r="M145" s="102" t="str">
        <f>IFERROR(VLOOKUP(G145,Reference!$I$2:$J$175,2,FALSE()),"Operations")</f>
        <v>Operations</v>
      </c>
      <c r="N145" s="6"/>
      <c r="O145" s="6"/>
    </row>
    <row r="146" spans="1:15" ht="15" customHeight="1" x14ac:dyDescent="0.25">
      <c r="A146" s="103"/>
      <c r="B146" s="104"/>
      <c r="C146" s="104"/>
      <c r="D146" s="103">
        <f>IF(OR(B146="",C146=""),"",IF(DATEDIF(C146,B146,"y")&gt;=1,DATEDIF(C146,B146,"y")&amp;IF(DATEDIF(C146,B146,"y")=1," year "," years ")&amp;DATEDIF(C146,B146,"ym")&amp;IF(DATEDIF(C146,B146,"ym")=1," month"," months"),IF(DATEDIF(C146,B146,"m")&gt;=1,DATEDIF(C146,B146,"m")&amp;IF(DATEDIF(C146,B146,"m")=1," month"," months"),DATEDIF(C146,B146,"d")&amp;IF(DATEDIF(C146,B146,"d")=1," day"," days"))))</f>
      </c>
      <c r="E146" s="103"/>
      <c r="F146" s="103"/>
      <c r="G146" s="103"/>
      <c r="H146" s="103"/>
      <c r="I146" s="103"/>
      <c r="J146" s="104"/>
      <c r="K146" s="103"/>
      <c r="L146" s="103"/>
      <c r="M146" s="105" t="str">
        <f>IFERROR(VLOOKUP(G146,Reference!$I$2:$J$175,2,FALSE()),"Operations")</f>
        <v>Operations</v>
      </c>
      <c r="N146" s="6"/>
      <c r="O146" s="6"/>
    </row>
    <row r="147" spans="1:15" ht="15" customHeight="1" x14ac:dyDescent="0.25">
      <c r="A147" s="100"/>
      <c r="B147" s="101"/>
      <c r="C147" s="101"/>
      <c r="D147" s="100">
        <f>IF(OR(B147="",C147=""),"",IF(DATEDIF(C147,B147,"y")&gt;=1,DATEDIF(C147,B147,"y")&amp;IF(DATEDIF(C147,B147,"y")=1," year "," years ")&amp;DATEDIF(C147,B147,"ym")&amp;IF(DATEDIF(C147,B147,"ym")=1," month"," months"),IF(DATEDIF(C147,B147,"m")&gt;=1,DATEDIF(C147,B147,"m")&amp;IF(DATEDIF(C147,B147,"m")=1," month"," months"),DATEDIF(C147,B147,"d")&amp;IF(DATEDIF(C147,B147,"d")=1," day"," days"))))</f>
      </c>
      <c r="E147" s="100"/>
      <c r="F147" s="100"/>
      <c r="G147" s="100"/>
      <c r="H147" s="100"/>
      <c r="I147" s="100"/>
      <c r="J147" s="101"/>
      <c r="K147" s="100"/>
      <c r="L147" s="100"/>
      <c r="M147" s="102" t="str">
        <f>IFERROR(VLOOKUP(G147,Reference!$I$2:$J$175,2,FALSE()),"Operations")</f>
        <v>Operations</v>
      </c>
      <c r="N147" s="6"/>
      <c r="O147" s="6"/>
    </row>
    <row r="148" spans="1:15" ht="15" customHeight="1" x14ac:dyDescent="0.25">
      <c r="A148" s="103"/>
      <c r="B148" s="104"/>
      <c r="C148" s="104"/>
      <c r="D148" s="103">
        <f>IF(OR(B148="",C148=""),"",IF(DATEDIF(C148,B148,"y")&gt;=1,DATEDIF(C148,B148,"y")&amp;IF(DATEDIF(C148,B148,"y")=1," year "," years ")&amp;DATEDIF(C148,B148,"ym")&amp;IF(DATEDIF(C148,B148,"ym")=1," month"," months"),IF(DATEDIF(C148,B148,"m")&gt;=1,DATEDIF(C148,B148,"m")&amp;IF(DATEDIF(C148,B148,"m")=1," month"," months"),DATEDIF(C148,B148,"d")&amp;IF(DATEDIF(C148,B148,"d")=1," day"," days"))))</f>
      </c>
      <c r="E148" s="103"/>
      <c r="F148" s="103"/>
      <c r="G148" s="103"/>
      <c r="H148" s="103"/>
      <c r="I148" s="103"/>
      <c r="J148" s="104"/>
      <c r="K148" s="103"/>
      <c r="L148" s="103"/>
      <c r="M148" s="105" t="str">
        <f>IFERROR(VLOOKUP(G148,Reference!$I$2:$J$175,2,FALSE()),"Operations")</f>
        <v>Operations</v>
      </c>
      <c r="N148" s="6"/>
      <c r="O148" s="6"/>
    </row>
    <row r="149" spans="1:15" ht="15" customHeight="1" x14ac:dyDescent="0.25">
      <c r="A149" s="100"/>
      <c r="B149" s="101"/>
      <c r="C149" s="101"/>
      <c r="D149" s="100">
        <f>IF(OR(B149="",C149=""),"",IF(DATEDIF(C149,B149,"y")&gt;=1,DATEDIF(C149,B149,"y")&amp;IF(DATEDIF(C149,B149,"y")=1," year "," years ")&amp;DATEDIF(C149,B149,"ym")&amp;IF(DATEDIF(C149,B149,"ym")=1," month"," months"),IF(DATEDIF(C149,B149,"m")&gt;=1,DATEDIF(C149,B149,"m")&amp;IF(DATEDIF(C149,B149,"m")=1," month"," months"),DATEDIF(C149,B149,"d")&amp;IF(DATEDIF(C149,B149,"d")=1," day"," days"))))</f>
      </c>
      <c r="E149" s="100"/>
      <c r="F149" s="100"/>
      <c r="G149" s="100"/>
      <c r="H149" s="100"/>
      <c r="I149" s="100"/>
      <c r="J149" s="101"/>
      <c r="K149" s="100"/>
      <c r="L149" s="100"/>
      <c r="M149" s="102" t="str">
        <f>IFERROR(VLOOKUP(G149,Reference!$I$2:$J$175,2,FALSE()),"Operations")</f>
        <v>Operations</v>
      </c>
      <c r="N149" s="6"/>
      <c r="O149" s="6"/>
    </row>
    <row r="150" spans="1:15" ht="15" customHeight="1" x14ac:dyDescent="0.25">
      <c r="A150" s="103"/>
      <c r="B150" s="104"/>
      <c r="C150" s="104"/>
      <c r="D150" s="103">
        <f>IF(OR(B150="",C150=""),"",IF(DATEDIF(C150,B150,"y")&gt;=1,DATEDIF(C150,B150,"y")&amp;IF(DATEDIF(C150,B150,"y")=1," year "," years ")&amp;DATEDIF(C150,B150,"ym")&amp;IF(DATEDIF(C150,B150,"ym")=1," month"," months"),IF(DATEDIF(C150,B150,"m")&gt;=1,DATEDIF(C150,B150,"m")&amp;IF(DATEDIF(C150,B150,"m")=1," month"," months"),DATEDIF(C150,B150,"d")&amp;IF(DATEDIF(C150,B150,"d")=1," day"," days"))))</f>
      </c>
      <c r="E150" s="103"/>
      <c r="F150" s="103"/>
      <c r="G150" s="103"/>
      <c r="H150" s="103"/>
      <c r="I150" s="103"/>
      <c r="J150" s="104"/>
      <c r="K150" s="103"/>
      <c r="L150" s="103"/>
      <c r="M150" s="105" t="str">
        <f>IFERROR(VLOOKUP(G150,Reference!$I$2:$J$175,2,FALSE()),"Operations")</f>
        <v>Operations</v>
      </c>
      <c r="N150" s="6"/>
      <c r="O150" s="6"/>
    </row>
    <row r="151" spans="1:15" ht="15" customHeight="1" x14ac:dyDescent="0.25">
      <c r="A151" s="100"/>
      <c r="B151" s="101"/>
      <c r="C151" s="101"/>
      <c r="D151" s="100">
        <f>IF(OR(B151="",C151=""),"",IF(DATEDIF(C151,B151,"y")&gt;=1,DATEDIF(C151,B151,"y")&amp;IF(DATEDIF(C151,B151,"y")=1," year "," years ")&amp;DATEDIF(C151,B151,"ym")&amp;IF(DATEDIF(C151,B151,"ym")=1," month"," months"),IF(DATEDIF(C151,B151,"m")&gt;=1,DATEDIF(C151,B151,"m")&amp;IF(DATEDIF(C151,B151,"m")=1," month"," months"),DATEDIF(C151,B151,"d")&amp;IF(DATEDIF(C151,B151,"d")=1," day"," days"))))</f>
      </c>
      <c r="E151" s="100"/>
      <c r="F151" s="100"/>
      <c r="G151" s="100"/>
      <c r="H151" s="100"/>
      <c r="I151" s="100"/>
      <c r="J151" s="101"/>
      <c r="K151" s="100"/>
      <c r="L151" s="100"/>
      <c r="M151" s="102" t="str">
        <f>IFERROR(VLOOKUP(G151,Reference!$I$2:$J$175,2,FALSE()),"Operations")</f>
        <v>Operations</v>
      </c>
      <c r="N151" s="6"/>
      <c r="O151" s="6"/>
    </row>
    <row r="152" spans="1:15" ht="15" customHeight="1" x14ac:dyDescent="0.25">
      <c r="A152" s="103"/>
      <c r="B152" s="104"/>
      <c r="C152" s="104"/>
      <c r="D152" s="103">
        <f>IF(OR(B152="",C152=""),"",IF(DATEDIF(C152,B152,"y")&gt;=1,DATEDIF(C152,B152,"y")&amp;IF(DATEDIF(C152,B152,"y")=1," year "," years ")&amp;DATEDIF(C152,B152,"ym")&amp;IF(DATEDIF(C152,B152,"ym")=1," month"," months"),IF(DATEDIF(C152,B152,"m")&gt;=1,DATEDIF(C152,B152,"m")&amp;IF(DATEDIF(C152,B152,"m")=1," month"," months"),DATEDIF(C152,B152,"d")&amp;IF(DATEDIF(C152,B152,"d")=1," day"," days"))))</f>
      </c>
      <c r="E152" s="103"/>
      <c r="F152" s="103"/>
      <c r="G152" s="103"/>
      <c r="H152" s="103"/>
      <c r="I152" s="103"/>
      <c r="J152" s="104"/>
      <c r="K152" s="103"/>
      <c r="L152" s="103"/>
      <c r="M152" s="105" t="str">
        <f>IFERROR(VLOOKUP(G152,Reference!$I$2:$J$175,2,FALSE()),"Operations")</f>
        <v>Operations</v>
      </c>
      <c r="N152" s="6"/>
      <c r="O152" s="6"/>
    </row>
    <row r="153" spans="1:15" ht="15" customHeight="1" x14ac:dyDescent="0.25">
      <c r="A153" s="106" t="s">
        <v>163</v>
      </c>
      <c r="B153" s="107">
        <f>COUNTA(A123:A152)</f>
        <v>0</v>
      </c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6"/>
      <c r="O153" s="6"/>
    </row>
    <row r="154" spans="1:15" ht="6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ht="21.75" customHeight="1" x14ac:dyDescent="0.25">
      <c r="A155" s="163" t="s">
        <v>269</v>
      </c>
      <c r="B155" s="163"/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6"/>
      <c r="O155" s="6"/>
    </row>
    <row r="156" spans="1:15" ht="19.5" customHeight="1" x14ac:dyDescent="0.25">
      <c r="A156" s="64" t="s">
        <v>151</v>
      </c>
      <c r="B156" s="64" t="s">
        <v>152</v>
      </c>
      <c r="C156" s="64" t="s">
        <v>153</v>
      </c>
      <c r="D156" s="64" t="s">
        <v>154</v>
      </c>
      <c r="E156" s="64" t="s">
        <v>155</v>
      </c>
      <c r="F156" s="64" t="s">
        <v>156</v>
      </c>
      <c r="G156" s="64" t="s">
        <v>157</v>
      </c>
      <c r="H156" s="64" t="s">
        <v>158</v>
      </c>
      <c r="I156" s="64" t="s">
        <v>159</v>
      </c>
      <c r="J156" s="64" t="s">
        <v>160</v>
      </c>
      <c r="K156" s="64" t="s">
        <v>134</v>
      </c>
      <c r="L156" s="64" t="s">
        <v>161</v>
      </c>
      <c r="M156" s="64" t="s">
        <v>162</v>
      </c>
      <c r="N156" s="6"/>
      <c r="O156" s="6"/>
    </row>
    <row r="157" spans="1:15" ht="15" customHeight="1" x14ac:dyDescent="0.25">
      <c r="A157" s="100"/>
      <c r="B157" s="101"/>
      <c r="C157" s="101"/>
      <c r="D157" s="100">
        <f>IF(OR(B157="",C157=""),"",IF(DATEDIF(C157,B157,"y")&gt;=1,DATEDIF(C157,B157,"y")&amp;IF(DATEDIF(C157,B157,"y")=1," year "," years ")&amp;DATEDIF(C157,B157,"ym")&amp;IF(DATEDIF(C157,B157,"ym")=1," month"," months"),IF(DATEDIF(C157,B157,"m")&gt;=1,DATEDIF(C157,B157,"m")&amp;IF(DATEDIF(C157,B157,"m")=1," month"," months"),DATEDIF(C157,B157,"d")&amp;IF(DATEDIF(C157,B157,"d")=1," day"," days"))))</f>
      </c>
      <c r="E157" s="100"/>
      <c r="F157" s="100"/>
      <c r="G157" s="100"/>
      <c r="H157" s="100"/>
      <c r="I157" s="100"/>
      <c r="J157" s="101"/>
      <c r="K157" s="100"/>
      <c r="L157" s="100"/>
      <c r="M157" s="102" t="str">
        <f>IFERROR(VLOOKUP(G157,Reference!$I$2:$J$175,2,FALSE()),"Operations")</f>
        <v>Operations</v>
      </c>
      <c r="N157" s="6"/>
      <c r="O157" s="6"/>
    </row>
    <row r="158" spans="1:15" ht="15" customHeight="1" x14ac:dyDescent="0.25">
      <c r="A158" s="103"/>
      <c r="B158" s="104"/>
      <c r="C158" s="104"/>
      <c r="D158" s="103">
        <f>IF(OR(B158="",C158=""),"",IF(DATEDIF(C158,B158,"y")&gt;=1,DATEDIF(C158,B158,"y")&amp;IF(DATEDIF(C158,B158,"y")=1," year "," years ")&amp;DATEDIF(C158,B158,"ym")&amp;IF(DATEDIF(C158,B158,"ym")=1," month"," months"),IF(DATEDIF(C158,B158,"m")&gt;=1,DATEDIF(C158,B158,"m")&amp;IF(DATEDIF(C158,B158,"m")=1," month"," months"),DATEDIF(C158,B158,"d")&amp;IF(DATEDIF(C158,B158,"d")=1," day"," days"))))</f>
      </c>
      <c r="E158" s="103"/>
      <c r="F158" s="103"/>
      <c r="G158" s="103"/>
      <c r="H158" s="103"/>
      <c r="I158" s="103"/>
      <c r="J158" s="104"/>
      <c r="K158" s="103"/>
      <c r="L158" s="103"/>
      <c r="M158" s="105" t="str">
        <f>IFERROR(VLOOKUP(G158,Reference!$I$2:$J$175,2,FALSE()),"Operations")</f>
        <v>Operations</v>
      </c>
      <c r="N158" s="6"/>
      <c r="O158" s="6"/>
    </row>
    <row r="159" spans="1:15" ht="15" customHeight="1" x14ac:dyDescent="0.25">
      <c r="A159" s="100"/>
      <c r="B159" s="101"/>
      <c r="C159" s="101"/>
      <c r="D159" s="100">
        <f>IF(OR(B159="",C159=""),"",IF(DATEDIF(C159,B159,"y")&gt;=1,DATEDIF(C159,B159,"y")&amp;IF(DATEDIF(C159,B159,"y")=1," year "," years ")&amp;DATEDIF(C159,B159,"ym")&amp;IF(DATEDIF(C159,B159,"ym")=1," month"," months"),IF(DATEDIF(C159,B159,"m")&gt;=1,DATEDIF(C159,B159,"m")&amp;IF(DATEDIF(C159,B159,"m")=1," month"," months"),DATEDIF(C159,B159,"d")&amp;IF(DATEDIF(C159,B159,"d")=1," day"," days"))))</f>
      </c>
      <c r="E159" s="100"/>
      <c r="F159" s="100"/>
      <c r="G159" s="100"/>
      <c r="H159" s="100"/>
      <c r="I159" s="100"/>
      <c r="J159" s="101"/>
      <c r="K159" s="100"/>
      <c r="L159" s="100"/>
      <c r="M159" s="102" t="str">
        <f>IFERROR(VLOOKUP(G159,Reference!$I$2:$J$175,2,FALSE()),"Operations")</f>
        <v>Operations</v>
      </c>
      <c r="N159" s="6"/>
      <c r="O159" s="6"/>
    </row>
    <row r="160" spans="1:15" ht="15" customHeight="1" x14ac:dyDescent="0.25">
      <c r="A160" s="103"/>
      <c r="B160" s="104"/>
      <c r="C160" s="104"/>
      <c r="D160" s="103">
        <f>IF(OR(B160="",C160=""),"",IF(DATEDIF(C160,B160,"y")&gt;=1,DATEDIF(C160,B160,"y")&amp;IF(DATEDIF(C160,B160,"y")=1," year "," years ")&amp;DATEDIF(C160,B160,"ym")&amp;IF(DATEDIF(C160,B160,"ym")=1," month"," months"),IF(DATEDIF(C160,B160,"m")&gt;=1,DATEDIF(C160,B160,"m")&amp;IF(DATEDIF(C160,B160,"m")=1," month"," months"),DATEDIF(C160,B160,"d")&amp;IF(DATEDIF(C160,B160,"d")=1," day"," days"))))</f>
      </c>
      <c r="E160" s="103"/>
      <c r="F160" s="103"/>
      <c r="G160" s="103"/>
      <c r="H160" s="103"/>
      <c r="I160" s="103"/>
      <c r="J160" s="104"/>
      <c r="K160" s="103"/>
      <c r="L160" s="103"/>
      <c r="M160" s="105" t="str">
        <f>IFERROR(VLOOKUP(G160,Reference!$I$2:$J$175,2,FALSE()),"Operations")</f>
        <v>Operations</v>
      </c>
      <c r="N160" s="6"/>
      <c r="O160" s="6"/>
    </row>
    <row r="161" spans="1:15" ht="15" customHeight="1" x14ac:dyDescent="0.25">
      <c r="A161" s="100"/>
      <c r="B161" s="101"/>
      <c r="C161" s="101"/>
      <c r="D161" s="100">
        <f>IF(OR(B161="",C161=""),"",IF(DATEDIF(C161,B161,"y")&gt;=1,DATEDIF(C161,B161,"y")&amp;IF(DATEDIF(C161,B161,"y")=1," year "," years ")&amp;DATEDIF(C161,B161,"ym")&amp;IF(DATEDIF(C161,B161,"ym")=1," month"," months"),IF(DATEDIF(C161,B161,"m")&gt;=1,DATEDIF(C161,B161,"m")&amp;IF(DATEDIF(C161,B161,"m")=1," month"," months"),DATEDIF(C161,B161,"d")&amp;IF(DATEDIF(C161,B161,"d")=1," day"," days"))))</f>
      </c>
      <c r="E161" s="100"/>
      <c r="F161" s="100"/>
      <c r="G161" s="100"/>
      <c r="H161" s="100"/>
      <c r="I161" s="100"/>
      <c r="J161" s="101"/>
      <c r="K161" s="100"/>
      <c r="L161" s="100"/>
      <c r="M161" s="102" t="str">
        <f>IFERROR(VLOOKUP(G161,Reference!$I$2:$J$175,2,FALSE()),"Operations")</f>
        <v>Operations</v>
      </c>
      <c r="N161" s="6"/>
      <c r="O161" s="6"/>
    </row>
    <row r="162" spans="1:15" ht="15" customHeight="1" x14ac:dyDescent="0.25">
      <c r="A162" s="103"/>
      <c r="B162" s="104"/>
      <c r="C162" s="104"/>
      <c r="D162" s="103">
        <f>IF(OR(B162="",C162=""),"",IF(DATEDIF(C162,B162,"y")&gt;=1,DATEDIF(C162,B162,"y")&amp;IF(DATEDIF(C162,B162,"y")=1," year "," years ")&amp;DATEDIF(C162,B162,"ym")&amp;IF(DATEDIF(C162,B162,"ym")=1," month"," months"),IF(DATEDIF(C162,B162,"m")&gt;=1,DATEDIF(C162,B162,"m")&amp;IF(DATEDIF(C162,B162,"m")=1," month"," months"),DATEDIF(C162,B162,"d")&amp;IF(DATEDIF(C162,B162,"d")=1," day"," days"))))</f>
      </c>
      <c r="E162" s="103"/>
      <c r="F162" s="103"/>
      <c r="G162" s="103"/>
      <c r="H162" s="103"/>
      <c r="I162" s="103"/>
      <c r="J162" s="104"/>
      <c r="K162" s="103"/>
      <c r="L162" s="103"/>
      <c r="M162" s="105" t="str">
        <f>IFERROR(VLOOKUP(G162,Reference!$I$2:$J$175,2,FALSE()),"Operations")</f>
        <v>Operations</v>
      </c>
      <c r="N162" s="6"/>
      <c r="O162" s="6"/>
    </row>
    <row r="163" spans="1:15" ht="15" customHeight="1" x14ac:dyDescent="0.25">
      <c r="A163" s="100"/>
      <c r="B163" s="101"/>
      <c r="C163" s="101"/>
      <c r="D163" s="100">
        <f>IF(OR(B163="",C163=""),"",IF(DATEDIF(C163,B163,"y")&gt;=1,DATEDIF(C163,B163,"y")&amp;IF(DATEDIF(C163,B163,"y")=1," year "," years ")&amp;DATEDIF(C163,B163,"ym")&amp;IF(DATEDIF(C163,B163,"ym")=1," month"," months"),IF(DATEDIF(C163,B163,"m")&gt;=1,DATEDIF(C163,B163,"m")&amp;IF(DATEDIF(C163,B163,"m")=1," month"," months"),DATEDIF(C163,B163,"d")&amp;IF(DATEDIF(C163,B163,"d")=1," day"," days"))))</f>
      </c>
      <c r="E163" s="100"/>
      <c r="F163" s="100"/>
      <c r="G163" s="100"/>
      <c r="H163" s="100"/>
      <c r="I163" s="100"/>
      <c r="J163" s="101"/>
      <c r="K163" s="100"/>
      <c r="L163" s="100"/>
      <c r="M163" s="102" t="str">
        <f>IFERROR(VLOOKUP(G163,Reference!$I$2:$J$175,2,FALSE()),"Operations")</f>
        <v>Operations</v>
      </c>
      <c r="N163" s="6"/>
      <c r="O163" s="6"/>
    </row>
    <row r="164" spans="1:15" ht="15" customHeight="1" x14ac:dyDescent="0.25">
      <c r="A164" s="103"/>
      <c r="B164" s="104"/>
      <c r="C164" s="104"/>
      <c r="D164" s="103">
        <f>IF(OR(B164="",C164=""),"",IF(DATEDIF(C164,B164,"y")&gt;=1,DATEDIF(C164,B164,"y")&amp;IF(DATEDIF(C164,B164,"y")=1," year "," years ")&amp;DATEDIF(C164,B164,"ym")&amp;IF(DATEDIF(C164,B164,"ym")=1," month"," months"),IF(DATEDIF(C164,B164,"m")&gt;=1,DATEDIF(C164,B164,"m")&amp;IF(DATEDIF(C164,B164,"m")=1," month"," months"),DATEDIF(C164,B164,"d")&amp;IF(DATEDIF(C164,B164,"d")=1," day"," days"))))</f>
      </c>
      <c r="E164" s="103"/>
      <c r="F164" s="103"/>
      <c r="G164" s="103"/>
      <c r="H164" s="103"/>
      <c r="I164" s="103"/>
      <c r="J164" s="104"/>
      <c r="K164" s="103"/>
      <c r="L164" s="103"/>
      <c r="M164" s="105" t="str">
        <f>IFERROR(VLOOKUP(G164,Reference!$I$2:$J$175,2,FALSE()),"Operations")</f>
        <v>Operations</v>
      </c>
      <c r="N164" s="6"/>
      <c r="O164" s="6"/>
    </row>
    <row r="165" spans="1:15" ht="15" customHeight="1" x14ac:dyDescent="0.25">
      <c r="A165" s="100"/>
      <c r="B165" s="101"/>
      <c r="C165" s="101"/>
      <c r="D165" s="100">
        <f>IF(OR(B165="",C165=""),"",IF(DATEDIF(C165,B165,"y")&gt;=1,DATEDIF(C165,B165,"y")&amp;IF(DATEDIF(C165,B165,"y")=1," year "," years ")&amp;DATEDIF(C165,B165,"ym")&amp;IF(DATEDIF(C165,B165,"ym")=1," month"," months"),IF(DATEDIF(C165,B165,"m")&gt;=1,DATEDIF(C165,B165,"m")&amp;IF(DATEDIF(C165,B165,"m")=1," month"," months"),DATEDIF(C165,B165,"d")&amp;IF(DATEDIF(C165,B165,"d")=1," day"," days"))))</f>
      </c>
      <c r="E165" s="100"/>
      <c r="F165" s="100"/>
      <c r="G165" s="100"/>
      <c r="H165" s="100"/>
      <c r="I165" s="100"/>
      <c r="J165" s="101"/>
      <c r="K165" s="100"/>
      <c r="L165" s="100"/>
      <c r="M165" s="102" t="str">
        <f>IFERROR(VLOOKUP(G165,Reference!$I$2:$J$175,2,FALSE()),"Operations")</f>
        <v>Operations</v>
      </c>
      <c r="N165" s="6"/>
      <c r="O165" s="6"/>
    </row>
    <row r="166" spans="1:15" ht="15" customHeight="1" x14ac:dyDescent="0.25">
      <c r="A166" s="103"/>
      <c r="B166" s="104"/>
      <c r="C166" s="104"/>
      <c r="D166" s="103">
        <f>IF(OR(B166="",C166=""),"",IF(DATEDIF(C166,B166,"y")&gt;=1,DATEDIF(C166,B166,"y")&amp;IF(DATEDIF(C166,B166,"y")=1," year "," years ")&amp;DATEDIF(C166,B166,"ym")&amp;IF(DATEDIF(C166,B166,"ym")=1," month"," months"),IF(DATEDIF(C166,B166,"m")&gt;=1,DATEDIF(C166,B166,"m")&amp;IF(DATEDIF(C166,B166,"m")=1," month"," months"),DATEDIF(C166,B166,"d")&amp;IF(DATEDIF(C166,B166,"d")=1," day"," days"))))</f>
      </c>
      <c r="E166" s="103"/>
      <c r="F166" s="103"/>
      <c r="G166" s="103"/>
      <c r="H166" s="103"/>
      <c r="I166" s="103"/>
      <c r="J166" s="104"/>
      <c r="K166" s="103"/>
      <c r="L166" s="103"/>
      <c r="M166" s="105" t="str">
        <f>IFERROR(VLOOKUP(G166,Reference!$I$2:$J$175,2,FALSE()),"Operations")</f>
        <v>Operations</v>
      </c>
      <c r="N166" s="6"/>
      <c r="O166" s="6"/>
    </row>
    <row r="167" spans="1:15" ht="15" customHeight="1" x14ac:dyDescent="0.25">
      <c r="A167" s="100"/>
      <c r="B167" s="101"/>
      <c r="C167" s="101"/>
      <c r="D167" s="100">
        <f>IF(OR(B167="",C167=""),"",IF(DATEDIF(C167,B167,"y")&gt;=1,DATEDIF(C167,B167,"y")&amp;IF(DATEDIF(C167,B167,"y")=1," year "," years ")&amp;DATEDIF(C167,B167,"ym")&amp;IF(DATEDIF(C167,B167,"ym")=1," month"," months"),IF(DATEDIF(C167,B167,"m")&gt;=1,DATEDIF(C167,B167,"m")&amp;IF(DATEDIF(C167,B167,"m")=1," month"," months"),DATEDIF(C167,B167,"d")&amp;IF(DATEDIF(C167,B167,"d")=1," day"," days"))))</f>
      </c>
      <c r="E167" s="100"/>
      <c r="F167" s="100"/>
      <c r="G167" s="100"/>
      <c r="H167" s="100"/>
      <c r="I167" s="100"/>
      <c r="J167" s="101"/>
      <c r="K167" s="100"/>
      <c r="L167" s="100"/>
      <c r="M167" s="102" t="str">
        <f>IFERROR(VLOOKUP(G167,Reference!$I$2:$J$175,2,FALSE()),"Operations")</f>
        <v>Operations</v>
      </c>
      <c r="N167" s="6"/>
      <c r="O167" s="6"/>
    </row>
    <row r="168" spans="1:15" ht="15" customHeight="1" x14ac:dyDescent="0.25">
      <c r="A168" s="103"/>
      <c r="B168" s="104"/>
      <c r="C168" s="104"/>
      <c r="D168" s="103">
        <f>IF(OR(B168="",C168=""),"",IF(DATEDIF(C168,B168,"y")&gt;=1,DATEDIF(C168,B168,"y")&amp;IF(DATEDIF(C168,B168,"y")=1," year "," years ")&amp;DATEDIF(C168,B168,"ym")&amp;IF(DATEDIF(C168,B168,"ym")=1," month"," months"),IF(DATEDIF(C168,B168,"m")&gt;=1,DATEDIF(C168,B168,"m")&amp;IF(DATEDIF(C168,B168,"m")=1," month"," months"),DATEDIF(C168,B168,"d")&amp;IF(DATEDIF(C168,B168,"d")=1," day"," days"))))</f>
      </c>
      <c r="E168" s="103"/>
      <c r="F168" s="103"/>
      <c r="G168" s="103"/>
      <c r="H168" s="103"/>
      <c r="I168" s="103"/>
      <c r="J168" s="104"/>
      <c r="K168" s="103"/>
      <c r="L168" s="103"/>
      <c r="M168" s="105" t="str">
        <f>IFERROR(VLOOKUP(G168,Reference!$I$2:$J$175,2,FALSE()),"Operations")</f>
        <v>Operations</v>
      </c>
      <c r="N168" s="6"/>
      <c r="O168" s="6"/>
    </row>
    <row r="169" spans="1:15" ht="15" customHeight="1" x14ac:dyDescent="0.25">
      <c r="A169" s="100"/>
      <c r="B169" s="101"/>
      <c r="C169" s="101"/>
      <c r="D169" s="100">
        <f>IF(OR(B169="",C169=""),"",IF(DATEDIF(C169,B169,"y")&gt;=1,DATEDIF(C169,B169,"y")&amp;IF(DATEDIF(C169,B169,"y")=1," year "," years ")&amp;DATEDIF(C169,B169,"ym")&amp;IF(DATEDIF(C169,B169,"ym")=1," month"," months"),IF(DATEDIF(C169,B169,"m")&gt;=1,DATEDIF(C169,B169,"m")&amp;IF(DATEDIF(C169,B169,"m")=1," month"," months"),DATEDIF(C169,B169,"d")&amp;IF(DATEDIF(C169,B169,"d")=1," day"," days"))))</f>
      </c>
      <c r="E169" s="100"/>
      <c r="F169" s="100"/>
      <c r="G169" s="100"/>
      <c r="H169" s="100"/>
      <c r="I169" s="100"/>
      <c r="J169" s="101"/>
      <c r="K169" s="100"/>
      <c r="L169" s="100"/>
      <c r="M169" s="102" t="str">
        <f>IFERROR(VLOOKUP(G169,Reference!$I$2:$J$175,2,FALSE()),"Operations")</f>
        <v>Operations</v>
      </c>
      <c r="N169" s="6"/>
      <c r="O169" s="6"/>
    </row>
    <row r="170" spans="1:15" ht="15" customHeight="1" x14ac:dyDescent="0.25">
      <c r="A170" s="103"/>
      <c r="B170" s="104"/>
      <c r="C170" s="104"/>
      <c r="D170" s="103">
        <f>IF(OR(B170="",C170=""),"",IF(DATEDIF(C170,B170,"y")&gt;=1,DATEDIF(C170,B170,"y")&amp;IF(DATEDIF(C170,B170,"y")=1," year "," years ")&amp;DATEDIF(C170,B170,"ym")&amp;IF(DATEDIF(C170,B170,"ym")=1," month"," months"),IF(DATEDIF(C170,B170,"m")&gt;=1,DATEDIF(C170,B170,"m")&amp;IF(DATEDIF(C170,B170,"m")=1," month"," months"),DATEDIF(C170,B170,"d")&amp;IF(DATEDIF(C170,B170,"d")=1," day"," days"))))</f>
      </c>
      <c r="E170" s="103"/>
      <c r="F170" s="103"/>
      <c r="G170" s="103"/>
      <c r="H170" s="103"/>
      <c r="I170" s="103"/>
      <c r="J170" s="104"/>
      <c r="K170" s="103"/>
      <c r="L170" s="103"/>
      <c r="M170" s="105" t="str">
        <f>IFERROR(VLOOKUP(G170,Reference!$I$2:$J$175,2,FALSE()),"Operations")</f>
        <v>Operations</v>
      </c>
      <c r="N170" s="6"/>
      <c r="O170" s="6"/>
    </row>
    <row r="171" spans="1:15" ht="15" customHeight="1" x14ac:dyDescent="0.25">
      <c r="A171" s="100"/>
      <c r="B171" s="101"/>
      <c r="C171" s="101"/>
      <c r="D171" s="100">
        <f>IF(OR(B171="",C171=""),"",IF(DATEDIF(C171,B171,"y")&gt;=1,DATEDIF(C171,B171,"y")&amp;IF(DATEDIF(C171,B171,"y")=1," year "," years ")&amp;DATEDIF(C171,B171,"ym")&amp;IF(DATEDIF(C171,B171,"ym")=1," month"," months"),IF(DATEDIF(C171,B171,"m")&gt;=1,DATEDIF(C171,B171,"m")&amp;IF(DATEDIF(C171,B171,"m")=1," month"," months"),DATEDIF(C171,B171,"d")&amp;IF(DATEDIF(C171,B171,"d")=1," day"," days"))))</f>
      </c>
      <c r="E171" s="100"/>
      <c r="F171" s="100"/>
      <c r="G171" s="100"/>
      <c r="H171" s="100"/>
      <c r="I171" s="100"/>
      <c r="J171" s="101"/>
      <c r="K171" s="100"/>
      <c r="L171" s="100"/>
      <c r="M171" s="102" t="str">
        <f>IFERROR(VLOOKUP(G171,Reference!$I$2:$J$175,2,FALSE()),"Operations")</f>
        <v>Operations</v>
      </c>
      <c r="N171" s="6"/>
      <c r="O171" s="6"/>
    </row>
    <row r="172" spans="1:15" ht="15" customHeight="1" x14ac:dyDescent="0.25">
      <c r="A172" s="103"/>
      <c r="B172" s="104"/>
      <c r="C172" s="104"/>
      <c r="D172" s="103">
        <f>IF(OR(B172="",C172=""),"",IF(DATEDIF(C172,B172,"y")&gt;=1,DATEDIF(C172,B172,"y")&amp;IF(DATEDIF(C172,B172,"y")=1," year "," years ")&amp;DATEDIF(C172,B172,"ym")&amp;IF(DATEDIF(C172,B172,"ym")=1," month"," months"),IF(DATEDIF(C172,B172,"m")&gt;=1,DATEDIF(C172,B172,"m")&amp;IF(DATEDIF(C172,B172,"m")=1," month"," months"),DATEDIF(C172,B172,"d")&amp;IF(DATEDIF(C172,B172,"d")=1," day"," days"))))</f>
      </c>
      <c r="E172" s="103"/>
      <c r="F172" s="103"/>
      <c r="G172" s="103"/>
      <c r="H172" s="103"/>
      <c r="I172" s="103"/>
      <c r="J172" s="104"/>
      <c r="K172" s="103"/>
      <c r="L172" s="103"/>
      <c r="M172" s="105" t="str">
        <f>IFERROR(VLOOKUP(G172,Reference!$I$2:$J$175,2,FALSE()),"Operations")</f>
        <v>Operations</v>
      </c>
      <c r="N172" s="6"/>
      <c r="O172" s="6"/>
    </row>
    <row r="173" spans="1:15" ht="15" customHeight="1" x14ac:dyDescent="0.25">
      <c r="A173" s="100"/>
      <c r="B173" s="101"/>
      <c r="C173" s="101"/>
      <c r="D173" s="100">
        <f>IF(OR(B173="",C173=""),"",IF(DATEDIF(C173,B173,"y")&gt;=1,DATEDIF(C173,B173,"y")&amp;IF(DATEDIF(C173,B173,"y")=1," year "," years ")&amp;DATEDIF(C173,B173,"ym")&amp;IF(DATEDIF(C173,B173,"ym")=1," month"," months"),IF(DATEDIF(C173,B173,"m")&gt;=1,DATEDIF(C173,B173,"m")&amp;IF(DATEDIF(C173,B173,"m")=1," month"," months"),DATEDIF(C173,B173,"d")&amp;IF(DATEDIF(C173,B173,"d")=1," day"," days"))))</f>
      </c>
      <c r="E173" s="100"/>
      <c r="F173" s="100"/>
      <c r="G173" s="100"/>
      <c r="H173" s="100"/>
      <c r="I173" s="100"/>
      <c r="J173" s="101"/>
      <c r="K173" s="100"/>
      <c r="L173" s="100"/>
      <c r="M173" s="102" t="str">
        <f>IFERROR(VLOOKUP(G173,Reference!$I$2:$J$175,2,FALSE()),"Operations")</f>
        <v>Operations</v>
      </c>
      <c r="N173" s="6"/>
      <c r="O173" s="6"/>
    </row>
    <row r="174" spans="1:15" ht="15" customHeight="1" x14ac:dyDescent="0.25">
      <c r="A174" s="103"/>
      <c r="B174" s="104"/>
      <c r="C174" s="104"/>
      <c r="D174" s="103">
        <f>IF(OR(B174="",C174=""),"",IF(DATEDIF(C174,B174,"y")&gt;=1,DATEDIF(C174,B174,"y")&amp;IF(DATEDIF(C174,B174,"y")=1," year "," years ")&amp;DATEDIF(C174,B174,"ym")&amp;IF(DATEDIF(C174,B174,"ym")=1," month"," months"),IF(DATEDIF(C174,B174,"m")&gt;=1,DATEDIF(C174,B174,"m")&amp;IF(DATEDIF(C174,B174,"m")=1," month"," months"),DATEDIF(C174,B174,"d")&amp;IF(DATEDIF(C174,B174,"d")=1," day"," days"))))</f>
      </c>
      <c r="E174" s="103"/>
      <c r="F174" s="103"/>
      <c r="G174" s="103"/>
      <c r="H174" s="103"/>
      <c r="I174" s="103"/>
      <c r="J174" s="104"/>
      <c r="K174" s="103"/>
      <c r="L174" s="103"/>
      <c r="M174" s="105" t="str">
        <f>IFERROR(VLOOKUP(G174,Reference!$I$2:$J$175,2,FALSE()),"Operations")</f>
        <v>Operations</v>
      </c>
      <c r="N174" s="6"/>
      <c r="O174" s="6"/>
    </row>
    <row r="175" spans="1:15" ht="15" customHeight="1" x14ac:dyDescent="0.25">
      <c r="A175" s="100"/>
      <c r="B175" s="101"/>
      <c r="C175" s="101"/>
      <c r="D175" s="100">
        <f>IF(OR(B175="",C175=""),"",IF(DATEDIF(C175,B175,"y")&gt;=1,DATEDIF(C175,B175,"y")&amp;IF(DATEDIF(C175,B175,"y")=1," year "," years ")&amp;DATEDIF(C175,B175,"ym")&amp;IF(DATEDIF(C175,B175,"ym")=1," month"," months"),IF(DATEDIF(C175,B175,"m")&gt;=1,DATEDIF(C175,B175,"m")&amp;IF(DATEDIF(C175,B175,"m")=1," month"," months"),DATEDIF(C175,B175,"d")&amp;IF(DATEDIF(C175,B175,"d")=1," day"," days"))))</f>
      </c>
      <c r="E175" s="100"/>
      <c r="F175" s="100"/>
      <c r="G175" s="100"/>
      <c r="H175" s="100"/>
      <c r="I175" s="100"/>
      <c r="J175" s="101"/>
      <c r="K175" s="100"/>
      <c r="L175" s="100"/>
      <c r="M175" s="102" t="str">
        <f>IFERROR(VLOOKUP(G175,Reference!$I$2:$J$175,2,FALSE()),"Operations")</f>
        <v>Operations</v>
      </c>
      <c r="N175" s="6"/>
      <c r="O175" s="6"/>
    </row>
    <row r="176" spans="1:15" ht="15" customHeight="1" x14ac:dyDescent="0.25">
      <c r="A176" s="103"/>
      <c r="B176" s="104"/>
      <c r="C176" s="104"/>
      <c r="D176" s="103">
        <f>IF(OR(B176="",C176=""),"",IF(DATEDIF(C176,B176,"y")&gt;=1,DATEDIF(C176,B176,"y")&amp;IF(DATEDIF(C176,B176,"y")=1," year "," years ")&amp;DATEDIF(C176,B176,"ym")&amp;IF(DATEDIF(C176,B176,"ym")=1," month"," months"),IF(DATEDIF(C176,B176,"m")&gt;=1,DATEDIF(C176,B176,"m")&amp;IF(DATEDIF(C176,B176,"m")=1," month"," months"),DATEDIF(C176,B176,"d")&amp;IF(DATEDIF(C176,B176,"d")=1," day"," days"))))</f>
      </c>
      <c r="E176" s="103"/>
      <c r="F176" s="103"/>
      <c r="G176" s="103"/>
      <c r="H176" s="103"/>
      <c r="I176" s="103"/>
      <c r="J176" s="104"/>
      <c r="K176" s="103"/>
      <c r="L176" s="103"/>
      <c r="M176" s="105" t="str">
        <f>IFERROR(VLOOKUP(G176,Reference!$I$2:$J$175,2,FALSE()),"Operations")</f>
        <v>Operations</v>
      </c>
      <c r="N176" s="6"/>
      <c r="O176" s="6"/>
    </row>
    <row r="177" spans="1:15" ht="15" customHeight="1" x14ac:dyDescent="0.25">
      <c r="A177" s="100"/>
      <c r="B177" s="101"/>
      <c r="C177" s="101"/>
      <c r="D177" s="100">
        <f>IF(OR(B177="",C177=""),"",IF(DATEDIF(C177,B177,"y")&gt;=1,DATEDIF(C177,B177,"y")&amp;IF(DATEDIF(C177,B177,"y")=1," year "," years ")&amp;DATEDIF(C177,B177,"ym")&amp;IF(DATEDIF(C177,B177,"ym")=1," month"," months"),IF(DATEDIF(C177,B177,"m")&gt;=1,DATEDIF(C177,B177,"m")&amp;IF(DATEDIF(C177,B177,"m")=1," month"," months"),DATEDIF(C177,B177,"d")&amp;IF(DATEDIF(C177,B177,"d")=1," day"," days"))))</f>
      </c>
      <c r="E177" s="100"/>
      <c r="F177" s="100"/>
      <c r="G177" s="100"/>
      <c r="H177" s="100"/>
      <c r="I177" s="100"/>
      <c r="J177" s="101"/>
      <c r="K177" s="100"/>
      <c r="L177" s="100"/>
      <c r="M177" s="102" t="str">
        <f>IFERROR(VLOOKUP(G177,Reference!$I$2:$J$175,2,FALSE()),"Operations")</f>
        <v>Operations</v>
      </c>
      <c r="N177" s="6"/>
      <c r="O177" s="6"/>
    </row>
    <row r="178" spans="1:15" ht="15" customHeight="1" x14ac:dyDescent="0.25">
      <c r="A178" s="103"/>
      <c r="B178" s="104"/>
      <c r="C178" s="104"/>
      <c r="D178" s="103">
        <f>IF(OR(B178="",C178=""),"",IF(DATEDIF(C178,B178,"y")&gt;=1,DATEDIF(C178,B178,"y")&amp;IF(DATEDIF(C178,B178,"y")=1," year "," years ")&amp;DATEDIF(C178,B178,"ym")&amp;IF(DATEDIF(C178,B178,"ym")=1," month"," months"),IF(DATEDIF(C178,B178,"m")&gt;=1,DATEDIF(C178,B178,"m")&amp;IF(DATEDIF(C178,B178,"m")=1," month"," months"),DATEDIF(C178,B178,"d")&amp;IF(DATEDIF(C178,B178,"d")=1," day"," days"))))</f>
      </c>
      <c r="E178" s="103"/>
      <c r="F178" s="103"/>
      <c r="G178" s="103"/>
      <c r="H178" s="103"/>
      <c r="I178" s="103"/>
      <c r="J178" s="104"/>
      <c r="K178" s="103"/>
      <c r="L178" s="103"/>
      <c r="M178" s="105" t="str">
        <f>IFERROR(VLOOKUP(G178,Reference!$I$2:$J$175,2,FALSE()),"Operations")</f>
        <v>Operations</v>
      </c>
      <c r="N178" s="6"/>
      <c r="O178" s="6"/>
    </row>
    <row r="179" spans="1:15" ht="15" customHeight="1" x14ac:dyDescent="0.25">
      <c r="A179" s="100"/>
      <c r="B179" s="101"/>
      <c r="C179" s="101"/>
      <c r="D179" s="100">
        <f>IF(OR(B179="",C179=""),"",IF(DATEDIF(C179,B179,"y")&gt;=1,DATEDIF(C179,B179,"y")&amp;IF(DATEDIF(C179,B179,"y")=1," year "," years ")&amp;DATEDIF(C179,B179,"ym")&amp;IF(DATEDIF(C179,B179,"ym")=1," month"," months"),IF(DATEDIF(C179,B179,"m")&gt;=1,DATEDIF(C179,B179,"m")&amp;IF(DATEDIF(C179,B179,"m")=1," month"," months"),DATEDIF(C179,B179,"d")&amp;IF(DATEDIF(C179,B179,"d")=1," day"," days"))))</f>
      </c>
      <c r="E179" s="100"/>
      <c r="F179" s="100"/>
      <c r="G179" s="100"/>
      <c r="H179" s="100"/>
      <c r="I179" s="100"/>
      <c r="J179" s="101"/>
      <c r="K179" s="100"/>
      <c r="L179" s="100"/>
      <c r="M179" s="102" t="str">
        <f>IFERROR(VLOOKUP(G179,Reference!$I$2:$J$175,2,FALSE()),"Operations")</f>
        <v>Operations</v>
      </c>
      <c r="N179" s="6"/>
      <c r="O179" s="6"/>
    </row>
    <row r="180" spans="1:15" ht="15" customHeight="1" x14ac:dyDescent="0.25">
      <c r="A180" s="103"/>
      <c r="B180" s="104"/>
      <c r="C180" s="104"/>
      <c r="D180" s="103">
        <f>IF(OR(B180="",C180=""),"",IF(DATEDIF(C180,B180,"y")&gt;=1,DATEDIF(C180,B180,"y")&amp;IF(DATEDIF(C180,B180,"y")=1," year "," years ")&amp;DATEDIF(C180,B180,"ym")&amp;IF(DATEDIF(C180,B180,"ym")=1," month"," months"),IF(DATEDIF(C180,B180,"m")&gt;=1,DATEDIF(C180,B180,"m")&amp;IF(DATEDIF(C180,B180,"m")=1," month"," months"),DATEDIF(C180,B180,"d")&amp;IF(DATEDIF(C180,B180,"d")=1," day"," days"))))</f>
      </c>
      <c r="E180" s="103"/>
      <c r="F180" s="103"/>
      <c r="G180" s="103"/>
      <c r="H180" s="103"/>
      <c r="I180" s="103"/>
      <c r="J180" s="104"/>
      <c r="K180" s="103"/>
      <c r="L180" s="103"/>
      <c r="M180" s="105" t="str">
        <f>IFERROR(VLOOKUP(G180,Reference!$I$2:$J$175,2,FALSE()),"Operations")</f>
        <v>Operations</v>
      </c>
      <c r="N180" s="6"/>
      <c r="O180" s="6"/>
    </row>
    <row r="181" spans="1:15" ht="15" customHeight="1" x14ac:dyDescent="0.25">
      <c r="A181" s="100"/>
      <c r="B181" s="101"/>
      <c r="C181" s="101"/>
      <c r="D181" s="100">
        <f>IF(OR(B181="",C181=""),"",IF(DATEDIF(C181,B181,"y")&gt;=1,DATEDIF(C181,B181,"y")&amp;IF(DATEDIF(C181,B181,"y")=1," year "," years ")&amp;DATEDIF(C181,B181,"ym")&amp;IF(DATEDIF(C181,B181,"ym")=1," month"," months"),IF(DATEDIF(C181,B181,"m")&gt;=1,DATEDIF(C181,B181,"m")&amp;IF(DATEDIF(C181,B181,"m")=1," month"," months"),DATEDIF(C181,B181,"d")&amp;IF(DATEDIF(C181,B181,"d")=1," day"," days"))))</f>
      </c>
      <c r="E181" s="100"/>
      <c r="F181" s="100"/>
      <c r="G181" s="100"/>
      <c r="H181" s="100"/>
      <c r="I181" s="100"/>
      <c r="J181" s="101"/>
      <c r="K181" s="100"/>
      <c r="L181" s="100"/>
      <c r="M181" s="102" t="str">
        <f>IFERROR(VLOOKUP(G181,Reference!$I$2:$J$175,2,FALSE()),"Operations")</f>
        <v>Operations</v>
      </c>
      <c r="N181" s="6"/>
      <c r="O181" s="6"/>
    </row>
    <row r="182" spans="1:15" ht="15" customHeight="1" x14ac:dyDescent="0.25">
      <c r="A182" s="103"/>
      <c r="B182" s="104"/>
      <c r="C182" s="104"/>
      <c r="D182" s="103">
        <f>IF(OR(B182="",C182=""),"",IF(DATEDIF(C182,B182,"y")&gt;=1,DATEDIF(C182,B182,"y")&amp;IF(DATEDIF(C182,B182,"y")=1," year "," years ")&amp;DATEDIF(C182,B182,"ym")&amp;IF(DATEDIF(C182,B182,"ym")=1," month"," months"),IF(DATEDIF(C182,B182,"m")&gt;=1,DATEDIF(C182,B182,"m")&amp;IF(DATEDIF(C182,B182,"m")=1," month"," months"),DATEDIF(C182,B182,"d")&amp;IF(DATEDIF(C182,B182,"d")=1," day"," days"))))</f>
      </c>
      <c r="E182" s="103"/>
      <c r="F182" s="103"/>
      <c r="G182" s="103"/>
      <c r="H182" s="103"/>
      <c r="I182" s="103"/>
      <c r="J182" s="104"/>
      <c r="K182" s="103"/>
      <c r="L182" s="103"/>
      <c r="M182" s="105" t="str">
        <f>IFERROR(VLOOKUP(G182,Reference!$I$2:$J$175,2,FALSE()),"Operations")</f>
        <v>Operations</v>
      </c>
      <c r="N182" s="6"/>
      <c r="O182" s="6"/>
    </row>
    <row r="183" spans="1:15" ht="15" customHeight="1" x14ac:dyDescent="0.25">
      <c r="A183" s="100"/>
      <c r="B183" s="101"/>
      <c r="C183" s="101"/>
      <c r="D183" s="100">
        <f>IF(OR(B183="",C183=""),"",IF(DATEDIF(C183,B183,"y")&gt;=1,DATEDIF(C183,B183,"y")&amp;IF(DATEDIF(C183,B183,"y")=1," year "," years ")&amp;DATEDIF(C183,B183,"ym")&amp;IF(DATEDIF(C183,B183,"ym")=1," month"," months"),IF(DATEDIF(C183,B183,"m")&gt;=1,DATEDIF(C183,B183,"m")&amp;IF(DATEDIF(C183,B183,"m")=1," month"," months"),DATEDIF(C183,B183,"d")&amp;IF(DATEDIF(C183,B183,"d")=1," day"," days"))))</f>
      </c>
      <c r="E183" s="100"/>
      <c r="F183" s="100"/>
      <c r="G183" s="100"/>
      <c r="H183" s="100"/>
      <c r="I183" s="100"/>
      <c r="J183" s="101"/>
      <c r="K183" s="100"/>
      <c r="L183" s="100"/>
      <c r="M183" s="102" t="str">
        <f>IFERROR(VLOOKUP(G183,Reference!$I$2:$J$175,2,FALSE()),"Operations")</f>
        <v>Operations</v>
      </c>
      <c r="N183" s="6"/>
      <c r="O183" s="6"/>
    </row>
    <row r="184" spans="1:15" ht="15" customHeight="1" x14ac:dyDescent="0.25">
      <c r="A184" s="103"/>
      <c r="B184" s="104"/>
      <c r="C184" s="104"/>
      <c r="D184" s="103">
        <f>IF(OR(B184="",C184=""),"",IF(DATEDIF(C184,B184,"y")&gt;=1,DATEDIF(C184,B184,"y")&amp;IF(DATEDIF(C184,B184,"y")=1," year "," years ")&amp;DATEDIF(C184,B184,"ym")&amp;IF(DATEDIF(C184,B184,"ym")=1," month"," months"),IF(DATEDIF(C184,B184,"m")&gt;=1,DATEDIF(C184,B184,"m")&amp;IF(DATEDIF(C184,B184,"m")=1," month"," months"),DATEDIF(C184,B184,"d")&amp;IF(DATEDIF(C184,B184,"d")=1," day"," days"))))</f>
      </c>
      <c r="E184" s="103"/>
      <c r="F184" s="103"/>
      <c r="G184" s="103"/>
      <c r="H184" s="103"/>
      <c r="I184" s="103"/>
      <c r="J184" s="104"/>
      <c r="K184" s="103"/>
      <c r="L184" s="103"/>
      <c r="M184" s="105" t="str">
        <f>IFERROR(VLOOKUP(G184,Reference!$I$2:$J$175,2,FALSE()),"Operations")</f>
        <v>Operations</v>
      </c>
      <c r="N184" s="6"/>
      <c r="O184" s="6"/>
    </row>
    <row r="185" spans="1:15" ht="15" customHeight="1" x14ac:dyDescent="0.25">
      <c r="A185" s="100"/>
      <c r="B185" s="101"/>
      <c r="C185" s="101"/>
      <c r="D185" s="100">
        <f>IF(OR(B185="",C185=""),"",IF(DATEDIF(C185,B185,"y")&gt;=1,DATEDIF(C185,B185,"y")&amp;IF(DATEDIF(C185,B185,"y")=1," year "," years ")&amp;DATEDIF(C185,B185,"ym")&amp;IF(DATEDIF(C185,B185,"ym")=1," month"," months"),IF(DATEDIF(C185,B185,"m")&gt;=1,DATEDIF(C185,B185,"m")&amp;IF(DATEDIF(C185,B185,"m")=1," month"," months"),DATEDIF(C185,B185,"d")&amp;IF(DATEDIF(C185,B185,"d")=1," day"," days"))))</f>
      </c>
      <c r="E185" s="100"/>
      <c r="F185" s="100"/>
      <c r="G185" s="100"/>
      <c r="H185" s="100"/>
      <c r="I185" s="100"/>
      <c r="J185" s="101"/>
      <c r="K185" s="100"/>
      <c r="L185" s="100"/>
      <c r="M185" s="102" t="str">
        <f>IFERROR(VLOOKUP(G185,Reference!$I$2:$J$175,2,FALSE()),"Operations")</f>
        <v>Operations</v>
      </c>
      <c r="N185" s="6"/>
      <c r="O185" s="6"/>
    </row>
    <row r="186" spans="1:15" ht="15" customHeight="1" x14ac:dyDescent="0.25">
      <c r="A186" s="103"/>
      <c r="B186" s="104"/>
      <c r="C186" s="104"/>
      <c r="D186" s="103">
        <f>IF(OR(B186="",C186=""),"",IF(DATEDIF(C186,B186,"y")&gt;=1,DATEDIF(C186,B186,"y")&amp;IF(DATEDIF(C186,B186,"y")=1," year "," years ")&amp;DATEDIF(C186,B186,"ym")&amp;IF(DATEDIF(C186,B186,"ym")=1," month"," months"),IF(DATEDIF(C186,B186,"m")&gt;=1,DATEDIF(C186,B186,"m")&amp;IF(DATEDIF(C186,B186,"m")=1," month"," months"),DATEDIF(C186,B186,"d")&amp;IF(DATEDIF(C186,B186,"d")=1," day"," days"))))</f>
      </c>
      <c r="E186" s="103"/>
      <c r="F186" s="103"/>
      <c r="G186" s="103"/>
      <c r="H186" s="103"/>
      <c r="I186" s="103"/>
      <c r="J186" s="104"/>
      <c r="K186" s="103"/>
      <c r="L186" s="103"/>
      <c r="M186" s="105" t="str">
        <f>IFERROR(VLOOKUP(G186,Reference!$I$2:$J$175,2,FALSE()),"Operations")</f>
        <v>Operations</v>
      </c>
      <c r="N186" s="6"/>
      <c r="O186" s="6"/>
    </row>
    <row r="187" spans="1:15" ht="15" customHeight="1" x14ac:dyDescent="0.25">
      <c r="A187" s="106" t="s">
        <v>163</v>
      </c>
      <c r="B187" s="107">
        <f>COUNTA(A157:A186)</f>
        <v>0</v>
      </c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6"/>
      <c r="O187" s="6"/>
    </row>
    <row r="188" spans="1:15" ht="6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ht="21.75" customHeight="1" x14ac:dyDescent="0.25">
      <c r="A189" s="163" t="s">
        <v>270</v>
      </c>
      <c r="B189" s="163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6"/>
      <c r="O189" s="6"/>
    </row>
    <row r="190" spans="1:15" ht="19.5" customHeight="1" x14ac:dyDescent="0.25">
      <c r="A190" s="64" t="s">
        <v>151</v>
      </c>
      <c r="B190" s="64" t="s">
        <v>152</v>
      </c>
      <c r="C190" s="64" t="s">
        <v>153</v>
      </c>
      <c r="D190" s="64" t="s">
        <v>154</v>
      </c>
      <c r="E190" s="64" t="s">
        <v>155</v>
      </c>
      <c r="F190" s="64" t="s">
        <v>156</v>
      </c>
      <c r="G190" s="64" t="s">
        <v>157</v>
      </c>
      <c r="H190" s="64" t="s">
        <v>158</v>
      </c>
      <c r="I190" s="64" t="s">
        <v>159</v>
      </c>
      <c r="J190" s="64" t="s">
        <v>160</v>
      </c>
      <c r="K190" s="64" t="s">
        <v>134</v>
      </c>
      <c r="L190" s="64" t="s">
        <v>161</v>
      </c>
      <c r="M190" s="64" t="s">
        <v>162</v>
      </c>
      <c r="N190" s="6"/>
      <c r="O190" s="6"/>
    </row>
    <row r="191" spans="1:15" ht="15" customHeight="1" x14ac:dyDescent="0.25">
      <c r="A191" s="100"/>
      <c r="B191" s="101"/>
      <c r="C191" s="101"/>
      <c r="D191" s="100">
        <f>IF(OR(B191="",C191=""),"",IF(DATEDIF(C191,B191,"y")&gt;=1,DATEDIF(C191,B191,"y")&amp;IF(DATEDIF(C191,B191,"y")=1," year "," years ")&amp;DATEDIF(C191,B191,"ym")&amp;IF(DATEDIF(C191,B191,"ym")=1," month"," months"),IF(DATEDIF(C191,B191,"m")&gt;=1,DATEDIF(C191,B191,"m")&amp;IF(DATEDIF(C191,B191,"m")=1," month"," months"),DATEDIF(C191,B191,"d")&amp;IF(DATEDIF(C191,B191,"d")=1," day"," days"))))</f>
      </c>
      <c r="E191" s="100"/>
      <c r="F191" s="100"/>
      <c r="G191" s="100"/>
      <c r="H191" s="100"/>
      <c r="I191" s="100"/>
      <c r="J191" s="101"/>
      <c r="K191" s="100"/>
      <c r="L191" s="100"/>
      <c r="M191" s="102" t="str">
        <f>IFERROR(VLOOKUP(G191,Reference!$I$2:$J$175,2,FALSE()),"Operations")</f>
        <v>Operations</v>
      </c>
      <c r="N191" s="6"/>
      <c r="O191" s="6"/>
    </row>
    <row r="192" spans="1:15" ht="15" customHeight="1" x14ac:dyDescent="0.25">
      <c r="A192" s="103"/>
      <c r="B192" s="104"/>
      <c r="C192" s="104"/>
      <c r="D192" s="103">
        <f>IF(OR(B192="",C192=""),"",IF(DATEDIF(C192,B192,"y")&gt;=1,DATEDIF(C192,B192,"y")&amp;IF(DATEDIF(C192,B192,"y")=1," year "," years ")&amp;DATEDIF(C192,B192,"ym")&amp;IF(DATEDIF(C192,B192,"ym")=1," month"," months"),IF(DATEDIF(C192,B192,"m")&gt;=1,DATEDIF(C192,B192,"m")&amp;IF(DATEDIF(C192,B192,"m")=1," month"," months"),DATEDIF(C192,B192,"d")&amp;IF(DATEDIF(C192,B192,"d")=1," day"," days"))))</f>
      </c>
      <c r="E192" s="103"/>
      <c r="F192" s="103"/>
      <c r="G192" s="103"/>
      <c r="H192" s="103"/>
      <c r="I192" s="103"/>
      <c r="J192" s="104"/>
      <c r="K192" s="103"/>
      <c r="L192" s="103"/>
      <c r="M192" s="105" t="str">
        <f>IFERROR(VLOOKUP(G192,Reference!$I$2:$J$175,2,FALSE()),"Operations")</f>
        <v>Operations</v>
      </c>
      <c r="N192" s="6"/>
      <c r="O192" s="6"/>
    </row>
    <row r="193" spans="1:15" ht="15" customHeight="1" x14ac:dyDescent="0.25">
      <c r="A193" s="100"/>
      <c r="B193" s="101"/>
      <c r="C193" s="101"/>
      <c r="D193" s="100">
        <f>IF(OR(B193="",C193=""),"",IF(DATEDIF(C193,B193,"y")&gt;=1,DATEDIF(C193,B193,"y")&amp;IF(DATEDIF(C193,B193,"y")=1," year "," years ")&amp;DATEDIF(C193,B193,"ym")&amp;IF(DATEDIF(C193,B193,"ym")=1," month"," months"),IF(DATEDIF(C193,B193,"m")&gt;=1,DATEDIF(C193,B193,"m")&amp;IF(DATEDIF(C193,B193,"m")=1," month"," months"),DATEDIF(C193,B193,"d")&amp;IF(DATEDIF(C193,B193,"d")=1," day"," days"))))</f>
      </c>
      <c r="E193" s="100"/>
      <c r="F193" s="100"/>
      <c r="G193" s="100"/>
      <c r="H193" s="100"/>
      <c r="I193" s="100"/>
      <c r="J193" s="101"/>
      <c r="K193" s="100"/>
      <c r="L193" s="100"/>
      <c r="M193" s="102" t="str">
        <f>IFERROR(VLOOKUP(G193,Reference!$I$2:$J$175,2,FALSE()),"Operations")</f>
        <v>Operations</v>
      </c>
      <c r="N193" s="6"/>
      <c r="O193" s="6"/>
    </row>
    <row r="194" spans="1:15" ht="15" customHeight="1" x14ac:dyDescent="0.25">
      <c r="A194" s="103"/>
      <c r="B194" s="104"/>
      <c r="C194" s="104"/>
      <c r="D194" s="103">
        <f>IF(OR(B194="",C194=""),"",IF(DATEDIF(C194,B194,"y")&gt;=1,DATEDIF(C194,B194,"y")&amp;IF(DATEDIF(C194,B194,"y")=1," year "," years ")&amp;DATEDIF(C194,B194,"ym")&amp;IF(DATEDIF(C194,B194,"ym")=1," month"," months"),IF(DATEDIF(C194,B194,"m")&gt;=1,DATEDIF(C194,B194,"m")&amp;IF(DATEDIF(C194,B194,"m")=1," month"," months"),DATEDIF(C194,B194,"d")&amp;IF(DATEDIF(C194,B194,"d")=1," day"," days"))))</f>
      </c>
      <c r="E194" s="103"/>
      <c r="F194" s="103"/>
      <c r="G194" s="103"/>
      <c r="H194" s="103"/>
      <c r="I194" s="103"/>
      <c r="J194" s="104"/>
      <c r="K194" s="103"/>
      <c r="L194" s="103"/>
      <c r="M194" s="105" t="str">
        <f>IFERROR(VLOOKUP(G194,Reference!$I$2:$J$175,2,FALSE()),"Operations")</f>
        <v>Operations</v>
      </c>
      <c r="N194" s="6"/>
      <c r="O194" s="6"/>
    </row>
    <row r="195" spans="1:15" ht="15" customHeight="1" x14ac:dyDescent="0.25">
      <c r="A195" s="100"/>
      <c r="B195" s="101"/>
      <c r="C195" s="101"/>
      <c r="D195" s="100">
        <f>IF(OR(B195="",C195=""),"",IF(DATEDIF(C195,B195,"y")&gt;=1,DATEDIF(C195,B195,"y")&amp;IF(DATEDIF(C195,B195,"y")=1," year "," years ")&amp;DATEDIF(C195,B195,"ym")&amp;IF(DATEDIF(C195,B195,"ym")=1," month"," months"),IF(DATEDIF(C195,B195,"m")&gt;=1,DATEDIF(C195,B195,"m")&amp;IF(DATEDIF(C195,B195,"m")=1," month"," months"),DATEDIF(C195,B195,"d")&amp;IF(DATEDIF(C195,B195,"d")=1," day"," days"))))</f>
      </c>
      <c r="E195" s="100"/>
      <c r="F195" s="100"/>
      <c r="G195" s="100"/>
      <c r="H195" s="100"/>
      <c r="I195" s="100"/>
      <c r="J195" s="101"/>
      <c r="K195" s="100"/>
      <c r="L195" s="100"/>
      <c r="M195" s="102" t="str">
        <f>IFERROR(VLOOKUP(G195,Reference!$I$2:$J$175,2,FALSE()),"Operations")</f>
        <v>Operations</v>
      </c>
      <c r="N195" s="6"/>
      <c r="O195" s="6"/>
    </row>
    <row r="196" spans="1:15" ht="15" customHeight="1" x14ac:dyDescent="0.25">
      <c r="A196" s="103"/>
      <c r="B196" s="104"/>
      <c r="C196" s="104"/>
      <c r="D196" s="103">
        <f>IF(OR(B196="",C196=""),"",IF(DATEDIF(C196,B196,"y")&gt;=1,DATEDIF(C196,B196,"y")&amp;IF(DATEDIF(C196,B196,"y")=1," year "," years ")&amp;DATEDIF(C196,B196,"ym")&amp;IF(DATEDIF(C196,B196,"ym")=1," month"," months"),IF(DATEDIF(C196,B196,"m")&gt;=1,DATEDIF(C196,B196,"m")&amp;IF(DATEDIF(C196,B196,"m")=1," month"," months"),DATEDIF(C196,B196,"d")&amp;IF(DATEDIF(C196,B196,"d")=1," day"," days"))))</f>
      </c>
      <c r="E196" s="103"/>
      <c r="F196" s="103"/>
      <c r="G196" s="103"/>
      <c r="H196" s="103"/>
      <c r="I196" s="103"/>
      <c r="J196" s="104"/>
      <c r="K196" s="103"/>
      <c r="L196" s="103"/>
      <c r="M196" s="105" t="str">
        <f>IFERROR(VLOOKUP(G196,Reference!$I$2:$J$175,2,FALSE()),"Operations")</f>
        <v>Operations</v>
      </c>
      <c r="N196" s="6"/>
      <c r="O196" s="6"/>
    </row>
    <row r="197" spans="1:15" ht="15" customHeight="1" x14ac:dyDescent="0.25">
      <c r="A197" s="100"/>
      <c r="B197" s="101"/>
      <c r="C197" s="101"/>
      <c r="D197" s="100">
        <f>IF(OR(B197="",C197=""),"",IF(DATEDIF(C197,B197,"y")&gt;=1,DATEDIF(C197,B197,"y")&amp;IF(DATEDIF(C197,B197,"y")=1," year "," years ")&amp;DATEDIF(C197,B197,"ym")&amp;IF(DATEDIF(C197,B197,"ym")=1," month"," months"),IF(DATEDIF(C197,B197,"m")&gt;=1,DATEDIF(C197,B197,"m")&amp;IF(DATEDIF(C197,B197,"m")=1," month"," months"),DATEDIF(C197,B197,"d")&amp;IF(DATEDIF(C197,B197,"d")=1," day"," days"))))</f>
      </c>
      <c r="E197" s="100"/>
      <c r="F197" s="100"/>
      <c r="G197" s="100"/>
      <c r="H197" s="100"/>
      <c r="I197" s="100"/>
      <c r="J197" s="101"/>
      <c r="K197" s="100"/>
      <c r="L197" s="100"/>
      <c r="M197" s="102" t="str">
        <f>IFERROR(VLOOKUP(G197,Reference!$I$2:$J$175,2,FALSE()),"Operations")</f>
        <v>Operations</v>
      </c>
      <c r="N197" s="6"/>
      <c r="O197" s="6"/>
    </row>
    <row r="198" spans="1:15" ht="15" customHeight="1" x14ac:dyDescent="0.25">
      <c r="A198" s="103"/>
      <c r="B198" s="104"/>
      <c r="C198" s="104"/>
      <c r="D198" s="103">
        <f>IF(OR(B198="",C198=""),"",IF(DATEDIF(C198,B198,"y")&gt;=1,DATEDIF(C198,B198,"y")&amp;IF(DATEDIF(C198,B198,"y")=1," year "," years ")&amp;DATEDIF(C198,B198,"ym")&amp;IF(DATEDIF(C198,B198,"ym")=1," month"," months"),IF(DATEDIF(C198,B198,"m")&gt;=1,DATEDIF(C198,B198,"m")&amp;IF(DATEDIF(C198,B198,"m")=1," month"," months"),DATEDIF(C198,B198,"d")&amp;IF(DATEDIF(C198,B198,"d")=1," day"," days"))))</f>
      </c>
      <c r="E198" s="103"/>
      <c r="F198" s="103"/>
      <c r="G198" s="103"/>
      <c r="H198" s="103"/>
      <c r="I198" s="103"/>
      <c r="J198" s="104"/>
      <c r="K198" s="103"/>
      <c r="L198" s="103"/>
      <c r="M198" s="105" t="str">
        <f>IFERROR(VLOOKUP(G198,Reference!$I$2:$J$175,2,FALSE()),"Operations")</f>
        <v>Operations</v>
      </c>
      <c r="N198" s="6"/>
      <c r="O198" s="6"/>
    </row>
    <row r="199" spans="1:15" ht="15" customHeight="1" x14ac:dyDescent="0.25">
      <c r="A199" s="100"/>
      <c r="B199" s="101"/>
      <c r="C199" s="101"/>
      <c r="D199" s="100">
        <f>IF(OR(B199="",C199=""),"",IF(DATEDIF(C199,B199,"y")&gt;=1,DATEDIF(C199,B199,"y")&amp;IF(DATEDIF(C199,B199,"y")=1," year "," years ")&amp;DATEDIF(C199,B199,"ym")&amp;IF(DATEDIF(C199,B199,"ym")=1," month"," months"),IF(DATEDIF(C199,B199,"m")&gt;=1,DATEDIF(C199,B199,"m")&amp;IF(DATEDIF(C199,B199,"m")=1," month"," months"),DATEDIF(C199,B199,"d")&amp;IF(DATEDIF(C199,B199,"d")=1," day"," days"))))</f>
      </c>
      <c r="E199" s="100"/>
      <c r="F199" s="100"/>
      <c r="G199" s="100"/>
      <c r="H199" s="100"/>
      <c r="I199" s="100"/>
      <c r="J199" s="101"/>
      <c r="K199" s="100"/>
      <c r="L199" s="100"/>
      <c r="M199" s="102" t="str">
        <f>IFERROR(VLOOKUP(G199,Reference!$I$2:$J$175,2,FALSE()),"Operations")</f>
        <v>Operations</v>
      </c>
      <c r="N199" s="6"/>
      <c r="O199" s="6"/>
    </row>
    <row r="200" spans="1:15" ht="15" customHeight="1" x14ac:dyDescent="0.25">
      <c r="A200" s="103"/>
      <c r="B200" s="104"/>
      <c r="C200" s="104"/>
      <c r="D200" s="103">
        <f>IF(OR(B200="",C200=""),"",IF(DATEDIF(C200,B200,"y")&gt;=1,DATEDIF(C200,B200,"y")&amp;IF(DATEDIF(C200,B200,"y")=1," year "," years ")&amp;DATEDIF(C200,B200,"ym")&amp;IF(DATEDIF(C200,B200,"ym")=1," month"," months"),IF(DATEDIF(C200,B200,"m")&gt;=1,DATEDIF(C200,B200,"m")&amp;IF(DATEDIF(C200,B200,"m")=1," month"," months"),DATEDIF(C200,B200,"d")&amp;IF(DATEDIF(C200,B200,"d")=1," day"," days"))))</f>
      </c>
      <c r="E200" s="103"/>
      <c r="F200" s="103"/>
      <c r="G200" s="103"/>
      <c r="H200" s="103"/>
      <c r="I200" s="103"/>
      <c r="J200" s="104"/>
      <c r="K200" s="103"/>
      <c r="L200" s="103"/>
      <c r="M200" s="105" t="str">
        <f>IFERROR(VLOOKUP(G200,Reference!$I$2:$J$175,2,FALSE()),"Operations")</f>
        <v>Operations</v>
      </c>
      <c r="N200" s="6"/>
      <c r="O200" s="6"/>
    </row>
    <row r="201" spans="1:15" ht="15" customHeight="1" x14ac:dyDescent="0.25">
      <c r="A201" s="100"/>
      <c r="B201" s="101"/>
      <c r="C201" s="101"/>
      <c r="D201" s="100">
        <f>IF(OR(B201="",C201=""),"",IF(DATEDIF(C201,B201,"y")&gt;=1,DATEDIF(C201,B201,"y")&amp;IF(DATEDIF(C201,B201,"y")=1," year "," years ")&amp;DATEDIF(C201,B201,"ym")&amp;IF(DATEDIF(C201,B201,"ym")=1," month"," months"),IF(DATEDIF(C201,B201,"m")&gt;=1,DATEDIF(C201,B201,"m")&amp;IF(DATEDIF(C201,B201,"m")=1," month"," months"),DATEDIF(C201,B201,"d")&amp;IF(DATEDIF(C201,B201,"d")=1," day"," days"))))</f>
      </c>
      <c r="E201" s="100"/>
      <c r="F201" s="100"/>
      <c r="G201" s="100"/>
      <c r="H201" s="100"/>
      <c r="I201" s="100"/>
      <c r="J201" s="101"/>
      <c r="K201" s="100"/>
      <c r="L201" s="100"/>
      <c r="M201" s="102" t="str">
        <f>IFERROR(VLOOKUP(G201,Reference!$I$2:$J$175,2,FALSE()),"Operations")</f>
        <v>Operations</v>
      </c>
      <c r="N201" s="6"/>
      <c r="O201" s="6"/>
    </row>
    <row r="202" spans="1:15" ht="15" customHeight="1" x14ac:dyDescent="0.25">
      <c r="A202" s="103"/>
      <c r="B202" s="104"/>
      <c r="C202" s="104"/>
      <c r="D202" s="103">
        <f>IF(OR(B202="",C202=""),"",IF(DATEDIF(C202,B202,"y")&gt;=1,DATEDIF(C202,B202,"y")&amp;IF(DATEDIF(C202,B202,"y")=1," year "," years ")&amp;DATEDIF(C202,B202,"ym")&amp;IF(DATEDIF(C202,B202,"ym")=1," month"," months"),IF(DATEDIF(C202,B202,"m")&gt;=1,DATEDIF(C202,B202,"m")&amp;IF(DATEDIF(C202,B202,"m")=1," month"," months"),DATEDIF(C202,B202,"d")&amp;IF(DATEDIF(C202,B202,"d")=1," day"," days"))))</f>
      </c>
      <c r="E202" s="103"/>
      <c r="F202" s="103"/>
      <c r="G202" s="103"/>
      <c r="H202" s="103"/>
      <c r="I202" s="103"/>
      <c r="J202" s="104"/>
      <c r="K202" s="103"/>
      <c r="L202" s="103"/>
      <c r="M202" s="105" t="str">
        <f>IFERROR(VLOOKUP(G202,Reference!$I$2:$J$175,2,FALSE()),"Operations")</f>
        <v>Operations</v>
      </c>
      <c r="N202" s="6"/>
      <c r="O202" s="6"/>
    </row>
    <row r="203" spans="1:15" ht="15" customHeight="1" x14ac:dyDescent="0.25">
      <c r="A203" s="100"/>
      <c r="B203" s="101"/>
      <c r="C203" s="101"/>
      <c r="D203" s="100">
        <f>IF(OR(B203="",C203=""),"",IF(DATEDIF(C203,B203,"y")&gt;=1,DATEDIF(C203,B203,"y")&amp;IF(DATEDIF(C203,B203,"y")=1," year "," years ")&amp;DATEDIF(C203,B203,"ym")&amp;IF(DATEDIF(C203,B203,"ym")=1," month"," months"),IF(DATEDIF(C203,B203,"m")&gt;=1,DATEDIF(C203,B203,"m")&amp;IF(DATEDIF(C203,B203,"m")=1," month"," months"),DATEDIF(C203,B203,"d")&amp;IF(DATEDIF(C203,B203,"d")=1," day"," days"))))</f>
      </c>
      <c r="E203" s="100"/>
      <c r="F203" s="100"/>
      <c r="G203" s="100"/>
      <c r="H203" s="100"/>
      <c r="I203" s="100"/>
      <c r="J203" s="101"/>
      <c r="K203" s="100"/>
      <c r="L203" s="100"/>
      <c r="M203" s="102" t="str">
        <f>IFERROR(VLOOKUP(G203,Reference!$I$2:$J$175,2,FALSE()),"Operations")</f>
        <v>Operations</v>
      </c>
      <c r="N203" s="6"/>
      <c r="O203" s="6"/>
    </row>
    <row r="204" spans="1:15" ht="15" customHeight="1" x14ac:dyDescent="0.25">
      <c r="A204" s="103"/>
      <c r="B204" s="104"/>
      <c r="C204" s="104"/>
      <c r="D204" s="103">
        <f>IF(OR(B204="",C204=""),"",IF(DATEDIF(C204,B204,"y")&gt;=1,DATEDIF(C204,B204,"y")&amp;IF(DATEDIF(C204,B204,"y")=1," year "," years ")&amp;DATEDIF(C204,B204,"ym")&amp;IF(DATEDIF(C204,B204,"ym")=1," month"," months"),IF(DATEDIF(C204,B204,"m")&gt;=1,DATEDIF(C204,B204,"m")&amp;IF(DATEDIF(C204,B204,"m")=1," month"," months"),DATEDIF(C204,B204,"d")&amp;IF(DATEDIF(C204,B204,"d")=1," day"," days"))))</f>
      </c>
      <c r="E204" s="103"/>
      <c r="F204" s="103"/>
      <c r="G204" s="103"/>
      <c r="H204" s="103"/>
      <c r="I204" s="103"/>
      <c r="J204" s="104"/>
      <c r="K204" s="103"/>
      <c r="L204" s="103"/>
      <c r="M204" s="105" t="str">
        <f>IFERROR(VLOOKUP(G204,Reference!$I$2:$J$175,2,FALSE()),"Operations")</f>
        <v>Operations</v>
      </c>
      <c r="N204" s="6"/>
      <c r="O204" s="6"/>
    </row>
    <row r="205" spans="1:15" ht="15" customHeight="1" x14ac:dyDescent="0.25">
      <c r="A205" s="100"/>
      <c r="B205" s="101"/>
      <c r="C205" s="101"/>
      <c r="D205" s="100">
        <f>IF(OR(B205="",C205=""),"",IF(DATEDIF(C205,B205,"y")&gt;=1,DATEDIF(C205,B205,"y")&amp;IF(DATEDIF(C205,B205,"y")=1," year "," years ")&amp;DATEDIF(C205,B205,"ym")&amp;IF(DATEDIF(C205,B205,"ym")=1," month"," months"),IF(DATEDIF(C205,B205,"m")&gt;=1,DATEDIF(C205,B205,"m")&amp;IF(DATEDIF(C205,B205,"m")=1," month"," months"),DATEDIF(C205,B205,"d")&amp;IF(DATEDIF(C205,B205,"d")=1," day"," days"))))</f>
      </c>
      <c r="E205" s="100"/>
      <c r="F205" s="100"/>
      <c r="G205" s="100"/>
      <c r="H205" s="100"/>
      <c r="I205" s="100"/>
      <c r="J205" s="101"/>
      <c r="K205" s="100"/>
      <c r="L205" s="100"/>
      <c r="M205" s="102" t="str">
        <f>IFERROR(VLOOKUP(G205,Reference!$I$2:$J$175,2,FALSE()),"Operations")</f>
        <v>Operations</v>
      </c>
      <c r="N205" s="6"/>
      <c r="O205" s="6"/>
    </row>
    <row r="206" spans="1:15" ht="15" customHeight="1" x14ac:dyDescent="0.25">
      <c r="A206" s="103"/>
      <c r="B206" s="104"/>
      <c r="C206" s="104"/>
      <c r="D206" s="103">
        <f>IF(OR(B206="",C206=""),"",IF(DATEDIF(C206,B206,"y")&gt;=1,DATEDIF(C206,B206,"y")&amp;IF(DATEDIF(C206,B206,"y")=1," year "," years ")&amp;DATEDIF(C206,B206,"ym")&amp;IF(DATEDIF(C206,B206,"ym")=1," month"," months"),IF(DATEDIF(C206,B206,"m")&gt;=1,DATEDIF(C206,B206,"m")&amp;IF(DATEDIF(C206,B206,"m")=1," month"," months"),DATEDIF(C206,B206,"d")&amp;IF(DATEDIF(C206,B206,"d")=1," day"," days"))))</f>
      </c>
      <c r="E206" s="103"/>
      <c r="F206" s="103"/>
      <c r="G206" s="103"/>
      <c r="H206" s="103"/>
      <c r="I206" s="103"/>
      <c r="J206" s="104"/>
      <c r="K206" s="103"/>
      <c r="L206" s="103"/>
      <c r="M206" s="105" t="str">
        <f>IFERROR(VLOOKUP(G206,Reference!$I$2:$J$175,2,FALSE()),"Operations")</f>
        <v>Operations</v>
      </c>
      <c r="N206" s="6"/>
      <c r="O206" s="6"/>
    </row>
    <row r="207" spans="1:15" ht="15" customHeight="1" x14ac:dyDescent="0.25">
      <c r="A207" s="100"/>
      <c r="B207" s="101"/>
      <c r="C207" s="101"/>
      <c r="D207" s="100">
        <f>IF(OR(B207="",C207=""),"",IF(DATEDIF(C207,B207,"y")&gt;=1,DATEDIF(C207,B207,"y")&amp;IF(DATEDIF(C207,B207,"y")=1," year "," years ")&amp;DATEDIF(C207,B207,"ym")&amp;IF(DATEDIF(C207,B207,"ym")=1," month"," months"),IF(DATEDIF(C207,B207,"m")&gt;=1,DATEDIF(C207,B207,"m")&amp;IF(DATEDIF(C207,B207,"m")=1," month"," months"),DATEDIF(C207,B207,"d")&amp;IF(DATEDIF(C207,B207,"d")=1," day"," days"))))</f>
      </c>
      <c r="E207" s="100"/>
      <c r="F207" s="100"/>
      <c r="G207" s="100"/>
      <c r="H207" s="100"/>
      <c r="I207" s="100"/>
      <c r="J207" s="101"/>
      <c r="K207" s="100"/>
      <c r="L207" s="100"/>
      <c r="M207" s="102" t="str">
        <f>IFERROR(VLOOKUP(G207,Reference!$I$2:$J$175,2,FALSE()),"Operations")</f>
        <v>Operations</v>
      </c>
      <c r="N207" s="6"/>
      <c r="O207" s="6"/>
    </row>
    <row r="208" spans="1:15" ht="15" customHeight="1" x14ac:dyDescent="0.25">
      <c r="A208" s="103"/>
      <c r="B208" s="104"/>
      <c r="C208" s="104"/>
      <c r="D208" s="103">
        <f>IF(OR(B208="",C208=""),"",IF(DATEDIF(C208,B208,"y")&gt;=1,DATEDIF(C208,B208,"y")&amp;IF(DATEDIF(C208,B208,"y")=1," year "," years ")&amp;DATEDIF(C208,B208,"ym")&amp;IF(DATEDIF(C208,B208,"ym")=1," month"," months"),IF(DATEDIF(C208,B208,"m")&gt;=1,DATEDIF(C208,B208,"m")&amp;IF(DATEDIF(C208,B208,"m")=1," month"," months"),DATEDIF(C208,B208,"d")&amp;IF(DATEDIF(C208,B208,"d")=1," day"," days"))))</f>
      </c>
      <c r="E208" s="103"/>
      <c r="F208" s="103"/>
      <c r="G208" s="103"/>
      <c r="H208" s="103"/>
      <c r="I208" s="103"/>
      <c r="J208" s="104"/>
      <c r="K208" s="103"/>
      <c r="L208" s="103"/>
      <c r="M208" s="105" t="str">
        <f>IFERROR(VLOOKUP(G208,Reference!$I$2:$J$175,2,FALSE()),"Operations")</f>
        <v>Operations</v>
      </c>
      <c r="N208" s="6"/>
      <c r="O208" s="6"/>
    </row>
    <row r="209" spans="1:15" ht="15" customHeight="1" x14ac:dyDescent="0.25">
      <c r="A209" s="100"/>
      <c r="B209" s="101"/>
      <c r="C209" s="101"/>
      <c r="D209" s="100">
        <f>IF(OR(B209="",C209=""),"",IF(DATEDIF(C209,B209,"y")&gt;=1,DATEDIF(C209,B209,"y")&amp;IF(DATEDIF(C209,B209,"y")=1," year "," years ")&amp;DATEDIF(C209,B209,"ym")&amp;IF(DATEDIF(C209,B209,"ym")=1," month"," months"),IF(DATEDIF(C209,B209,"m")&gt;=1,DATEDIF(C209,B209,"m")&amp;IF(DATEDIF(C209,B209,"m")=1," month"," months"),DATEDIF(C209,B209,"d")&amp;IF(DATEDIF(C209,B209,"d")=1," day"," days"))))</f>
      </c>
      <c r="E209" s="100"/>
      <c r="F209" s="100"/>
      <c r="G209" s="100"/>
      <c r="H209" s="100"/>
      <c r="I209" s="100"/>
      <c r="J209" s="101"/>
      <c r="K209" s="100"/>
      <c r="L209" s="100"/>
      <c r="M209" s="102" t="str">
        <f>IFERROR(VLOOKUP(G209,Reference!$I$2:$J$175,2,FALSE()),"Operations")</f>
        <v>Operations</v>
      </c>
      <c r="N209" s="6"/>
      <c r="O209" s="6"/>
    </row>
    <row r="210" spans="1:15" ht="15" customHeight="1" x14ac:dyDescent="0.25">
      <c r="A210" s="103"/>
      <c r="B210" s="104"/>
      <c r="C210" s="104"/>
      <c r="D210" s="103">
        <f>IF(OR(B210="",C210=""),"",IF(DATEDIF(C210,B210,"y")&gt;=1,DATEDIF(C210,B210,"y")&amp;IF(DATEDIF(C210,B210,"y")=1," year "," years ")&amp;DATEDIF(C210,B210,"ym")&amp;IF(DATEDIF(C210,B210,"ym")=1," month"," months"),IF(DATEDIF(C210,B210,"m")&gt;=1,DATEDIF(C210,B210,"m")&amp;IF(DATEDIF(C210,B210,"m")=1," month"," months"),DATEDIF(C210,B210,"d")&amp;IF(DATEDIF(C210,B210,"d")=1," day"," days"))))</f>
      </c>
      <c r="E210" s="103"/>
      <c r="F210" s="103"/>
      <c r="G210" s="103"/>
      <c r="H210" s="103"/>
      <c r="I210" s="103"/>
      <c r="J210" s="104"/>
      <c r="K210" s="103"/>
      <c r="L210" s="103"/>
      <c r="M210" s="105" t="str">
        <f>IFERROR(VLOOKUP(G210,Reference!$I$2:$J$175,2,FALSE()),"Operations")</f>
        <v>Operations</v>
      </c>
      <c r="N210" s="6"/>
      <c r="O210" s="6"/>
    </row>
    <row r="211" spans="1:15" ht="15" customHeight="1" x14ac:dyDescent="0.25">
      <c r="A211" s="100"/>
      <c r="B211" s="101"/>
      <c r="C211" s="101"/>
      <c r="D211" s="100">
        <f>IF(OR(B211="",C211=""),"",IF(DATEDIF(C211,B211,"y")&gt;=1,DATEDIF(C211,B211,"y")&amp;IF(DATEDIF(C211,B211,"y")=1," year "," years ")&amp;DATEDIF(C211,B211,"ym")&amp;IF(DATEDIF(C211,B211,"ym")=1," month"," months"),IF(DATEDIF(C211,B211,"m")&gt;=1,DATEDIF(C211,B211,"m")&amp;IF(DATEDIF(C211,B211,"m")=1," month"," months"),DATEDIF(C211,B211,"d")&amp;IF(DATEDIF(C211,B211,"d")=1," day"," days"))))</f>
      </c>
      <c r="E211" s="100"/>
      <c r="F211" s="100"/>
      <c r="G211" s="100"/>
      <c r="H211" s="100"/>
      <c r="I211" s="100"/>
      <c r="J211" s="101"/>
      <c r="K211" s="100"/>
      <c r="L211" s="100"/>
      <c r="M211" s="102" t="str">
        <f>IFERROR(VLOOKUP(G211,Reference!$I$2:$J$175,2,FALSE()),"Operations")</f>
        <v>Operations</v>
      </c>
      <c r="N211" s="6"/>
      <c r="O211" s="6"/>
    </row>
    <row r="212" spans="1:15" ht="15" customHeight="1" x14ac:dyDescent="0.25">
      <c r="A212" s="103"/>
      <c r="B212" s="104"/>
      <c r="C212" s="104"/>
      <c r="D212" s="103">
        <f>IF(OR(B212="",C212=""),"",IF(DATEDIF(C212,B212,"y")&gt;=1,DATEDIF(C212,B212,"y")&amp;IF(DATEDIF(C212,B212,"y")=1," year "," years ")&amp;DATEDIF(C212,B212,"ym")&amp;IF(DATEDIF(C212,B212,"ym")=1," month"," months"),IF(DATEDIF(C212,B212,"m")&gt;=1,DATEDIF(C212,B212,"m")&amp;IF(DATEDIF(C212,B212,"m")=1," month"," months"),DATEDIF(C212,B212,"d")&amp;IF(DATEDIF(C212,B212,"d")=1," day"," days"))))</f>
      </c>
      <c r="E212" s="103"/>
      <c r="F212" s="103"/>
      <c r="G212" s="103"/>
      <c r="H212" s="103"/>
      <c r="I212" s="103"/>
      <c r="J212" s="104"/>
      <c r="K212" s="103"/>
      <c r="L212" s="103"/>
      <c r="M212" s="105" t="str">
        <f>IFERROR(VLOOKUP(G212,Reference!$I$2:$J$175,2,FALSE()),"Operations")</f>
        <v>Operations</v>
      </c>
      <c r="N212" s="6"/>
      <c r="O212" s="6"/>
    </row>
    <row r="213" spans="1:15" ht="15" customHeight="1" x14ac:dyDescent="0.25">
      <c r="A213" s="100"/>
      <c r="B213" s="101"/>
      <c r="C213" s="101"/>
      <c r="D213" s="100">
        <f>IF(OR(B213="",C213=""),"",IF(DATEDIF(C213,B213,"y")&gt;=1,DATEDIF(C213,B213,"y")&amp;IF(DATEDIF(C213,B213,"y")=1," year "," years ")&amp;DATEDIF(C213,B213,"ym")&amp;IF(DATEDIF(C213,B213,"ym")=1," month"," months"),IF(DATEDIF(C213,B213,"m")&gt;=1,DATEDIF(C213,B213,"m")&amp;IF(DATEDIF(C213,B213,"m")=1," month"," months"),DATEDIF(C213,B213,"d")&amp;IF(DATEDIF(C213,B213,"d")=1," day"," days"))))</f>
      </c>
      <c r="E213" s="100"/>
      <c r="F213" s="100"/>
      <c r="G213" s="100"/>
      <c r="H213" s="100"/>
      <c r="I213" s="100"/>
      <c r="J213" s="101"/>
      <c r="K213" s="100"/>
      <c r="L213" s="100"/>
      <c r="M213" s="102" t="str">
        <f>IFERROR(VLOOKUP(G213,Reference!$I$2:$J$175,2,FALSE()),"Operations")</f>
        <v>Operations</v>
      </c>
      <c r="N213" s="6"/>
      <c r="O213" s="6"/>
    </row>
    <row r="214" spans="1:15" ht="15" customHeight="1" x14ac:dyDescent="0.25">
      <c r="A214" s="103"/>
      <c r="B214" s="104"/>
      <c r="C214" s="104"/>
      <c r="D214" s="103">
        <f>IF(OR(B214="",C214=""),"",IF(DATEDIF(C214,B214,"y")&gt;=1,DATEDIF(C214,B214,"y")&amp;IF(DATEDIF(C214,B214,"y")=1," year "," years ")&amp;DATEDIF(C214,B214,"ym")&amp;IF(DATEDIF(C214,B214,"ym")=1," month"," months"),IF(DATEDIF(C214,B214,"m")&gt;=1,DATEDIF(C214,B214,"m")&amp;IF(DATEDIF(C214,B214,"m")=1," month"," months"),DATEDIF(C214,B214,"d")&amp;IF(DATEDIF(C214,B214,"d")=1," day"," days"))))</f>
      </c>
      <c r="E214" s="103"/>
      <c r="F214" s="103"/>
      <c r="G214" s="103"/>
      <c r="H214" s="103"/>
      <c r="I214" s="103"/>
      <c r="J214" s="104"/>
      <c r="K214" s="103"/>
      <c r="L214" s="103"/>
      <c r="M214" s="105" t="str">
        <f>IFERROR(VLOOKUP(G214,Reference!$I$2:$J$175,2,FALSE()),"Operations")</f>
        <v>Operations</v>
      </c>
      <c r="N214" s="6"/>
      <c r="O214" s="6"/>
    </row>
    <row r="215" spans="1:15" ht="15" customHeight="1" x14ac:dyDescent="0.25">
      <c r="A215" s="100"/>
      <c r="B215" s="101"/>
      <c r="C215" s="101"/>
      <c r="D215" s="100">
        <f>IF(OR(B215="",C215=""),"",IF(DATEDIF(C215,B215,"y")&gt;=1,DATEDIF(C215,B215,"y")&amp;IF(DATEDIF(C215,B215,"y")=1," year "," years ")&amp;DATEDIF(C215,B215,"ym")&amp;IF(DATEDIF(C215,B215,"ym")=1," month"," months"),IF(DATEDIF(C215,B215,"m")&gt;=1,DATEDIF(C215,B215,"m")&amp;IF(DATEDIF(C215,B215,"m")=1," month"," months"),DATEDIF(C215,B215,"d")&amp;IF(DATEDIF(C215,B215,"d")=1," day"," days"))))</f>
      </c>
      <c r="E215" s="100"/>
      <c r="F215" s="100"/>
      <c r="G215" s="100"/>
      <c r="H215" s="100"/>
      <c r="I215" s="100"/>
      <c r="J215" s="101"/>
      <c r="K215" s="100"/>
      <c r="L215" s="100"/>
      <c r="M215" s="102" t="str">
        <f>IFERROR(VLOOKUP(G215,Reference!$I$2:$J$175,2,FALSE()),"Operations")</f>
        <v>Operations</v>
      </c>
      <c r="N215" s="6"/>
      <c r="O215" s="6"/>
    </row>
    <row r="216" spans="1:15" ht="15" customHeight="1" x14ac:dyDescent="0.25">
      <c r="A216" s="103"/>
      <c r="B216" s="104"/>
      <c r="C216" s="104"/>
      <c r="D216" s="103">
        <f>IF(OR(B216="",C216=""),"",IF(DATEDIF(C216,B216,"y")&gt;=1,DATEDIF(C216,B216,"y")&amp;IF(DATEDIF(C216,B216,"y")=1," year "," years ")&amp;DATEDIF(C216,B216,"ym")&amp;IF(DATEDIF(C216,B216,"ym")=1," month"," months"),IF(DATEDIF(C216,B216,"m")&gt;=1,DATEDIF(C216,B216,"m")&amp;IF(DATEDIF(C216,B216,"m")=1," month"," months"),DATEDIF(C216,B216,"d")&amp;IF(DATEDIF(C216,B216,"d")=1," day"," days"))))</f>
      </c>
      <c r="E216" s="103"/>
      <c r="F216" s="103"/>
      <c r="G216" s="103"/>
      <c r="H216" s="103"/>
      <c r="I216" s="103"/>
      <c r="J216" s="104"/>
      <c r="K216" s="103"/>
      <c r="L216" s="103"/>
      <c r="M216" s="105" t="str">
        <f>IFERROR(VLOOKUP(G216,Reference!$I$2:$J$175,2,FALSE()),"Operations")</f>
        <v>Operations</v>
      </c>
      <c r="N216" s="6"/>
      <c r="O216" s="6"/>
    </row>
    <row r="217" spans="1:15" ht="15" customHeight="1" x14ac:dyDescent="0.25">
      <c r="A217" s="100"/>
      <c r="B217" s="101"/>
      <c r="C217" s="101"/>
      <c r="D217" s="100">
        <f>IF(OR(B217="",C217=""),"",IF(DATEDIF(C217,B217,"y")&gt;=1,DATEDIF(C217,B217,"y")&amp;IF(DATEDIF(C217,B217,"y")=1," year "," years ")&amp;DATEDIF(C217,B217,"ym")&amp;IF(DATEDIF(C217,B217,"ym")=1," month"," months"),IF(DATEDIF(C217,B217,"m")&gt;=1,DATEDIF(C217,B217,"m")&amp;IF(DATEDIF(C217,B217,"m")=1," month"," months"),DATEDIF(C217,B217,"d")&amp;IF(DATEDIF(C217,B217,"d")=1," day"," days"))))</f>
      </c>
      <c r="E217" s="100"/>
      <c r="F217" s="100"/>
      <c r="G217" s="100"/>
      <c r="H217" s="100"/>
      <c r="I217" s="100"/>
      <c r="J217" s="101"/>
      <c r="K217" s="100"/>
      <c r="L217" s="100"/>
      <c r="M217" s="102" t="str">
        <f>IFERROR(VLOOKUP(G217,Reference!$I$2:$J$175,2,FALSE()),"Operations")</f>
        <v>Operations</v>
      </c>
      <c r="N217" s="6"/>
      <c r="O217" s="6"/>
    </row>
    <row r="218" spans="1:15" ht="15" customHeight="1" x14ac:dyDescent="0.25">
      <c r="A218" s="103"/>
      <c r="B218" s="104"/>
      <c r="C218" s="104"/>
      <c r="D218" s="103">
        <f>IF(OR(B218="",C218=""),"",IF(DATEDIF(C218,B218,"y")&gt;=1,DATEDIF(C218,B218,"y")&amp;IF(DATEDIF(C218,B218,"y")=1," year "," years ")&amp;DATEDIF(C218,B218,"ym")&amp;IF(DATEDIF(C218,B218,"ym")=1," month"," months"),IF(DATEDIF(C218,B218,"m")&gt;=1,DATEDIF(C218,B218,"m")&amp;IF(DATEDIF(C218,B218,"m")=1," month"," months"),DATEDIF(C218,B218,"d")&amp;IF(DATEDIF(C218,B218,"d")=1," day"," days"))))</f>
      </c>
      <c r="E218" s="103"/>
      <c r="F218" s="103"/>
      <c r="G218" s="103"/>
      <c r="H218" s="103"/>
      <c r="I218" s="103"/>
      <c r="J218" s="104"/>
      <c r="K218" s="103"/>
      <c r="L218" s="103"/>
      <c r="M218" s="105" t="str">
        <f>IFERROR(VLOOKUP(G218,Reference!$I$2:$J$175,2,FALSE()),"Operations")</f>
        <v>Operations</v>
      </c>
      <c r="N218" s="6"/>
      <c r="O218" s="6"/>
    </row>
    <row r="219" spans="1:15" ht="15" customHeight="1" x14ac:dyDescent="0.25">
      <c r="A219" s="100"/>
      <c r="B219" s="101"/>
      <c r="C219" s="101"/>
      <c r="D219" s="100">
        <f>IF(OR(B219="",C219=""),"",IF(DATEDIF(C219,B219,"y")&gt;=1,DATEDIF(C219,B219,"y")&amp;IF(DATEDIF(C219,B219,"y")=1," year "," years ")&amp;DATEDIF(C219,B219,"ym")&amp;IF(DATEDIF(C219,B219,"ym")=1," month"," months"),IF(DATEDIF(C219,B219,"m")&gt;=1,DATEDIF(C219,B219,"m")&amp;IF(DATEDIF(C219,B219,"m")=1," month"," months"),DATEDIF(C219,B219,"d")&amp;IF(DATEDIF(C219,B219,"d")=1," day"," days"))))</f>
      </c>
      <c r="E219" s="100"/>
      <c r="F219" s="100"/>
      <c r="G219" s="100"/>
      <c r="H219" s="100"/>
      <c r="I219" s="100"/>
      <c r="J219" s="101"/>
      <c r="K219" s="100"/>
      <c r="L219" s="100"/>
      <c r="M219" s="102" t="str">
        <f>IFERROR(VLOOKUP(G219,Reference!$I$2:$J$175,2,FALSE()),"Operations")</f>
        <v>Operations</v>
      </c>
      <c r="N219" s="6"/>
      <c r="O219" s="6"/>
    </row>
    <row r="220" spans="1:15" ht="15" customHeight="1" x14ac:dyDescent="0.25">
      <c r="A220" s="103"/>
      <c r="B220" s="104"/>
      <c r="C220" s="104"/>
      <c r="D220" s="103">
        <f>IF(OR(B220="",C220=""),"",IF(DATEDIF(C220,B220,"y")&gt;=1,DATEDIF(C220,B220,"y")&amp;IF(DATEDIF(C220,B220,"y")=1," year "," years ")&amp;DATEDIF(C220,B220,"ym")&amp;IF(DATEDIF(C220,B220,"ym")=1," month"," months"),IF(DATEDIF(C220,B220,"m")&gt;=1,DATEDIF(C220,B220,"m")&amp;IF(DATEDIF(C220,B220,"m")=1," month"," months"),DATEDIF(C220,B220,"d")&amp;IF(DATEDIF(C220,B220,"d")=1," day"," days"))))</f>
      </c>
      <c r="E220" s="103"/>
      <c r="F220" s="103"/>
      <c r="G220" s="103"/>
      <c r="H220" s="103"/>
      <c r="I220" s="103"/>
      <c r="J220" s="104"/>
      <c r="K220" s="103"/>
      <c r="L220" s="103"/>
      <c r="M220" s="105" t="str">
        <f>IFERROR(VLOOKUP(G220,Reference!$I$2:$J$175,2,FALSE()),"Operations")</f>
        <v>Operations</v>
      </c>
      <c r="N220" s="6"/>
      <c r="O220" s="6"/>
    </row>
    <row r="221" spans="1:15" ht="15" customHeight="1" x14ac:dyDescent="0.25">
      <c r="A221" s="106" t="s">
        <v>163</v>
      </c>
      <c r="B221" s="107">
        <f>COUNTA(A191:A220)</f>
        <v>0</v>
      </c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6"/>
      <c r="O221" s="6"/>
    </row>
    <row r="222" spans="1:15" ht="6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 spans="1:15" ht="21.75" customHeight="1" x14ac:dyDescent="0.25">
      <c r="A223" s="163" t="s">
        <v>271</v>
      </c>
      <c r="B223" s="163"/>
      <c r="C223" s="163"/>
      <c r="D223" s="163"/>
      <c r="E223" s="163"/>
      <c r="F223" s="163"/>
      <c r="G223" s="163"/>
      <c r="H223" s="163"/>
      <c r="I223" s="163"/>
      <c r="J223" s="163"/>
      <c r="K223" s="163"/>
      <c r="L223" s="163"/>
      <c r="M223" s="163"/>
      <c r="N223" s="6"/>
      <c r="O223" s="6"/>
    </row>
    <row r="224" spans="1:15" ht="19.5" customHeight="1" x14ac:dyDescent="0.25">
      <c r="A224" s="64" t="s">
        <v>151</v>
      </c>
      <c r="B224" s="64" t="s">
        <v>152</v>
      </c>
      <c r="C224" s="64" t="s">
        <v>153</v>
      </c>
      <c r="D224" s="64" t="s">
        <v>154</v>
      </c>
      <c r="E224" s="64" t="s">
        <v>155</v>
      </c>
      <c r="F224" s="64" t="s">
        <v>156</v>
      </c>
      <c r="G224" s="64" t="s">
        <v>157</v>
      </c>
      <c r="H224" s="64" t="s">
        <v>158</v>
      </c>
      <c r="I224" s="64" t="s">
        <v>159</v>
      </c>
      <c r="J224" s="64" t="s">
        <v>160</v>
      </c>
      <c r="K224" s="64" t="s">
        <v>134</v>
      </c>
      <c r="L224" s="64" t="s">
        <v>161</v>
      </c>
      <c r="M224" s="64" t="s">
        <v>162</v>
      </c>
      <c r="N224" s="6"/>
      <c r="O224" s="6"/>
    </row>
    <row r="225" spans="1:15" ht="15" customHeight="1" x14ac:dyDescent="0.25">
      <c r="A225" s="100"/>
      <c r="B225" s="101"/>
      <c r="C225" s="101"/>
      <c r="D225" s="100">
        <f>IF(OR(B225="",C225=""),"",IF(DATEDIF(C225,B225,"y")&gt;=1,DATEDIF(C225,B225,"y")&amp;IF(DATEDIF(C225,B225,"y")=1," year "," years ")&amp;DATEDIF(C225,B225,"ym")&amp;IF(DATEDIF(C225,B225,"ym")=1," month"," months"),IF(DATEDIF(C225,B225,"m")&gt;=1,DATEDIF(C225,B225,"m")&amp;IF(DATEDIF(C225,B225,"m")=1," month"," months"),DATEDIF(C225,B225,"d")&amp;IF(DATEDIF(C225,B225,"d")=1," day"," days"))))</f>
      </c>
      <c r="E225" s="100"/>
      <c r="F225" s="100"/>
      <c r="G225" s="100"/>
      <c r="H225" s="100"/>
      <c r="I225" s="100"/>
      <c r="J225" s="101"/>
      <c r="K225" s="100"/>
      <c r="L225" s="100"/>
      <c r="M225" s="102" t="str">
        <f>IFERROR(VLOOKUP(G225,Reference!$I$2:$J$175,2,FALSE()),"Operations")</f>
        <v>Operations</v>
      </c>
      <c r="N225" s="6"/>
      <c r="O225" s="6"/>
    </row>
    <row r="226" spans="1:15" ht="15" customHeight="1" x14ac:dyDescent="0.25">
      <c r="A226" s="103"/>
      <c r="B226" s="104"/>
      <c r="C226" s="104"/>
      <c r="D226" s="103">
        <f>IF(OR(B226="",C226=""),"",IF(DATEDIF(C226,B226,"y")&gt;=1,DATEDIF(C226,B226,"y")&amp;IF(DATEDIF(C226,B226,"y")=1," year "," years ")&amp;DATEDIF(C226,B226,"ym")&amp;IF(DATEDIF(C226,B226,"ym")=1," month"," months"),IF(DATEDIF(C226,B226,"m")&gt;=1,DATEDIF(C226,B226,"m")&amp;IF(DATEDIF(C226,B226,"m")=1," month"," months"),DATEDIF(C226,B226,"d")&amp;IF(DATEDIF(C226,B226,"d")=1," day"," days"))))</f>
      </c>
      <c r="E226" s="103"/>
      <c r="F226" s="103"/>
      <c r="G226" s="103"/>
      <c r="H226" s="103"/>
      <c r="I226" s="103"/>
      <c r="J226" s="104"/>
      <c r="K226" s="103"/>
      <c r="L226" s="103"/>
      <c r="M226" s="105" t="str">
        <f>IFERROR(VLOOKUP(G226,Reference!$I$2:$J$175,2,FALSE()),"Operations")</f>
        <v>Operations</v>
      </c>
      <c r="N226" s="6"/>
      <c r="O226" s="6"/>
    </row>
    <row r="227" spans="1:15" ht="15" customHeight="1" x14ac:dyDescent="0.25">
      <c r="A227" s="100"/>
      <c r="B227" s="101"/>
      <c r="C227" s="101"/>
      <c r="D227" s="100">
        <f>IF(OR(B227="",C227=""),"",IF(DATEDIF(C227,B227,"y")&gt;=1,DATEDIF(C227,B227,"y")&amp;IF(DATEDIF(C227,B227,"y")=1," year "," years ")&amp;DATEDIF(C227,B227,"ym")&amp;IF(DATEDIF(C227,B227,"ym")=1," month"," months"),IF(DATEDIF(C227,B227,"m")&gt;=1,DATEDIF(C227,B227,"m")&amp;IF(DATEDIF(C227,B227,"m")=1," month"," months"),DATEDIF(C227,B227,"d")&amp;IF(DATEDIF(C227,B227,"d")=1," day"," days"))))</f>
      </c>
      <c r="E227" s="100"/>
      <c r="F227" s="100"/>
      <c r="G227" s="100"/>
      <c r="H227" s="100"/>
      <c r="I227" s="100"/>
      <c r="J227" s="101"/>
      <c r="K227" s="100"/>
      <c r="L227" s="100"/>
      <c r="M227" s="102" t="str">
        <f>IFERROR(VLOOKUP(G227,Reference!$I$2:$J$175,2,FALSE()),"Operations")</f>
        <v>Operations</v>
      </c>
      <c r="N227" s="6"/>
      <c r="O227" s="6"/>
    </row>
    <row r="228" spans="1:15" ht="15" customHeight="1" x14ac:dyDescent="0.25">
      <c r="A228" s="103"/>
      <c r="B228" s="104"/>
      <c r="C228" s="104"/>
      <c r="D228" s="103">
        <f>IF(OR(B228="",C228=""),"",IF(DATEDIF(C228,B228,"y")&gt;=1,DATEDIF(C228,B228,"y")&amp;IF(DATEDIF(C228,B228,"y")=1," year "," years ")&amp;DATEDIF(C228,B228,"ym")&amp;IF(DATEDIF(C228,B228,"ym")=1," month"," months"),IF(DATEDIF(C228,B228,"m")&gt;=1,DATEDIF(C228,B228,"m")&amp;IF(DATEDIF(C228,B228,"m")=1," month"," months"),DATEDIF(C228,B228,"d")&amp;IF(DATEDIF(C228,B228,"d")=1," day"," days"))))</f>
      </c>
      <c r="E228" s="103"/>
      <c r="F228" s="103"/>
      <c r="G228" s="103"/>
      <c r="H228" s="103"/>
      <c r="I228" s="103"/>
      <c r="J228" s="104"/>
      <c r="K228" s="103"/>
      <c r="L228" s="103"/>
      <c r="M228" s="105" t="str">
        <f>IFERROR(VLOOKUP(G228,Reference!$I$2:$J$175,2,FALSE()),"Operations")</f>
        <v>Operations</v>
      </c>
      <c r="N228" s="6"/>
      <c r="O228" s="6"/>
    </row>
    <row r="229" spans="1:15" ht="15" customHeight="1" x14ac:dyDescent="0.25">
      <c r="A229" s="100"/>
      <c r="B229" s="101"/>
      <c r="C229" s="101"/>
      <c r="D229" s="100">
        <f>IF(OR(B229="",C229=""),"",IF(DATEDIF(C229,B229,"y")&gt;=1,DATEDIF(C229,B229,"y")&amp;IF(DATEDIF(C229,B229,"y")=1," year "," years ")&amp;DATEDIF(C229,B229,"ym")&amp;IF(DATEDIF(C229,B229,"ym")=1," month"," months"),IF(DATEDIF(C229,B229,"m")&gt;=1,DATEDIF(C229,B229,"m")&amp;IF(DATEDIF(C229,B229,"m")=1," month"," months"),DATEDIF(C229,B229,"d")&amp;IF(DATEDIF(C229,B229,"d")=1," day"," days"))))</f>
      </c>
      <c r="E229" s="100"/>
      <c r="F229" s="100"/>
      <c r="G229" s="100"/>
      <c r="H229" s="100"/>
      <c r="I229" s="100"/>
      <c r="J229" s="101"/>
      <c r="K229" s="100"/>
      <c r="L229" s="100"/>
      <c r="M229" s="102" t="str">
        <f>IFERROR(VLOOKUP(G229,Reference!$I$2:$J$175,2,FALSE()),"Operations")</f>
        <v>Operations</v>
      </c>
      <c r="N229" s="6"/>
      <c r="O229" s="6"/>
    </row>
    <row r="230" spans="1:15" ht="15" customHeight="1" x14ac:dyDescent="0.25">
      <c r="A230" s="103"/>
      <c r="B230" s="104"/>
      <c r="C230" s="104"/>
      <c r="D230" s="103">
        <f>IF(OR(B230="",C230=""),"",IF(DATEDIF(C230,B230,"y")&gt;=1,DATEDIF(C230,B230,"y")&amp;IF(DATEDIF(C230,B230,"y")=1," year "," years ")&amp;DATEDIF(C230,B230,"ym")&amp;IF(DATEDIF(C230,B230,"ym")=1," month"," months"),IF(DATEDIF(C230,B230,"m")&gt;=1,DATEDIF(C230,B230,"m")&amp;IF(DATEDIF(C230,B230,"m")=1," month"," months"),DATEDIF(C230,B230,"d")&amp;IF(DATEDIF(C230,B230,"d")=1," day"," days"))))</f>
      </c>
      <c r="E230" s="103"/>
      <c r="F230" s="103"/>
      <c r="G230" s="103"/>
      <c r="H230" s="103"/>
      <c r="I230" s="103"/>
      <c r="J230" s="104"/>
      <c r="K230" s="103"/>
      <c r="L230" s="103"/>
      <c r="M230" s="105" t="str">
        <f>IFERROR(VLOOKUP(G230,Reference!$I$2:$J$175,2,FALSE()),"Operations")</f>
        <v>Operations</v>
      </c>
      <c r="N230" s="6"/>
      <c r="O230" s="6"/>
    </row>
    <row r="231" spans="1:15" ht="15" customHeight="1" x14ac:dyDescent="0.25">
      <c r="A231" s="100"/>
      <c r="B231" s="101"/>
      <c r="C231" s="101"/>
      <c r="D231" s="100">
        <f>IF(OR(B231="",C231=""),"",IF(DATEDIF(C231,B231,"y")&gt;=1,DATEDIF(C231,B231,"y")&amp;IF(DATEDIF(C231,B231,"y")=1," year "," years ")&amp;DATEDIF(C231,B231,"ym")&amp;IF(DATEDIF(C231,B231,"ym")=1," month"," months"),IF(DATEDIF(C231,B231,"m")&gt;=1,DATEDIF(C231,B231,"m")&amp;IF(DATEDIF(C231,B231,"m")=1," month"," months"),DATEDIF(C231,B231,"d")&amp;IF(DATEDIF(C231,B231,"d")=1," day"," days"))))</f>
      </c>
      <c r="E231" s="100"/>
      <c r="F231" s="100"/>
      <c r="G231" s="100"/>
      <c r="H231" s="100"/>
      <c r="I231" s="100"/>
      <c r="J231" s="101"/>
      <c r="K231" s="100"/>
      <c r="L231" s="100"/>
      <c r="M231" s="102" t="str">
        <f>IFERROR(VLOOKUP(G231,Reference!$I$2:$J$175,2,FALSE()),"Operations")</f>
        <v>Operations</v>
      </c>
      <c r="N231" s="6"/>
      <c r="O231" s="6"/>
    </row>
    <row r="232" spans="1:15" ht="15" customHeight="1" x14ac:dyDescent="0.25">
      <c r="A232" s="103"/>
      <c r="B232" s="104"/>
      <c r="C232" s="104"/>
      <c r="D232" s="103">
        <f>IF(OR(B232="",C232=""),"",IF(DATEDIF(C232,B232,"y")&gt;=1,DATEDIF(C232,B232,"y")&amp;IF(DATEDIF(C232,B232,"y")=1," year "," years ")&amp;DATEDIF(C232,B232,"ym")&amp;IF(DATEDIF(C232,B232,"ym")=1," month"," months"),IF(DATEDIF(C232,B232,"m")&gt;=1,DATEDIF(C232,B232,"m")&amp;IF(DATEDIF(C232,B232,"m")=1," month"," months"),DATEDIF(C232,B232,"d")&amp;IF(DATEDIF(C232,B232,"d")=1," day"," days"))))</f>
      </c>
      <c r="E232" s="103"/>
      <c r="F232" s="103"/>
      <c r="G232" s="103"/>
      <c r="H232" s="103"/>
      <c r="I232" s="103"/>
      <c r="J232" s="104"/>
      <c r="K232" s="103"/>
      <c r="L232" s="103"/>
      <c r="M232" s="105" t="str">
        <f>IFERROR(VLOOKUP(G232,Reference!$I$2:$J$175,2,FALSE()),"Operations")</f>
        <v>Operations</v>
      </c>
      <c r="N232" s="6"/>
      <c r="O232" s="6"/>
    </row>
    <row r="233" spans="1:15" ht="15" customHeight="1" x14ac:dyDescent="0.25">
      <c r="A233" s="100"/>
      <c r="B233" s="101"/>
      <c r="C233" s="101"/>
      <c r="D233" s="100">
        <f>IF(OR(B233="",C233=""),"",IF(DATEDIF(C233,B233,"y")&gt;=1,DATEDIF(C233,B233,"y")&amp;IF(DATEDIF(C233,B233,"y")=1," year "," years ")&amp;DATEDIF(C233,B233,"ym")&amp;IF(DATEDIF(C233,B233,"ym")=1," month"," months"),IF(DATEDIF(C233,B233,"m")&gt;=1,DATEDIF(C233,B233,"m")&amp;IF(DATEDIF(C233,B233,"m")=1," month"," months"),DATEDIF(C233,B233,"d")&amp;IF(DATEDIF(C233,B233,"d")=1," day"," days"))))</f>
      </c>
      <c r="E233" s="100"/>
      <c r="F233" s="100"/>
      <c r="G233" s="100"/>
      <c r="H233" s="100"/>
      <c r="I233" s="100"/>
      <c r="J233" s="101"/>
      <c r="K233" s="100"/>
      <c r="L233" s="100"/>
      <c r="M233" s="102" t="str">
        <f>IFERROR(VLOOKUP(G233,Reference!$I$2:$J$175,2,FALSE()),"Operations")</f>
        <v>Operations</v>
      </c>
      <c r="N233" s="6"/>
      <c r="O233" s="6"/>
    </row>
    <row r="234" spans="1:15" ht="15" customHeight="1" x14ac:dyDescent="0.25">
      <c r="A234" s="103"/>
      <c r="B234" s="104"/>
      <c r="C234" s="104"/>
      <c r="D234" s="103">
        <f>IF(OR(B234="",C234=""),"",IF(DATEDIF(C234,B234,"y")&gt;=1,DATEDIF(C234,B234,"y")&amp;IF(DATEDIF(C234,B234,"y")=1," year "," years ")&amp;DATEDIF(C234,B234,"ym")&amp;IF(DATEDIF(C234,B234,"ym")=1," month"," months"),IF(DATEDIF(C234,B234,"m")&gt;=1,DATEDIF(C234,B234,"m")&amp;IF(DATEDIF(C234,B234,"m")=1," month"," months"),DATEDIF(C234,B234,"d")&amp;IF(DATEDIF(C234,B234,"d")=1," day"," days"))))</f>
      </c>
      <c r="E234" s="103"/>
      <c r="F234" s="103"/>
      <c r="G234" s="103"/>
      <c r="H234" s="103"/>
      <c r="I234" s="103"/>
      <c r="J234" s="104"/>
      <c r="K234" s="103"/>
      <c r="L234" s="103"/>
      <c r="M234" s="105" t="str">
        <f>IFERROR(VLOOKUP(G234,Reference!$I$2:$J$175,2,FALSE()),"Operations")</f>
        <v>Operations</v>
      </c>
      <c r="N234" s="6"/>
      <c r="O234" s="6"/>
    </row>
    <row r="235" spans="1:15" ht="15" customHeight="1" x14ac:dyDescent="0.25">
      <c r="A235" s="100"/>
      <c r="B235" s="101"/>
      <c r="C235" s="101"/>
      <c r="D235" s="100">
        <f>IF(OR(B235="",C235=""),"",IF(DATEDIF(C235,B235,"y")&gt;=1,DATEDIF(C235,B235,"y")&amp;IF(DATEDIF(C235,B235,"y")=1," year "," years ")&amp;DATEDIF(C235,B235,"ym")&amp;IF(DATEDIF(C235,B235,"ym")=1," month"," months"),IF(DATEDIF(C235,B235,"m")&gt;=1,DATEDIF(C235,B235,"m")&amp;IF(DATEDIF(C235,B235,"m")=1," month"," months"),DATEDIF(C235,B235,"d")&amp;IF(DATEDIF(C235,B235,"d")=1," day"," days"))))</f>
      </c>
      <c r="E235" s="100"/>
      <c r="F235" s="100"/>
      <c r="G235" s="100"/>
      <c r="H235" s="100"/>
      <c r="I235" s="100"/>
      <c r="J235" s="101"/>
      <c r="K235" s="100"/>
      <c r="L235" s="100"/>
      <c r="M235" s="102" t="str">
        <f>IFERROR(VLOOKUP(G235,Reference!$I$2:$J$175,2,FALSE()),"Operations")</f>
        <v>Operations</v>
      </c>
      <c r="N235" s="6"/>
      <c r="O235" s="6"/>
    </row>
    <row r="236" spans="1:15" ht="15" customHeight="1" x14ac:dyDescent="0.25">
      <c r="A236" s="103"/>
      <c r="B236" s="104"/>
      <c r="C236" s="104"/>
      <c r="D236" s="103">
        <f>IF(OR(B236="",C236=""),"",IF(DATEDIF(C236,B236,"y")&gt;=1,DATEDIF(C236,B236,"y")&amp;IF(DATEDIF(C236,B236,"y")=1," year "," years ")&amp;DATEDIF(C236,B236,"ym")&amp;IF(DATEDIF(C236,B236,"ym")=1," month"," months"),IF(DATEDIF(C236,B236,"m")&gt;=1,DATEDIF(C236,B236,"m")&amp;IF(DATEDIF(C236,B236,"m")=1," month"," months"),DATEDIF(C236,B236,"d")&amp;IF(DATEDIF(C236,B236,"d")=1," day"," days"))))</f>
      </c>
      <c r="E236" s="103"/>
      <c r="F236" s="103"/>
      <c r="G236" s="103"/>
      <c r="H236" s="103"/>
      <c r="I236" s="103"/>
      <c r="J236" s="104"/>
      <c r="K236" s="103"/>
      <c r="L236" s="103"/>
      <c r="M236" s="105" t="str">
        <f>IFERROR(VLOOKUP(G236,Reference!$I$2:$J$175,2,FALSE()),"Operations")</f>
        <v>Operations</v>
      </c>
      <c r="N236" s="6"/>
      <c r="O236" s="6"/>
    </row>
    <row r="237" spans="1:15" ht="15" customHeight="1" x14ac:dyDescent="0.25">
      <c r="A237" s="100"/>
      <c r="B237" s="101"/>
      <c r="C237" s="101"/>
      <c r="D237" s="100">
        <f>IF(OR(B237="",C237=""),"",IF(DATEDIF(C237,B237,"y")&gt;=1,DATEDIF(C237,B237,"y")&amp;IF(DATEDIF(C237,B237,"y")=1," year "," years ")&amp;DATEDIF(C237,B237,"ym")&amp;IF(DATEDIF(C237,B237,"ym")=1," month"," months"),IF(DATEDIF(C237,B237,"m")&gt;=1,DATEDIF(C237,B237,"m")&amp;IF(DATEDIF(C237,B237,"m")=1," month"," months"),DATEDIF(C237,B237,"d")&amp;IF(DATEDIF(C237,B237,"d")=1," day"," days"))))</f>
      </c>
      <c r="E237" s="100"/>
      <c r="F237" s="100"/>
      <c r="G237" s="100"/>
      <c r="H237" s="100"/>
      <c r="I237" s="100"/>
      <c r="J237" s="101"/>
      <c r="K237" s="100"/>
      <c r="L237" s="100"/>
      <c r="M237" s="102" t="str">
        <f>IFERROR(VLOOKUP(G237,Reference!$I$2:$J$175,2,FALSE()),"Operations")</f>
        <v>Operations</v>
      </c>
      <c r="N237" s="6"/>
      <c r="O237" s="6"/>
    </row>
    <row r="238" spans="1:15" ht="15" customHeight="1" x14ac:dyDescent="0.25">
      <c r="A238" s="103"/>
      <c r="B238" s="104"/>
      <c r="C238" s="104"/>
      <c r="D238" s="103">
        <f>IF(OR(B238="",C238=""),"",IF(DATEDIF(C238,B238,"y")&gt;=1,DATEDIF(C238,B238,"y")&amp;IF(DATEDIF(C238,B238,"y")=1," year "," years ")&amp;DATEDIF(C238,B238,"ym")&amp;IF(DATEDIF(C238,B238,"ym")=1," month"," months"),IF(DATEDIF(C238,B238,"m")&gt;=1,DATEDIF(C238,B238,"m")&amp;IF(DATEDIF(C238,B238,"m")=1," month"," months"),DATEDIF(C238,B238,"d")&amp;IF(DATEDIF(C238,B238,"d")=1," day"," days"))))</f>
      </c>
      <c r="E238" s="103"/>
      <c r="F238" s="103"/>
      <c r="G238" s="103"/>
      <c r="H238" s="103"/>
      <c r="I238" s="103"/>
      <c r="J238" s="104"/>
      <c r="K238" s="103"/>
      <c r="L238" s="103"/>
      <c r="M238" s="105" t="str">
        <f>IFERROR(VLOOKUP(G238,Reference!$I$2:$J$175,2,FALSE()),"Operations")</f>
        <v>Operations</v>
      </c>
      <c r="N238" s="6"/>
      <c r="O238" s="6"/>
    </row>
    <row r="239" spans="1:15" ht="15" customHeight="1" x14ac:dyDescent="0.25">
      <c r="A239" s="100"/>
      <c r="B239" s="101"/>
      <c r="C239" s="101"/>
      <c r="D239" s="100">
        <f>IF(OR(B239="",C239=""),"",IF(DATEDIF(C239,B239,"y")&gt;=1,DATEDIF(C239,B239,"y")&amp;IF(DATEDIF(C239,B239,"y")=1," year "," years ")&amp;DATEDIF(C239,B239,"ym")&amp;IF(DATEDIF(C239,B239,"ym")=1," month"," months"),IF(DATEDIF(C239,B239,"m")&gt;=1,DATEDIF(C239,B239,"m")&amp;IF(DATEDIF(C239,B239,"m")=1," month"," months"),DATEDIF(C239,B239,"d")&amp;IF(DATEDIF(C239,B239,"d")=1," day"," days"))))</f>
      </c>
      <c r="E239" s="100"/>
      <c r="F239" s="100"/>
      <c r="G239" s="100"/>
      <c r="H239" s="100"/>
      <c r="I239" s="100"/>
      <c r="J239" s="101"/>
      <c r="K239" s="100"/>
      <c r="L239" s="100"/>
      <c r="M239" s="102" t="str">
        <f>IFERROR(VLOOKUP(G239,Reference!$I$2:$J$175,2,FALSE()),"Operations")</f>
        <v>Operations</v>
      </c>
      <c r="N239" s="6"/>
      <c r="O239" s="6"/>
    </row>
    <row r="240" spans="1:15" ht="15" customHeight="1" x14ac:dyDescent="0.25">
      <c r="A240" s="103"/>
      <c r="B240" s="104"/>
      <c r="C240" s="104"/>
      <c r="D240" s="103">
        <f>IF(OR(B240="",C240=""),"",IF(DATEDIF(C240,B240,"y")&gt;=1,DATEDIF(C240,B240,"y")&amp;IF(DATEDIF(C240,B240,"y")=1," year "," years ")&amp;DATEDIF(C240,B240,"ym")&amp;IF(DATEDIF(C240,B240,"ym")=1," month"," months"),IF(DATEDIF(C240,B240,"m")&gt;=1,DATEDIF(C240,B240,"m")&amp;IF(DATEDIF(C240,B240,"m")=1," month"," months"),DATEDIF(C240,B240,"d")&amp;IF(DATEDIF(C240,B240,"d")=1," day"," days"))))</f>
      </c>
      <c r="E240" s="103"/>
      <c r="F240" s="103"/>
      <c r="G240" s="103"/>
      <c r="H240" s="103"/>
      <c r="I240" s="103"/>
      <c r="J240" s="104"/>
      <c r="K240" s="103"/>
      <c r="L240" s="103"/>
      <c r="M240" s="105" t="str">
        <f>IFERROR(VLOOKUP(G240,Reference!$I$2:$J$175,2,FALSE()),"Operations")</f>
        <v>Operations</v>
      </c>
      <c r="N240" s="6"/>
      <c r="O240" s="6"/>
    </row>
    <row r="241" spans="1:15" ht="15" customHeight="1" x14ac:dyDescent="0.25">
      <c r="A241" s="100"/>
      <c r="B241" s="101"/>
      <c r="C241" s="101"/>
      <c r="D241" s="100">
        <f>IF(OR(B241="",C241=""),"",IF(DATEDIF(C241,B241,"y")&gt;=1,DATEDIF(C241,B241,"y")&amp;IF(DATEDIF(C241,B241,"y")=1," year "," years ")&amp;DATEDIF(C241,B241,"ym")&amp;IF(DATEDIF(C241,B241,"ym")=1," month"," months"),IF(DATEDIF(C241,B241,"m")&gt;=1,DATEDIF(C241,B241,"m")&amp;IF(DATEDIF(C241,B241,"m")=1," month"," months"),DATEDIF(C241,B241,"d")&amp;IF(DATEDIF(C241,B241,"d")=1," day"," days"))))</f>
      </c>
      <c r="E241" s="100"/>
      <c r="F241" s="100"/>
      <c r="G241" s="100"/>
      <c r="H241" s="100"/>
      <c r="I241" s="100"/>
      <c r="J241" s="101"/>
      <c r="K241" s="100"/>
      <c r="L241" s="100"/>
      <c r="M241" s="102" t="str">
        <f>IFERROR(VLOOKUP(G241,Reference!$I$2:$J$175,2,FALSE()),"Operations")</f>
        <v>Operations</v>
      </c>
      <c r="N241" s="6"/>
      <c r="O241" s="6"/>
    </row>
    <row r="242" spans="1:15" ht="15" customHeight="1" x14ac:dyDescent="0.25">
      <c r="A242" s="103"/>
      <c r="B242" s="104"/>
      <c r="C242" s="104"/>
      <c r="D242" s="103">
        <f>IF(OR(B242="",C242=""),"",IF(DATEDIF(C242,B242,"y")&gt;=1,DATEDIF(C242,B242,"y")&amp;IF(DATEDIF(C242,B242,"y")=1," year "," years ")&amp;DATEDIF(C242,B242,"ym")&amp;IF(DATEDIF(C242,B242,"ym")=1," month"," months"),IF(DATEDIF(C242,B242,"m")&gt;=1,DATEDIF(C242,B242,"m")&amp;IF(DATEDIF(C242,B242,"m")=1," month"," months"),DATEDIF(C242,B242,"d")&amp;IF(DATEDIF(C242,B242,"d")=1," day"," days"))))</f>
      </c>
      <c r="E242" s="103"/>
      <c r="F242" s="103"/>
      <c r="G242" s="103"/>
      <c r="H242" s="103"/>
      <c r="I242" s="103"/>
      <c r="J242" s="104"/>
      <c r="K242" s="103"/>
      <c r="L242" s="103"/>
      <c r="M242" s="105" t="str">
        <f>IFERROR(VLOOKUP(G242,Reference!$I$2:$J$175,2,FALSE()),"Operations")</f>
        <v>Operations</v>
      </c>
      <c r="N242" s="6"/>
      <c r="O242" s="6"/>
    </row>
    <row r="243" spans="1:15" ht="15" customHeight="1" x14ac:dyDescent="0.25">
      <c r="A243" s="100"/>
      <c r="B243" s="101"/>
      <c r="C243" s="101"/>
      <c r="D243" s="100">
        <f>IF(OR(B243="",C243=""),"",IF(DATEDIF(C243,B243,"y")&gt;=1,DATEDIF(C243,B243,"y")&amp;IF(DATEDIF(C243,B243,"y")=1," year "," years ")&amp;DATEDIF(C243,B243,"ym")&amp;IF(DATEDIF(C243,B243,"ym")=1," month"," months"),IF(DATEDIF(C243,B243,"m")&gt;=1,DATEDIF(C243,B243,"m")&amp;IF(DATEDIF(C243,B243,"m")=1," month"," months"),DATEDIF(C243,B243,"d")&amp;IF(DATEDIF(C243,B243,"d")=1," day"," days"))))</f>
      </c>
      <c r="E243" s="100"/>
      <c r="F243" s="100"/>
      <c r="G243" s="100"/>
      <c r="H243" s="100"/>
      <c r="I243" s="100"/>
      <c r="J243" s="101"/>
      <c r="K243" s="100"/>
      <c r="L243" s="100"/>
      <c r="M243" s="102" t="str">
        <f>IFERROR(VLOOKUP(G243,Reference!$I$2:$J$175,2,FALSE()),"Operations")</f>
        <v>Operations</v>
      </c>
      <c r="N243" s="6"/>
      <c r="O243" s="6"/>
    </row>
    <row r="244" spans="1:15" ht="15" customHeight="1" x14ac:dyDescent="0.25">
      <c r="A244" s="103"/>
      <c r="B244" s="104"/>
      <c r="C244" s="104"/>
      <c r="D244" s="103">
        <f>IF(OR(B244="",C244=""),"",IF(DATEDIF(C244,B244,"y")&gt;=1,DATEDIF(C244,B244,"y")&amp;IF(DATEDIF(C244,B244,"y")=1," year "," years ")&amp;DATEDIF(C244,B244,"ym")&amp;IF(DATEDIF(C244,B244,"ym")=1," month"," months"),IF(DATEDIF(C244,B244,"m")&gt;=1,DATEDIF(C244,B244,"m")&amp;IF(DATEDIF(C244,B244,"m")=1," month"," months"),DATEDIF(C244,B244,"d")&amp;IF(DATEDIF(C244,B244,"d")=1," day"," days"))))</f>
      </c>
      <c r="E244" s="103"/>
      <c r="F244" s="103"/>
      <c r="G244" s="103"/>
      <c r="H244" s="103"/>
      <c r="I244" s="103"/>
      <c r="J244" s="104"/>
      <c r="K244" s="103"/>
      <c r="L244" s="103"/>
      <c r="M244" s="105" t="str">
        <f>IFERROR(VLOOKUP(G244,Reference!$I$2:$J$175,2,FALSE()),"Operations")</f>
        <v>Operations</v>
      </c>
      <c r="N244" s="6"/>
      <c r="O244" s="6"/>
    </row>
    <row r="245" spans="1:15" ht="15" customHeight="1" x14ac:dyDescent="0.25">
      <c r="A245" s="100"/>
      <c r="B245" s="101"/>
      <c r="C245" s="101"/>
      <c r="D245" s="100">
        <f>IF(OR(B245="",C245=""),"",IF(DATEDIF(C245,B245,"y")&gt;=1,DATEDIF(C245,B245,"y")&amp;IF(DATEDIF(C245,B245,"y")=1," year "," years ")&amp;DATEDIF(C245,B245,"ym")&amp;IF(DATEDIF(C245,B245,"ym")=1," month"," months"),IF(DATEDIF(C245,B245,"m")&gt;=1,DATEDIF(C245,B245,"m")&amp;IF(DATEDIF(C245,B245,"m")=1," month"," months"),DATEDIF(C245,B245,"d")&amp;IF(DATEDIF(C245,B245,"d")=1," day"," days"))))</f>
      </c>
      <c r="E245" s="100"/>
      <c r="F245" s="100"/>
      <c r="G245" s="100"/>
      <c r="H245" s="100"/>
      <c r="I245" s="100"/>
      <c r="J245" s="101"/>
      <c r="K245" s="100"/>
      <c r="L245" s="100"/>
      <c r="M245" s="102" t="str">
        <f>IFERROR(VLOOKUP(G245,Reference!$I$2:$J$175,2,FALSE()),"Operations")</f>
        <v>Operations</v>
      </c>
      <c r="N245" s="6"/>
      <c r="O245" s="6"/>
    </row>
    <row r="246" spans="1:15" ht="15" customHeight="1" x14ac:dyDescent="0.25">
      <c r="A246" s="103"/>
      <c r="B246" s="104"/>
      <c r="C246" s="104"/>
      <c r="D246" s="103">
        <f>IF(OR(B246="",C246=""),"",IF(DATEDIF(C246,B246,"y")&gt;=1,DATEDIF(C246,B246,"y")&amp;IF(DATEDIF(C246,B246,"y")=1," year "," years ")&amp;DATEDIF(C246,B246,"ym")&amp;IF(DATEDIF(C246,B246,"ym")=1," month"," months"),IF(DATEDIF(C246,B246,"m")&gt;=1,DATEDIF(C246,B246,"m")&amp;IF(DATEDIF(C246,B246,"m")=1," month"," months"),DATEDIF(C246,B246,"d")&amp;IF(DATEDIF(C246,B246,"d")=1," day"," days"))))</f>
      </c>
      <c r="E246" s="103"/>
      <c r="F246" s="103"/>
      <c r="G246" s="103"/>
      <c r="H246" s="103"/>
      <c r="I246" s="103"/>
      <c r="J246" s="104"/>
      <c r="K246" s="103"/>
      <c r="L246" s="103"/>
      <c r="M246" s="105" t="str">
        <f>IFERROR(VLOOKUP(G246,Reference!$I$2:$J$175,2,FALSE()),"Operations")</f>
        <v>Operations</v>
      </c>
      <c r="N246" s="6"/>
      <c r="O246" s="6"/>
    </row>
    <row r="247" spans="1:15" ht="15" customHeight="1" x14ac:dyDescent="0.25">
      <c r="A247" s="100"/>
      <c r="B247" s="101"/>
      <c r="C247" s="101"/>
      <c r="D247" s="100">
        <f>IF(OR(B247="",C247=""),"",IF(DATEDIF(C247,B247,"y")&gt;=1,DATEDIF(C247,B247,"y")&amp;IF(DATEDIF(C247,B247,"y")=1," year "," years ")&amp;DATEDIF(C247,B247,"ym")&amp;IF(DATEDIF(C247,B247,"ym")=1," month"," months"),IF(DATEDIF(C247,B247,"m")&gt;=1,DATEDIF(C247,B247,"m")&amp;IF(DATEDIF(C247,B247,"m")=1," month"," months"),DATEDIF(C247,B247,"d")&amp;IF(DATEDIF(C247,B247,"d")=1," day"," days"))))</f>
      </c>
      <c r="E247" s="100"/>
      <c r="F247" s="100"/>
      <c r="G247" s="100"/>
      <c r="H247" s="100"/>
      <c r="I247" s="100"/>
      <c r="J247" s="101"/>
      <c r="K247" s="100"/>
      <c r="L247" s="100"/>
      <c r="M247" s="102" t="str">
        <f>IFERROR(VLOOKUP(G247,Reference!$I$2:$J$175,2,FALSE()),"Operations")</f>
        <v>Operations</v>
      </c>
      <c r="N247" s="6"/>
      <c r="O247" s="6"/>
    </row>
    <row r="248" spans="1:15" ht="15" customHeight="1" x14ac:dyDescent="0.25">
      <c r="A248" s="103"/>
      <c r="B248" s="104"/>
      <c r="C248" s="104"/>
      <c r="D248" s="103">
        <f>IF(OR(B248="",C248=""),"",IF(DATEDIF(C248,B248,"y")&gt;=1,DATEDIF(C248,B248,"y")&amp;IF(DATEDIF(C248,B248,"y")=1," year "," years ")&amp;DATEDIF(C248,B248,"ym")&amp;IF(DATEDIF(C248,B248,"ym")=1," month"," months"),IF(DATEDIF(C248,B248,"m")&gt;=1,DATEDIF(C248,B248,"m")&amp;IF(DATEDIF(C248,B248,"m")=1," month"," months"),DATEDIF(C248,B248,"d")&amp;IF(DATEDIF(C248,B248,"d")=1," day"," days"))))</f>
      </c>
      <c r="E248" s="103"/>
      <c r="F248" s="103"/>
      <c r="G248" s="103"/>
      <c r="H248" s="103"/>
      <c r="I248" s="103"/>
      <c r="J248" s="104"/>
      <c r="K248" s="103"/>
      <c r="L248" s="103"/>
      <c r="M248" s="105" t="str">
        <f>IFERROR(VLOOKUP(G248,Reference!$I$2:$J$175,2,FALSE()),"Operations")</f>
        <v>Operations</v>
      </c>
      <c r="N248" s="6"/>
      <c r="O248" s="6"/>
    </row>
    <row r="249" spans="1:15" ht="15" customHeight="1" x14ac:dyDescent="0.25">
      <c r="A249" s="100"/>
      <c r="B249" s="101"/>
      <c r="C249" s="101"/>
      <c r="D249" s="100">
        <f>IF(OR(B249="",C249=""),"",IF(DATEDIF(C249,B249,"y")&gt;=1,DATEDIF(C249,B249,"y")&amp;IF(DATEDIF(C249,B249,"y")=1," year "," years ")&amp;DATEDIF(C249,B249,"ym")&amp;IF(DATEDIF(C249,B249,"ym")=1," month"," months"),IF(DATEDIF(C249,B249,"m")&gt;=1,DATEDIF(C249,B249,"m")&amp;IF(DATEDIF(C249,B249,"m")=1," month"," months"),DATEDIF(C249,B249,"d")&amp;IF(DATEDIF(C249,B249,"d")=1," day"," days"))))</f>
      </c>
      <c r="E249" s="100"/>
      <c r="F249" s="100"/>
      <c r="G249" s="100"/>
      <c r="H249" s="100"/>
      <c r="I249" s="100"/>
      <c r="J249" s="101"/>
      <c r="K249" s="100"/>
      <c r="L249" s="100"/>
      <c r="M249" s="102" t="str">
        <f>IFERROR(VLOOKUP(G249,Reference!$I$2:$J$175,2,FALSE()),"Operations")</f>
        <v>Operations</v>
      </c>
      <c r="N249" s="6"/>
      <c r="O249" s="6"/>
    </row>
    <row r="250" spans="1:15" ht="15" customHeight="1" x14ac:dyDescent="0.25">
      <c r="A250" s="103"/>
      <c r="B250" s="104"/>
      <c r="C250" s="104"/>
      <c r="D250" s="103">
        <f>IF(OR(B250="",C250=""),"",IF(DATEDIF(C250,B250,"y")&gt;=1,DATEDIF(C250,B250,"y")&amp;IF(DATEDIF(C250,B250,"y")=1," year "," years ")&amp;DATEDIF(C250,B250,"ym")&amp;IF(DATEDIF(C250,B250,"ym")=1," month"," months"),IF(DATEDIF(C250,B250,"m")&gt;=1,DATEDIF(C250,B250,"m")&amp;IF(DATEDIF(C250,B250,"m")=1," month"," months"),DATEDIF(C250,B250,"d")&amp;IF(DATEDIF(C250,B250,"d")=1," day"," days"))))</f>
      </c>
      <c r="E250" s="103"/>
      <c r="F250" s="103"/>
      <c r="G250" s="103"/>
      <c r="H250" s="103"/>
      <c r="I250" s="103"/>
      <c r="J250" s="104"/>
      <c r="K250" s="103"/>
      <c r="L250" s="103"/>
      <c r="M250" s="105" t="str">
        <f>IFERROR(VLOOKUP(G250,Reference!$I$2:$J$175,2,FALSE()),"Operations")</f>
        <v>Operations</v>
      </c>
      <c r="N250" s="6"/>
      <c r="O250" s="6"/>
    </row>
    <row r="251" spans="1:15" ht="15" customHeight="1" x14ac:dyDescent="0.25">
      <c r="A251" s="100"/>
      <c r="B251" s="101"/>
      <c r="C251" s="101"/>
      <c r="D251" s="100">
        <f>IF(OR(B251="",C251=""),"",IF(DATEDIF(C251,B251,"y")&gt;=1,DATEDIF(C251,B251,"y")&amp;IF(DATEDIF(C251,B251,"y")=1," year "," years ")&amp;DATEDIF(C251,B251,"ym")&amp;IF(DATEDIF(C251,B251,"ym")=1," month"," months"),IF(DATEDIF(C251,B251,"m")&gt;=1,DATEDIF(C251,B251,"m")&amp;IF(DATEDIF(C251,B251,"m")=1," month"," months"),DATEDIF(C251,B251,"d")&amp;IF(DATEDIF(C251,B251,"d")=1," day"," days"))))</f>
      </c>
      <c r="E251" s="100"/>
      <c r="F251" s="100"/>
      <c r="G251" s="100"/>
      <c r="H251" s="100"/>
      <c r="I251" s="100"/>
      <c r="J251" s="101"/>
      <c r="K251" s="100"/>
      <c r="L251" s="100"/>
      <c r="M251" s="102" t="str">
        <f>IFERROR(VLOOKUP(G251,Reference!$I$2:$J$175,2,FALSE()),"Operations")</f>
        <v>Operations</v>
      </c>
      <c r="N251" s="6"/>
      <c r="O251" s="6"/>
    </row>
    <row r="252" spans="1:15" ht="15" customHeight="1" x14ac:dyDescent="0.25">
      <c r="A252" s="103"/>
      <c r="B252" s="104"/>
      <c r="C252" s="104"/>
      <c r="D252" s="103">
        <f>IF(OR(B252="",C252=""),"",IF(DATEDIF(C252,B252,"y")&gt;=1,DATEDIF(C252,B252,"y")&amp;IF(DATEDIF(C252,B252,"y")=1," year "," years ")&amp;DATEDIF(C252,B252,"ym")&amp;IF(DATEDIF(C252,B252,"ym")=1," month"," months"),IF(DATEDIF(C252,B252,"m")&gt;=1,DATEDIF(C252,B252,"m")&amp;IF(DATEDIF(C252,B252,"m")=1," month"," months"),DATEDIF(C252,B252,"d")&amp;IF(DATEDIF(C252,B252,"d")=1," day"," days"))))</f>
      </c>
      <c r="E252" s="103"/>
      <c r="F252" s="103"/>
      <c r="G252" s="103"/>
      <c r="H252" s="103"/>
      <c r="I252" s="103"/>
      <c r="J252" s="104"/>
      <c r="K252" s="103"/>
      <c r="L252" s="103"/>
      <c r="M252" s="105" t="str">
        <f>IFERROR(VLOOKUP(G252,Reference!$I$2:$J$175,2,FALSE()),"Operations")</f>
        <v>Operations</v>
      </c>
      <c r="N252" s="6"/>
      <c r="O252" s="6"/>
    </row>
    <row r="253" spans="1:15" ht="15" customHeight="1" x14ac:dyDescent="0.25">
      <c r="A253" s="100"/>
      <c r="B253" s="101"/>
      <c r="C253" s="101"/>
      <c r="D253" s="100">
        <f>IF(OR(B253="",C253=""),"",IF(DATEDIF(C253,B253,"y")&gt;=1,DATEDIF(C253,B253,"y")&amp;IF(DATEDIF(C253,B253,"y")=1," year "," years ")&amp;DATEDIF(C253,B253,"ym")&amp;IF(DATEDIF(C253,B253,"ym")=1," month"," months"),IF(DATEDIF(C253,B253,"m")&gt;=1,DATEDIF(C253,B253,"m")&amp;IF(DATEDIF(C253,B253,"m")=1," month"," months"),DATEDIF(C253,B253,"d")&amp;IF(DATEDIF(C253,B253,"d")=1," day"," days"))))</f>
      </c>
      <c r="E253" s="100"/>
      <c r="F253" s="100"/>
      <c r="G253" s="100"/>
      <c r="H253" s="100"/>
      <c r="I253" s="100"/>
      <c r="J253" s="101"/>
      <c r="K253" s="100"/>
      <c r="L253" s="100"/>
      <c r="M253" s="102" t="str">
        <f>IFERROR(VLOOKUP(G253,Reference!$I$2:$J$175,2,FALSE()),"Operations")</f>
        <v>Operations</v>
      </c>
      <c r="N253" s="6"/>
      <c r="O253" s="6"/>
    </row>
    <row r="254" spans="1:15" ht="15" customHeight="1" x14ac:dyDescent="0.25">
      <c r="A254" s="103"/>
      <c r="B254" s="104"/>
      <c r="C254" s="104"/>
      <c r="D254" s="103">
        <f>IF(OR(B254="",C254=""),"",IF(DATEDIF(C254,B254,"y")&gt;=1,DATEDIF(C254,B254,"y")&amp;IF(DATEDIF(C254,B254,"y")=1," year "," years ")&amp;DATEDIF(C254,B254,"ym")&amp;IF(DATEDIF(C254,B254,"ym")=1," month"," months"),IF(DATEDIF(C254,B254,"m")&gt;=1,DATEDIF(C254,B254,"m")&amp;IF(DATEDIF(C254,B254,"m")=1," month"," months"),DATEDIF(C254,B254,"d")&amp;IF(DATEDIF(C254,B254,"d")=1," day"," days"))))</f>
      </c>
      <c r="E254" s="103"/>
      <c r="F254" s="103"/>
      <c r="G254" s="103"/>
      <c r="H254" s="103"/>
      <c r="I254" s="103"/>
      <c r="J254" s="104"/>
      <c r="K254" s="103"/>
      <c r="L254" s="103"/>
      <c r="M254" s="105" t="str">
        <f>IFERROR(VLOOKUP(G254,Reference!$I$2:$J$175,2,FALSE()),"Operations")</f>
        <v>Operations</v>
      </c>
      <c r="N254" s="6"/>
      <c r="O254" s="6"/>
    </row>
    <row r="255" spans="1:15" ht="15" customHeight="1" x14ac:dyDescent="0.25">
      <c r="A255" s="106" t="s">
        <v>163</v>
      </c>
      <c r="B255" s="107">
        <f>COUNTA(A225:A254)</f>
        <v>0</v>
      </c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6"/>
      <c r="O255" s="6"/>
    </row>
    <row r="256" spans="1:15" ht="6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 spans="1:15" ht="21.75" customHeight="1" x14ac:dyDescent="0.25">
      <c r="A257" s="163" t="s">
        <v>272</v>
      </c>
      <c r="B257" s="163"/>
      <c r="C257" s="163"/>
      <c r="D257" s="163"/>
      <c r="E257" s="163"/>
      <c r="F257" s="163"/>
      <c r="G257" s="163"/>
      <c r="H257" s="163"/>
      <c r="I257" s="163"/>
      <c r="J257" s="163"/>
      <c r="K257" s="163"/>
      <c r="L257" s="163"/>
      <c r="M257" s="163"/>
      <c r="N257" s="6"/>
      <c r="O257" s="6"/>
    </row>
    <row r="258" spans="1:15" ht="19.5" customHeight="1" x14ac:dyDescent="0.25">
      <c r="A258" s="64" t="s">
        <v>151</v>
      </c>
      <c r="B258" s="64" t="s">
        <v>152</v>
      </c>
      <c r="C258" s="64" t="s">
        <v>153</v>
      </c>
      <c r="D258" s="64" t="s">
        <v>154</v>
      </c>
      <c r="E258" s="64" t="s">
        <v>155</v>
      </c>
      <c r="F258" s="64" t="s">
        <v>156</v>
      </c>
      <c r="G258" s="64" t="s">
        <v>157</v>
      </c>
      <c r="H258" s="64" t="s">
        <v>158</v>
      </c>
      <c r="I258" s="64" t="s">
        <v>159</v>
      </c>
      <c r="J258" s="64" t="s">
        <v>160</v>
      </c>
      <c r="K258" s="64" t="s">
        <v>134</v>
      </c>
      <c r="L258" s="64" t="s">
        <v>161</v>
      </c>
      <c r="M258" s="64" t="s">
        <v>162</v>
      </c>
      <c r="N258" s="6"/>
      <c r="O258" s="6"/>
    </row>
    <row r="259" spans="1:15" ht="15" customHeight="1" x14ac:dyDescent="0.25">
      <c r="A259" s="100"/>
      <c r="B259" s="101"/>
      <c r="C259" s="101"/>
      <c r="D259" s="100">
        <f>IF(OR(B259="",C259=""),"",IF(DATEDIF(C259,B259,"y")&gt;=1,DATEDIF(C259,B259,"y")&amp;IF(DATEDIF(C259,B259,"y")=1," year "," years ")&amp;DATEDIF(C259,B259,"ym")&amp;IF(DATEDIF(C259,B259,"ym")=1," month"," months"),IF(DATEDIF(C259,B259,"m")&gt;=1,DATEDIF(C259,B259,"m")&amp;IF(DATEDIF(C259,B259,"m")=1," month"," months"),DATEDIF(C259,B259,"d")&amp;IF(DATEDIF(C259,B259,"d")=1," day"," days"))))</f>
      </c>
      <c r="E259" s="100"/>
      <c r="F259" s="100"/>
      <c r="G259" s="100"/>
      <c r="H259" s="100"/>
      <c r="I259" s="100"/>
      <c r="J259" s="101"/>
      <c r="K259" s="100"/>
      <c r="L259" s="100"/>
      <c r="M259" s="102" t="str">
        <f>IFERROR(VLOOKUP(G259,Reference!$I$2:$J$175,2,FALSE()),"Operations")</f>
        <v>Operations</v>
      </c>
      <c r="N259" s="6"/>
      <c r="O259" s="6"/>
    </row>
    <row r="260" spans="1:15" ht="15" customHeight="1" x14ac:dyDescent="0.25">
      <c r="A260" s="103"/>
      <c r="B260" s="104"/>
      <c r="C260" s="104"/>
      <c r="D260" s="103">
        <f>IF(OR(B260="",C260=""),"",IF(DATEDIF(C260,B260,"y")&gt;=1,DATEDIF(C260,B260,"y")&amp;IF(DATEDIF(C260,B260,"y")=1," year "," years ")&amp;DATEDIF(C260,B260,"ym")&amp;IF(DATEDIF(C260,B260,"ym")=1," month"," months"),IF(DATEDIF(C260,B260,"m")&gt;=1,DATEDIF(C260,B260,"m")&amp;IF(DATEDIF(C260,B260,"m")=1," month"," months"),DATEDIF(C260,B260,"d")&amp;IF(DATEDIF(C260,B260,"d")=1," day"," days"))))</f>
      </c>
      <c r="E260" s="103"/>
      <c r="F260" s="103"/>
      <c r="G260" s="103"/>
      <c r="H260" s="103"/>
      <c r="I260" s="103"/>
      <c r="J260" s="104"/>
      <c r="K260" s="103"/>
      <c r="L260" s="103"/>
      <c r="M260" s="105" t="str">
        <f>IFERROR(VLOOKUP(G260,Reference!$I$2:$J$175,2,FALSE()),"Operations")</f>
        <v>Operations</v>
      </c>
      <c r="N260" s="6"/>
      <c r="O260" s="6"/>
    </row>
    <row r="261" spans="1:15" ht="15" customHeight="1" x14ac:dyDescent="0.25">
      <c r="A261" s="100"/>
      <c r="B261" s="101"/>
      <c r="C261" s="101"/>
      <c r="D261" s="100">
        <f>IF(OR(B261="",C261=""),"",IF(DATEDIF(C261,B261,"y")&gt;=1,DATEDIF(C261,B261,"y")&amp;IF(DATEDIF(C261,B261,"y")=1," year "," years ")&amp;DATEDIF(C261,B261,"ym")&amp;IF(DATEDIF(C261,B261,"ym")=1," month"," months"),IF(DATEDIF(C261,B261,"m")&gt;=1,DATEDIF(C261,B261,"m")&amp;IF(DATEDIF(C261,B261,"m")=1," month"," months"),DATEDIF(C261,B261,"d")&amp;IF(DATEDIF(C261,B261,"d")=1," day"," days"))))</f>
      </c>
      <c r="E261" s="100"/>
      <c r="F261" s="100"/>
      <c r="G261" s="100"/>
      <c r="H261" s="100"/>
      <c r="I261" s="100"/>
      <c r="J261" s="101"/>
      <c r="K261" s="100"/>
      <c r="L261" s="100"/>
      <c r="M261" s="102" t="str">
        <f>IFERROR(VLOOKUP(G261,Reference!$I$2:$J$175,2,FALSE()),"Operations")</f>
        <v>Operations</v>
      </c>
      <c r="N261" s="6"/>
      <c r="O261" s="6"/>
    </row>
    <row r="262" spans="1:15" ht="15" customHeight="1" x14ac:dyDescent="0.25">
      <c r="A262" s="103"/>
      <c r="B262" s="104"/>
      <c r="C262" s="104"/>
      <c r="D262" s="103">
        <f>IF(OR(B262="",C262=""),"",IF(DATEDIF(C262,B262,"y")&gt;=1,DATEDIF(C262,B262,"y")&amp;IF(DATEDIF(C262,B262,"y")=1," year "," years ")&amp;DATEDIF(C262,B262,"ym")&amp;IF(DATEDIF(C262,B262,"ym")=1," month"," months"),IF(DATEDIF(C262,B262,"m")&gt;=1,DATEDIF(C262,B262,"m")&amp;IF(DATEDIF(C262,B262,"m")=1," month"," months"),DATEDIF(C262,B262,"d")&amp;IF(DATEDIF(C262,B262,"d")=1," day"," days"))))</f>
      </c>
      <c r="E262" s="103"/>
      <c r="F262" s="103"/>
      <c r="G262" s="103"/>
      <c r="H262" s="103"/>
      <c r="I262" s="103"/>
      <c r="J262" s="104"/>
      <c r="K262" s="103"/>
      <c r="L262" s="103"/>
      <c r="M262" s="105" t="str">
        <f>IFERROR(VLOOKUP(G262,Reference!$I$2:$J$175,2,FALSE()),"Operations")</f>
        <v>Operations</v>
      </c>
      <c r="N262" s="6"/>
      <c r="O262" s="6"/>
    </row>
    <row r="263" spans="1:15" ht="15" customHeight="1" x14ac:dyDescent="0.25">
      <c r="A263" s="100"/>
      <c r="B263" s="101"/>
      <c r="C263" s="101"/>
      <c r="D263" s="100">
        <f>IF(OR(B263="",C263=""),"",IF(DATEDIF(C263,B263,"y")&gt;=1,DATEDIF(C263,B263,"y")&amp;IF(DATEDIF(C263,B263,"y")=1," year "," years ")&amp;DATEDIF(C263,B263,"ym")&amp;IF(DATEDIF(C263,B263,"ym")=1," month"," months"),IF(DATEDIF(C263,B263,"m")&gt;=1,DATEDIF(C263,B263,"m")&amp;IF(DATEDIF(C263,B263,"m")=1," month"," months"),DATEDIF(C263,B263,"d")&amp;IF(DATEDIF(C263,B263,"d")=1," day"," days"))))</f>
      </c>
      <c r="E263" s="100"/>
      <c r="F263" s="100"/>
      <c r="G263" s="100"/>
      <c r="H263" s="100"/>
      <c r="I263" s="100"/>
      <c r="J263" s="101"/>
      <c r="K263" s="100"/>
      <c r="L263" s="100"/>
      <c r="M263" s="102" t="str">
        <f>IFERROR(VLOOKUP(G263,Reference!$I$2:$J$175,2,FALSE()),"Operations")</f>
        <v>Operations</v>
      </c>
      <c r="N263" s="6"/>
      <c r="O263" s="6"/>
    </row>
    <row r="264" spans="1:15" ht="15" customHeight="1" x14ac:dyDescent="0.25">
      <c r="A264" s="103"/>
      <c r="B264" s="104"/>
      <c r="C264" s="104"/>
      <c r="D264" s="103">
        <f>IF(OR(B264="",C264=""),"",IF(DATEDIF(C264,B264,"y")&gt;=1,DATEDIF(C264,B264,"y")&amp;IF(DATEDIF(C264,B264,"y")=1," year "," years ")&amp;DATEDIF(C264,B264,"ym")&amp;IF(DATEDIF(C264,B264,"ym")=1," month"," months"),IF(DATEDIF(C264,B264,"m")&gt;=1,DATEDIF(C264,B264,"m")&amp;IF(DATEDIF(C264,B264,"m")=1," month"," months"),DATEDIF(C264,B264,"d")&amp;IF(DATEDIF(C264,B264,"d")=1," day"," days"))))</f>
      </c>
      <c r="E264" s="103"/>
      <c r="F264" s="103"/>
      <c r="G264" s="103"/>
      <c r="H264" s="103"/>
      <c r="I264" s="103"/>
      <c r="J264" s="104"/>
      <c r="K264" s="103"/>
      <c r="L264" s="103"/>
      <c r="M264" s="105" t="str">
        <f>IFERROR(VLOOKUP(G264,Reference!$I$2:$J$175,2,FALSE()),"Operations")</f>
        <v>Operations</v>
      </c>
      <c r="N264" s="6"/>
      <c r="O264" s="6"/>
    </row>
    <row r="265" spans="1:15" ht="15" customHeight="1" x14ac:dyDescent="0.25">
      <c r="A265" s="100"/>
      <c r="B265" s="101"/>
      <c r="C265" s="101"/>
      <c r="D265" s="100">
        <f>IF(OR(B265="",C265=""),"",IF(DATEDIF(C265,B265,"y")&gt;=1,DATEDIF(C265,B265,"y")&amp;IF(DATEDIF(C265,B265,"y")=1," year "," years ")&amp;DATEDIF(C265,B265,"ym")&amp;IF(DATEDIF(C265,B265,"ym")=1," month"," months"),IF(DATEDIF(C265,B265,"m")&gt;=1,DATEDIF(C265,B265,"m")&amp;IF(DATEDIF(C265,B265,"m")=1," month"," months"),DATEDIF(C265,B265,"d")&amp;IF(DATEDIF(C265,B265,"d")=1," day"," days"))))</f>
      </c>
      <c r="E265" s="100"/>
      <c r="F265" s="100"/>
      <c r="G265" s="100"/>
      <c r="H265" s="100"/>
      <c r="I265" s="100"/>
      <c r="J265" s="101"/>
      <c r="K265" s="100"/>
      <c r="L265" s="100"/>
      <c r="M265" s="102" t="str">
        <f>IFERROR(VLOOKUP(G265,Reference!$I$2:$J$175,2,FALSE()),"Operations")</f>
        <v>Operations</v>
      </c>
      <c r="N265" s="6"/>
      <c r="O265" s="6"/>
    </row>
    <row r="266" spans="1:15" ht="15" customHeight="1" x14ac:dyDescent="0.25">
      <c r="A266" s="103"/>
      <c r="B266" s="104"/>
      <c r="C266" s="104"/>
      <c r="D266" s="103">
        <f>IF(OR(B266="",C266=""),"",IF(DATEDIF(C266,B266,"y")&gt;=1,DATEDIF(C266,B266,"y")&amp;IF(DATEDIF(C266,B266,"y")=1," year "," years ")&amp;DATEDIF(C266,B266,"ym")&amp;IF(DATEDIF(C266,B266,"ym")=1," month"," months"),IF(DATEDIF(C266,B266,"m")&gt;=1,DATEDIF(C266,B266,"m")&amp;IF(DATEDIF(C266,B266,"m")=1," month"," months"),DATEDIF(C266,B266,"d")&amp;IF(DATEDIF(C266,B266,"d")=1," day"," days"))))</f>
      </c>
      <c r="E266" s="103"/>
      <c r="F266" s="103"/>
      <c r="G266" s="103"/>
      <c r="H266" s="103"/>
      <c r="I266" s="103"/>
      <c r="J266" s="104"/>
      <c r="K266" s="103"/>
      <c r="L266" s="103"/>
      <c r="M266" s="105" t="str">
        <f>IFERROR(VLOOKUP(G266,Reference!$I$2:$J$175,2,FALSE()),"Operations")</f>
        <v>Operations</v>
      </c>
      <c r="N266" s="6"/>
      <c r="O266" s="6"/>
    </row>
    <row r="267" spans="1:15" ht="15" customHeight="1" x14ac:dyDescent="0.25">
      <c r="A267" s="100"/>
      <c r="B267" s="101"/>
      <c r="C267" s="101"/>
      <c r="D267" s="100">
        <f>IF(OR(B267="",C267=""),"",IF(DATEDIF(C267,B267,"y")&gt;=1,DATEDIF(C267,B267,"y")&amp;IF(DATEDIF(C267,B267,"y")=1," year "," years ")&amp;DATEDIF(C267,B267,"ym")&amp;IF(DATEDIF(C267,B267,"ym")=1," month"," months"),IF(DATEDIF(C267,B267,"m")&gt;=1,DATEDIF(C267,B267,"m")&amp;IF(DATEDIF(C267,B267,"m")=1," month"," months"),DATEDIF(C267,B267,"d")&amp;IF(DATEDIF(C267,B267,"d")=1," day"," days"))))</f>
      </c>
      <c r="E267" s="100"/>
      <c r="F267" s="100"/>
      <c r="G267" s="100"/>
      <c r="H267" s="100"/>
      <c r="I267" s="100"/>
      <c r="J267" s="101"/>
      <c r="K267" s="100"/>
      <c r="L267" s="100"/>
      <c r="M267" s="102" t="str">
        <f>IFERROR(VLOOKUP(G267,Reference!$I$2:$J$175,2,FALSE()),"Operations")</f>
        <v>Operations</v>
      </c>
      <c r="N267" s="6"/>
      <c r="O267" s="6"/>
    </row>
    <row r="268" spans="1:15" ht="15" customHeight="1" x14ac:dyDescent="0.25">
      <c r="A268" s="103"/>
      <c r="B268" s="104"/>
      <c r="C268" s="104"/>
      <c r="D268" s="103">
        <f>IF(OR(B268="",C268=""),"",IF(DATEDIF(C268,B268,"y")&gt;=1,DATEDIF(C268,B268,"y")&amp;IF(DATEDIF(C268,B268,"y")=1," year "," years ")&amp;DATEDIF(C268,B268,"ym")&amp;IF(DATEDIF(C268,B268,"ym")=1," month"," months"),IF(DATEDIF(C268,B268,"m")&gt;=1,DATEDIF(C268,B268,"m")&amp;IF(DATEDIF(C268,B268,"m")=1," month"," months"),DATEDIF(C268,B268,"d")&amp;IF(DATEDIF(C268,B268,"d")=1," day"," days"))))</f>
      </c>
      <c r="E268" s="103"/>
      <c r="F268" s="103"/>
      <c r="G268" s="103"/>
      <c r="H268" s="103"/>
      <c r="I268" s="103"/>
      <c r="J268" s="104"/>
      <c r="K268" s="103"/>
      <c r="L268" s="103"/>
      <c r="M268" s="105" t="str">
        <f>IFERROR(VLOOKUP(G268,Reference!$I$2:$J$175,2,FALSE()),"Operations")</f>
        <v>Operations</v>
      </c>
      <c r="N268" s="6"/>
      <c r="O268" s="6"/>
    </row>
    <row r="269" spans="1:15" ht="15" customHeight="1" x14ac:dyDescent="0.25">
      <c r="A269" s="100"/>
      <c r="B269" s="101"/>
      <c r="C269" s="101"/>
      <c r="D269" s="100">
        <f>IF(OR(B269="",C269=""),"",IF(DATEDIF(C269,B269,"y")&gt;=1,DATEDIF(C269,B269,"y")&amp;IF(DATEDIF(C269,B269,"y")=1," year "," years ")&amp;DATEDIF(C269,B269,"ym")&amp;IF(DATEDIF(C269,B269,"ym")=1," month"," months"),IF(DATEDIF(C269,B269,"m")&gt;=1,DATEDIF(C269,B269,"m")&amp;IF(DATEDIF(C269,B269,"m")=1," month"," months"),DATEDIF(C269,B269,"d")&amp;IF(DATEDIF(C269,B269,"d")=1," day"," days"))))</f>
      </c>
      <c r="E269" s="100"/>
      <c r="F269" s="100"/>
      <c r="G269" s="100"/>
      <c r="H269" s="100"/>
      <c r="I269" s="100"/>
      <c r="J269" s="101"/>
      <c r="K269" s="100"/>
      <c r="L269" s="100"/>
      <c r="M269" s="102" t="str">
        <f>IFERROR(VLOOKUP(G269,Reference!$I$2:$J$175,2,FALSE()),"Operations")</f>
        <v>Operations</v>
      </c>
      <c r="N269" s="6"/>
      <c r="O269" s="6"/>
    </row>
    <row r="270" spans="1:15" ht="15" customHeight="1" x14ac:dyDescent="0.25">
      <c r="A270" s="103"/>
      <c r="B270" s="104"/>
      <c r="C270" s="104"/>
      <c r="D270" s="103">
        <f>IF(OR(B270="",C270=""),"",IF(DATEDIF(C270,B270,"y")&gt;=1,DATEDIF(C270,B270,"y")&amp;IF(DATEDIF(C270,B270,"y")=1," year "," years ")&amp;DATEDIF(C270,B270,"ym")&amp;IF(DATEDIF(C270,B270,"ym")=1," month"," months"),IF(DATEDIF(C270,B270,"m")&gt;=1,DATEDIF(C270,B270,"m")&amp;IF(DATEDIF(C270,B270,"m")=1," month"," months"),DATEDIF(C270,B270,"d")&amp;IF(DATEDIF(C270,B270,"d")=1," day"," days"))))</f>
      </c>
      <c r="E270" s="103"/>
      <c r="F270" s="103"/>
      <c r="G270" s="103"/>
      <c r="H270" s="103"/>
      <c r="I270" s="103"/>
      <c r="J270" s="104"/>
      <c r="K270" s="103"/>
      <c r="L270" s="103"/>
      <c r="M270" s="105" t="str">
        <f>IFERROR(VLOOKUP(G270,Reference!$I$2:$J$175,2,FALSE()),"Operations")</f>
        <v>Operations</v>
      </c>
      <c r="N270" s="6"/>
      <c r="O270" s="6"/>
    </row>
    <row r="271" spans="1:15" ht="15" customHeight="1" x14ac:dyDescent="0.25">
      <c r="A271" s="100"/>
      <c r="B271" s="101"/>
      <c r="C271" s="101"/>
      <c r="D271" s="100">
        <f>IF(OR(B271="",C271=""),"",IF(DATEDIF(C271,B271,"y")&gt;=1,DATEDIF(C271,B271,"y")&amp;IF(DATEDIF(C271,B271,"y")=1," year "," years ")&amp;DATEDIF(C271,B271,"ym")&amp;IF(DATEDIF(C271,B271,"ym")=1," month"," months"),IF(DATEDIF(C271,B271,"m")&gt;=1,DATEDIF(C271,B271,"m")&amp;IF(DATEDIF(C271,B271,"m")=1," month"," months"),DATEDIF(C271,B271,"d")&amp;IF(DATEDIF(C271,B271,"d")=1," day"," days"))))</f>
      </c>
      <c r="E271" s="100"/>
      <c r="F271" s="100"/>
      <c r="G271" s="100"/>
      <c r="H271" s="100"/>
      <c r="I271" s="100"/>
      <c r="J271" s="101"/>
      <c r="K271" s="100"/>
      <c r="L271" s="100"/>
      <c r="M271" s="102" t="str">
        <f>IFERROR(VLOOKUP(G271,Reference!$I$2:$J$175,2,FALSE()),"Operations")</f>
        <v>Operations</v>
      </c>
      <c r="N271" s="6"/>
      <c r="O271" s="6"/>
    </row>
    <row r="272" spans="1:15" ht="15" customHeight="1" x14ac:dyDescent="0.25">
      <c r="A272" s="103"/>
      <c r="B272" s="104"/>
      <c r="C272" s="104"/>
      <c r="D272" s="103">
        <f>IF(OR(B272="",C272=""),"",IF(DATEDIF(C272,B272,"y")&gt;=1,DATEDIF(C272,B272,"y")&amp;IF(DATEDIF(C272,B272,"y")=1," year "," years ")&amp;DATEDIF(C272,B272,"ym")&amp;IF(DATEDIF(C272,B272,"ym")=1," month"," months"),IF(DATEDIF(C272,B272,"m")&gt;=1,DATEDIF(C272,B272,"m")&amp;IF(DATEDIF(C272,B272,"m")=1," month"," months"),DATEDIF(C272,B272,"d")&amp;IF(DATEDIF(C272,B272,"d")=1," day"," days"))))</f>
      </c>
      <c r="E272" s="103"/>
      <c r="F272" s="103"/>
      <c r="G272" s="103"/>
      <c r="H272" s="103"/>
      <c r="I272" s="103"/>
      <c r="J272" s="104"/>
      <c r="K272" s="103"/>
      <c r="L272" s="103"/>
      <c r="M272" s="105" t="str">
        <f>IFERROR(VLOOKUP(G272,Reference!$I$2:$J$175,2,FALSE()),"Operations")</f>
        <v>Operations</v>
      </c>
      <c r="N272" s="6"/>
      <c r="O272" s="6"/>
    </row>
    <row r="273" spans="1:15" ht="15" customHeight="1" x14ac:dyDescent="0.25">
      <c r="A273" s="100"/>
      <c r="B273" s="101"/>
      <c r="C273" s="101"/>
      <c r="D273" s="100">
        <f>IF(OR(B273="",C273=""),"",IF(DATEDIF(C273,B273,"y")&gt;=1,DATEDIF(C273,B273,"y")&amp;IF(DATEDIF(C273,B273,"y")=1," year "," years ")&amp;DATEDIF(C273,B273,"ym")&amp;IF(DATEDIF(C273,B273,"ym")=1," month"," months"),IF(DATEDIF(C273,B273,"m")&gt;=1,DATEDIF(C273,B273,"m")&amp;IF(DATEDIF(C273,B273,"m")=1," month"," months"),DATEDIF(C273,B273,"d")&amp;IF(DATEDIF(C273,B273,"d")=1," day"," days"))))</f>
      </c>
      <c r="E273" s="100"/>
      <c r="F273" s="100"/>
      <c r="G273" s="100"/>
      <c r="H273" s="100"/>
      <c r="I273" s="100"/>
      <c r="J273" s="101"/>
      <c r="K273" s="100"/>
      <c r="L273" s="100"/>
      <c r="M273" s="102" t="str">
        <f>IFERROR(VLOOKUP(G273,Reference!$I$2:$J$175,2,FALSE()),"Operations")</f>
        <v>Operations</v>
      </c>
      <c r="N273" s="6"/>
      <c r="O273" s="6"/>
    </row>
    <row r="274" spans="1:15" ht="15" customHeight="1" x14ac:dyDescent="0.25">
      <c r="A274" s="103"/>
      <c r="B274" s="104"/>
      <c r="C274" s="104"/>
      <c r="D274" s="103">
        <f>IF(OR(B274="",C274=""),"",IF(DATEDIF(C274,B274,"y")&gt;=1,DATEDIF(C274,B274,"y")&amp;IF(DATEDIF(C274,B274,"y")=1," year "," years ")&amp;DATEDIF(C274,B274,"ym")&amp;IF(DATEDIF(C274,B274,"ym")=1," month"," months"),IF(DATEDIF(C274,B274,"m")&gt;=1,DATEDIF(C274,B274,"m")&amp;IF(DATEDIF(C274,B274,"m")=1," month"," months"),DATEDIF(C274,B274,"d")&amp;IF(DATEDIF(C274,B274,"d")=1," day"," days"))))</f>
      </c>
      <c r="E274" s="103"/>
      <c r="F274" s="103"/>
      <c r="G274" s="103"/>
      <c r="H274" s="103"/>
      <c r="I274" s="103"/>
      <c r="J274" s="104"/>
      <c r="K274" s="103"/>
      <c r="L274" s="103"/>
      <c r="M274" s="105" t="str">
        <f>IFERROR(VLOOKUP(G274,Reference!$I$2:$J$175,2,FALSE()),"Operations")</f>
        <v>Operations</v>
      </c>
      <c r="N274" s="6"/>
      <c r="O274" s="6"/>
    </row>
    <row r="275" spans="1:15" ht="15" customHeight="1" x14ac:dyDescent="0.25">
      <c r="A275" s="100"/>
      <c r="B275" s="101"/>
      <c r="C275" s="101"/>
      <c r="D275" s="100">
        <f>IF(OR(B275="",C275=""),"",IF(DATEDIF(C275,B275,"y")&gt;=1,DATEDIF(C275,B275,"y")&amp;IF(DATEDIF(C275,B275,"y")=1," year "," years ")&amp;DATEDIF(C275,B275,"ym")&amp;IF(DATEDIF(C275,B275,"ym")=1," month"," months"),IF(DATEDIF(C275,B275,"m")&gt;=1,DATEDIF(C275,B275,"m")&amp;IF(DATEDIF(C275,B275,"m")=1," month"," months"),DATEDIF(C275,B275,"d")&amp;IF(DATEDIF(C275,B275,"d")=1," day"," days"))))</f>
      </c>
      <c r="E275" s="100"/>
      <c r="F275" s="100"/>
      <c r="G275" s="100"/>
      <c r="H275" s="100"/>
      <c r="I275" s="100"/>
      <c r="J275" s="101"/>
      <c r="K275" s="100"/>
      <c r="L275" s="100"/>
      <c r="M275" s="102" t="str">
        <f>IFERROR(VLOOKUP(G275,Reference!$I$2:$J$175,2,FALSE()),"Operations")</f>
        <v>Operations</v>
      </c>
      <c r="N275" s="6"/>
      <c r="O275" s="6"/>
    </row>
    <row r="276" spans="1:15" ht="15" customHeight="1" x14ac:dyDescent="0.25">
      <c r="A276" s="103"/>
      <c r="B276" s="104"/>
      <c r="C276" s="104"/>
      <c r="D276" s="103">
        <f>IF(OR(B276="",C276=""),"",IF(DATEDIF(C276,B276,"y")&gt;=1,DATEDIF(C276,B276,"y")&amp;IF(DATEDIF(C276,B276,"y")=1," year "," years ")&amp;DATEDIF(C276,B276,"ym")&amp;IF(DATEDIF(C276,B276,"ym")=1," month"," months"),IF(DATEDIF(C276,B276,"m")&gt;=1,DATEDIF(C276,B276,"m")&amp;IF(DATEDIF(C276,B276,"m")=1," month"," months"),DATEDIF(C276,B276,"d")&amp;IF(DATEDIF(C276,B276,"d")=1," day"," days"))))</f>
      </c>
      <c r="E276" s="103"/>
      <c r="F276" s="103"/>
      <c r="G276" s="103"/>
      <c r="H276" s="103"/>
      <c r="I276" s="103"/>
      <c r="J276" s="104"/>
      <c r="K276" s="103"/>
      <c r="L276" s="103"/>
      <c r="M276" s="105" t="str">
        <f>IFERROR(VLOOKUP(G276,Reference!$I$2:$J$175,2,FALSE()),"Operations")</f>
        <v>Operations</v>
      </c>
      <c r="N276" s="6"/>
      <c r="O276" s="6"/>
    </row>
    <row r="277" spans="1:15" ht="15" customHeight="1" x14ac:dyDescent="0.25">
      <c r="A277" s="100"/>
      <c r="B277" s="101"/>
      <c r="C277" s="101"/>
      <c r="D277" s="100">
        <f>IF(OR(B277="",C277=""),"",IF(DATEDIF(C277,B277,"y")&gt;=1,DATEDIF(C277,B277,"y")&amp;IF(DATEDIF(C277,B277,"y")=1," year "," years ")&amp;DATEDIF(C277,B277,"ym")&amp;IF(DATEDIF(C277,B277,"ym")=1," month"," months"),IF(DATEDIF(C277,B277,"m")&gt;=1,DATEDIF(C277,B277,"m")&amp;IF(DATEDIF(C277,B277,"m")=1," month"," months"),DATEDIF(C277,B277,"d")&amp;IF(DATEDIF(C277,B277,"d")=1," day"," days"))))</f>
      </c>
      <c r="E277" s="100"/>
      <c r="F277" s="100"/>
      <c r="G277" s="100"/>
      <c r="H277" s="100"/>
      <c r="I277" s="100"/>
      <c r="J277" s="101"/>
      <c r="K277" s="100"/>
      <c r="L277" s="100"/>
      <c r="M277" s="102" t="str">
        <f>IFERROR(VLOOKUP(G277,Reference!$I$2:$J$175,2,FALSE()),"Operations")</f>
        <v>Operations</v>
      </c>
      <c r="N277" s="6"/>
      <c r="O277" s="6"/>
    </row>
    <row r="278" spans="1:15" ht="15" customHeight="1" x14ac:dyDescent="0.25">
      <c r="A278" s="103"/>
      <c r="B278" s="104"/>
      <c r="C278" s="104"/>
      <c r="D278" s="103">
        <f>IF(OR(B278="",C278=""),"",IF(DATEDIF(C278,B278,"y")&gt;=1,DATEDIF(C278,B278,"y")&amp;IF(DATEDIF(C278,B278,"y")=1," year "," years ")&amp;DATEDIF(C278,B278,"ym")&amp;IF(DATEDIF(C278,B278,"ym")=1," month"," months"),IF(DATEDIF(C278,B278,"m")&gt;=1,DATEDIF(C278,B278,"m")&amp;IF(DATEDIF(C278,B278,"m")=1," month"," months"),DATEDIF(C278,B278,"d")&amp;IF(DATEDIF(C278,B278,"d")=1," day"," days"))))</f>
      </c>
      <c r="E278" s="103"/>
      <c r="F278" s="103"/>
      <c r="G278" s="103"/>
      <c r="H278" s="103"/>
      <c r="I278" s="103"/>
      <c r="J278" s="104"/>
      <c r="K278" s="103"/>
      <c r="L278" s="103"/>
      <c r="M278" s="105" t="str">
        <f>IFERROR(VLOOKUP(G278,Reference!$I$2:$J$175,2,FALSE()),"Operations")</f>
        <v>Operations</v>
      </c>
      <c r="N278" s="6"/>
      <c r="O278" s="6"/>
    </row>
    <row r="279" spans="1:15" ht="15" customHeight="1" x14ac:dyDescent="0.25">
      <c r="A279" s="100"/>
      <c r="B279" s="101"/>
      <c r="C279" s="101"/>
      <c r="D279" s="100">
        <f>IF(OR(B279="",C279=""),"",IF(DATEDIF(C279,B279,"y")&gt;=1,DATEDIF(C279,B279,"y")&amp;IF(DATEDIF(C279,B279,"y")=1," year "," years ")&amp;DATEDIF(C279,B279,"ym")&amp;IF(DATEDIF(C279,B279,"ym")=1," month"," months"),IF(DATEDIF(C279,B279,"m")&gt;=1,DATEDIF(C279,B279,"m")&amp;IF(DATEDIF(C279,B279,"m")=1," month"," months"),DATEDIF(C279,B279,"d")&amp;IF(DATEDIF(C279,B279,"d")=1," day"," days"))))</f>
      </c>
      <c r="E279" s="100"/>
      <c r="F279" s="100"/>
      <c r="G279" s="100"/>
      <c r="H279" s="100"/>
      <c r="I279" s="100"/>
      <c r="J279" s="101"/>
      <c r="K279" s="100"/>
      <c r="L279" s="100"/>
      <c r="M279" s="102" t="str">
        <f>IFERROR(VLOOKUP(G279,Reference!$I$2:$J$175,2,FALSE()),"Operations")</f>
        <v>Operations</v>
      </c>
      <c r="N279" s="6"/>
      <c r="O279" s="6"/>
    </row>
    <row r="280" spans="1:15" ht="15" customHeight="1" x14ac:dyDescent="0.25">
      <c r="A280" s="103"/>
      <c r="B280" s="104"/>
      <c r="C280" s="104"/>
      <c r="D280" s="103">
        <f>IF(OR(B280="",C280=""),"",IF(DATEDIF(C280,B280,"y")&gt;=1,DATEDIF(C280,B280,"y")&amp;IF(DATEDIF(C280,B280,"y")=1," year "," years ")&amp;DATEDIF(C280,B280,"ym")&amp;IF(DATEDIF(C280,B280,"ym")=1," month"," months"),IF(DATEDIF(C280,B280,"m")&gt;=1,DATEDIF(C280,B280,"m")&amp;IF(DATEDIF(C280,B280,"m")=1," month"," months"),DATEDIF(C280,B280,"d")&amp;IF(DATEDIF(C280,B280,"d")=1," day"," days"))))</f>
      </c>
      <c r="E280" s="103"/>
      <c r="F280" s="103"/>
      <c r="G280" s="103"/>
      <c r="H280" s="103"/>
      <c r="I280" s="103"/>
      <c r="J280" s="104"/>
      <c r="K280" s="103"/>
      <c r="L280" s="103"/>
      <c r="M280" s="105" t="str">
        <f>IFERROR(VLOOKUP(G280,Reference!$I$2:$J$175,2,FALSE()),"Operations")</f>
        <v>Operations</v>
      </c>
      <c r="N280" s="6"/>
      <c r="O280" s="6"/>
    </row>
    <row r="281" spans="1:15" ht="15" customHeight="1" x14ac:dyDescent="0.25">
      <c r="A281" s="100"/>
      <c r="B281" s="101"/>
      <c r="C281" s="101"/>
      <c r="D281" s="100">
        <f>IF(OR(B281="",C281=""),"",IF(DATEDIF(C281,B281,"y")&gt;=1,DATEDIF(C281,B281,"y")&amp;IF(DATEDIF(C281,B281,"y")=1," year "," years ")&amp;DATEDIF(C281,B281,"ym")&amp;IF(DATEDIF(C281,B281,"ym")=1," month"," months"),IF(DATEDIF(C281,B281,"m")&gt;=1,DATEDIF(C281,B281,"m")&amp;IF(DATEDIF(C281,B281,"m")=1," month"," months"),DATEDIF(C281,B281,"d")&amp;IF(DATEDIF(C281,B281,"d")=1," day"," days"))))</f>
      </c>
      <c r="E281" s="100"/>
      <c r="F281" s="100"/>
      <c r="G281" s="100"/>
      <c r="H281" s="100"/>
      <c r="I281" s="100"/>
      <c r="J281" s="101"/>
      <c r="K281" s="100"/>
      <c r="L281" s="100"/>
      <c r="M281" s="102" t="str">
        <f>IFERROR(VLOOKUP(G281,Reference!$I$2:$J$175,2,FALSE()),"Operations")</f>
        <v>Operations</v>
      </c>
      <c r="N281" s="6"/>
      <c r="O281" s="6"/>
    </row>
    <row r="282" spans="1:15" ht="15" customHeight="1" x14ac:dyDescent="0.25">
      <c r="A282" s="103"/>
      <c r="B282" s="104"/>
      <c r="C282" s="104"/>
      <c r="D282" s="103">
        <f>IF(OR(B282="",C282=""),"",IF(DATEDIF(C282,B282,"y")&gt;=1,DATEDIF(C282,B282,"y")&amp;IF(DATEDIF(C282,B282,"y")=1," year "," years ")&amp;DATEDIF(C282,B282,"ym")&amp;IF(DATEDIF(C282,B282,"ym")=1," month"," months"),IF(DATEDIF(C282,B282,"m")&gt;=1,DATEDIF(C282,B282,"m")&amp;IF(DATEDIF(C282,B282,"m")=1," month"," months"),DATEDIF(C282,B282,"d")&amp;IF(DATEDIF(C282,B282,"d")=1," day"," days"))))</f>
      </c>
      <c r="E282" s="103"/>
      <c r="F282" s="103"/>
      <c r="G282" s="103"/>
      <c r="H282" s="103"/>
      <c r="I282" s="103"/>
      <c r="J282" s="104"/>
      <c r="K282" s="103"/>
      <c r="L282" s="103"/>
      <c r="M282" s="105" t="str">
        <f>IFERROR(VLOOKUP(G282,Reference!$I$2:$J$175,2,FALSE()),"Operations")</f>
        <v>Operations</v>
      </c>
      <c r="N282" s="6"/>
      <c r="O282" s="6"/>
    </row>
    <row r="283" spans="1:15" ht="15" customHeight="1" x14ac:dyDescent="0.25">
      <c r="A283" s="100"/>
      <c r="B283" s="101"/>
      <c r="C283" s="101"/>
      <c r="D283" s="100">
        <f>IF(OR(B283="",C283=""),"",IF(DATEDIF(C283,B283,"y")&gt;=1,DATEDIF(C283,B283,"y")&amp;IF(DATEDIF(C283,B283,"y")=1," year "," years ")&amp;DATEDIF(C283,B283,"ym")&amp;IF(DATEDIF(C283,B283,"ym")=1," month"," months"),IF(DATEDIF(C283,B283,"m")&gt;=1,DATEDIF(C283,B283,"m")&amp;IF(DATEDIF(C283,B283,"m")=1," month"," months"),DATEDIF(C283,B283,"d")&amp;IF(DATEDIF(C283,B283,"d")=1," day"," days"))))</f>
      </c>
      <c r="E283" s="100"/>
      <c r="F283" s="100"/>
      <c r="G283" s="100"/>
      <c r="H283" s="100"/>
      <c r="I283" s="100"/>
      <c r="J283" s="101"/>
      <c r="K283" s="100"/>
      <c r="L283" s="100"/>
      <c r="M283" s="102" t="str">
        <f>IFERROR(VLOOKUP(G283,Reference!$I$2:$J$175,2,FALSE()),"Operations")</f>
        <v>Operations</v>
      </c>
      <c r="N283" s="6"/>
      <c r="O283" s="6"/>
    </row>
    <row r="284" spans="1:15" ht="15" customHeight="1" x14ac:dyDescent="0.25">
      <c r="A284" s="103"/>
      <c r="B284" s="104"/>
      <c r="C284" s="104"/>
      <c r="D284" s="103">
        <f>IF(OR(B284="",C284=""),"",IF(DATEDIF(C284,B284,"y")&gt;=1,DATEDIF(C284,B284,"y")&amp;IF(DATEDIF(C284,B284,"y")=1," year "," years ")&amp;DATEDIF(C284,B284,"ym")&amp;IF(DATEDIF(C284,B284,"ym")=1," month"," months"),IF(DATEDIF(C284,B284,"m")&gt;=1,DATEDIF(C284,B284,"m")&amp;IF(DATEDIF(C284,B284,"m")=1," month"," months"),DATEDIF(C284,B284,"d")&amp;IF(DATEDIF(C284,B284,"d")=1," day"," days"))))</f>
      </c>
      <c r="E284" s="103"/>
      <c r="F284" s="103"/>
      <c r="G284" s="103"/>
      <c r="H284" s="103"/>
      <c r="I284" s="103"/>
      <c r="J284" s="104"/>
      <c r="K284" s="103"/>
      <c r="L284" s="103"/>
      <c r="M284" s="105" t="str">
        <f>IFERROR(VLOOKUP(G284,Reference!$I$2:$J$175,2,FALSE()),"Operations")</f>
        <v>Operations</v>
      </c>
      <c r="N284" s="6"/>
      <c r="O284" s="6"/>
    </row>
    <row r="285" spans="1:15" ht="15" customHeight="1" x14ac:dyDescent="0.25">
      <c r="A285" s="100"/>
      <c r="B285" s="101"/>
      <c r="C285" s="101"/>
      <c r="D285" s="100">
        <f>IF(OR(B285="",C285=""),"",IF(DATEDIF(C285,B285,"y")&gt;=1,DATEDIF(C285,B285,"y")&amp;IF(DATEDIF(C285,B285,"y")=1," year "," years ")&amp;DATEDIF(C285,B285,"ym")&amp;IF(DATEDIF(C285,B285,"ym")=1," month"," months"),IF(DATEDIF(C285,B285,"m")&gt;=1,DATEDIF(C285,B285,"m")&amp;IF(DATEDIF(C285,B285,"m")=1," month"," months"),DATEDIF(C285,B285,"d")&amp;IF(DATEDIF(C285,B285,"d")=1," day"," days"))))</f>
      </c>
      <c r="E285" s="100"/>
      <c r="F285" s="100"/>
      <c r="G285" s="100"/>
      <c r="H285" s="100"/>
      <c r="I285" s="100"/>
      <c r="J285" s="101"/>
      <c r="K285" s="100"/>
      <c r="L285" s="100"/>
      <c r="M285" s="102" t="str">
        <f>IFERROR(VLOOKUP(G285,Reference!$I$2:$J$175,2,FALSE()),"Operations")</f>
        <v>Operations</v>
      </c>
      <c r="N285" s="6"/>
      <c r="O285" s="6"/>
    </row>
    <row r="286" spans="1:15" ht="15" customHeight="1" x14ac:dyDescent="0.25">
      <c r="A286" s="103"/>
      <c r="B286" s="104"/>
      <c r="C286" s="104"/>
      <c r="D286" s="103">
        <f>IF(OR(B286="",C286=""),"",IF(DATEDIF(C286,B286,"y")&gt;=1,DATEDIF(C286,B286,"y")&amp;IF(DATEDIF(C286,B286,"y")=1," year "," years ")&amp;DATEDIF(C286,B286,"ym")&amp;IF(DATEDIF(C286,B286,"ym")=1," month"," months"),IF(DATEDIF(C286,B286,"m")&gt;=1,DATEDIF(C286,B286,"m")&amp;IF(DATEDIF(C286,B286,"m")=1," month"," months"),DATEDIF(C286,B286,"d")&amp;IF(DATEDIF(C286,B286,"d")=1," day"," days"))))</f>
      </c>
      <c r="E286" s="103"/>
      <c r="F286" s="103"/>
      <c r="G286" s="103"/>
      <c r="H286" s="103"/>
      <c r="I286" s="103"/>
      <c r="J286" s="104"/>
      <c r="K286" s="103"/>
      <c r="L286" s="103"/>
      <c r="M286" s="105" t="str">
        <f>IFERROR(VLOOKUP(G286,Reference!$I$2:$J$175,2,FALSE()),"Operations")</f>
        <v>Operations</v>
      </c>
      <c r="N286" s="6"/>
      <c r="O286" s="6"/>
    </row>
    <row r="287" spans="1:15" ht="15" customHeight="1" x14ac:dyDescent="0.25">
      <c r="A287" s="100"/>
      <c r="B287" s="101"/>
      <c r="C287" s="101"/>
      <c r="D287" s="100">
        <f>IF(OR(B287="",C287=""),"",IF(DATEDIF(C287,B287,"y")&gt;=1,DATEDIF(C287,B287,"y")&amp;IF(DATEDIF(C287,B287,"y")=1," year "," years ")&amp;DATEDIF(C287,B287,"ym")&amp;IF(DATEDIF(C287,B287,"ym")=1," month"," months"),IF(DATEDIF(C287,B287,"m")&gt;=1,DATEDIF(C287,B287,"m")&amp;IF(DATEDIF(C287,B287,"m")=1," month"," months"),DATEDIF(C287,B287,"d")&amp;IF(DATEDIF(C287,B287,"d")=1," day"," days"))))</f>
      </c>
      <c r="E287" s="100"/>
      <c r="F287" s="100"/>
      <c r="G287" s="100"/>
      <c r="H287" s="100"/>
      <c r="I287" s="100"/>
      <c r="J287" s="101"/>
      <c r="K287" s="100"/>
      <c r="L287" s="100"/>
      <c r="M287" s="102" t="str">
        <f>IFERROR(VLOOKUP(G287,Reference!$I$2:$J$175,2,FALSE()),"Operations")</f>
        <v>Operations</v>
      </c>
      <c r="N287" s="6"/>
      <c r="O287" s="6"/>
    </row>
    <row r="288" spans="1:15" ht="15" customHeight="1" x14ac:dyDescent="0.25">
      <c r="A288" s="103"/>
      <c r="B288" s="104"/>
      <c r="C288" s="104"/>
      <c r="D288" s="103">
        <f>IF(OR(B288="",C288=""),"",IF(DATEDIF(C288,B288,"y")&gt;=1,DATEDIF(C288,B288,"y")&amp;IF(DATEDIF(C288,B288,"y")=1," year "," years ")&amp;DATEDIF(C288,B288,"ym")&amp;IF(DATEDIF(C288,B288,"ym")=1," month"," months"),IF(DATEDIF(C288,B288,"m")&gt;=1,DATEDIF(C288,B288,"m")&amp;IF(DATEDIF(C288,B288,"m")=1," month"," months"),DATEDIF(C288,B288,"d")&amp;IF(DATEDIF(C288,B288,"d")=1," day"," days"))))</f>
      </c>
      <c r="E288" s="103"/>
      <c r="F288" s="103"/>
      <c r="G288" s="103"/>
      <c r="H288" s="103"/>
      <c r="I288" s="103"/>
      <c r="J288" s="104"/>
      <c r="K288" s="103"/>
      <c r="L288" s="103"/>
      <c r="M288" s="105" t="str">
        <f>IFERROR(VLOOKUP(G288,Reference!$I$2:$J$175,2,FALSE()),"Operations")</f>
        <v>Operations</v>
      </c>
      <c r="N288" s="6"/>
      <c r="O288" s="6"/>
    </row>
    <row r="289" spans="1:15" ht="15" customHeight="1" x14ac:dyDescent="0.25">
      <c r="A289" s="106" t="s">
        <v>163</v>
      </c>
      <c r="B289" s="107">
        <f>COUNTA(A259:A288)</f>
        <v>0</v>
      </c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6"/>
      <c r="O289" s="6"/>
    </row>
    <row r="290" spans="1:15" ht="6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</row>
    <row r="291" spans="1:15" ht="21.75" customHeight="1" x14ac:dyDescent="0.25">
      <c r="A291" s="163" t="s">
        <v>273</v>
      </c>
      <c r="B291" s="163"/>
      <c r="C291" s="163"/>
      <c r="D291" s="163"/>
      <c r="E291" s="163"/>
      <c r="F291" s="163"/>
      <c r="G291" s="163"/>
      <c r="H291" s="163"/>
      <c r="I291" s="163"/>
      <c r="J291" s="163"/>
      <c r="K291" s="163"/>
      <c r="L291" s="163"/>
      <c r="M291" s="163"/>
      <c r="N291" s="6"/>
      <c r="O291" s="6"/>
    </row>
    <row r="292" spans="1:15" ht="19.5" customHeight="1" x14ac:dyDescent="0.25">
      <c r="A292" s="64" t="s">
        <v>151</v>
      </c>
      <c r="B292" s="64" t="s">
        <v>152</v>
      </c>
      <c r="C292" s="64" t="s">
        <v>153</v>
      </c>
      <c r="D292" s="64" t="s">
        <v>154</v>
      </c>
      <c r="E292" s="64" t="s">
        <v>155</v>
      </c>
      <c r="F292" s="64" t="s">
        <v>156</v>
      </c>
      <c r="G292" s="64" t="s">
        <v>157</v>
      </c>
      <c r="H292" s="64" t="s">
        <v>158</v>
      </c>
      <c r="I292" s="64" t="s">
        <v>159</v>
      </c>
      <c r="J292" s="64" t="s">
        <v>160</v>
      </c>
      <c r="K292" s="64" t="s">
        <v>134</v>
      </c>
      <c r="L292" s="64" t="s">
        <v>161</v>
      </c>
      <c r="M292" s="64" t="s">
        <v>162</v>
      </c>
      <c r="N292" s="6"/>
      <c r="O292" s="6"/>
    </row>
    <row r="293" spans="1:15" ht="15" customHeight="1" x14ac:dyDescent="0.25">
      <c r="A293" s="100"/>
      <c r="B293" s="101"/>
      <c r="C293" s="101"/>
      <c r="D293" s="100">
        <f>IF(OR(B293="",C293=""),"",IF(DATEDIF(C293,B293,"y")&gt;=1,DATEDIF(C293,B293,"y")&amp;IF(DATEDIF(C293,B293,"y")=1," year "," years ")&amp;DATEDIF(C293,B293,"ym")&amp;IF(DATEDIF(C293,B293,"ym")=1," month"," months"),IF(DATEDIF(C293,B293,"m")&gt;=1,DATEDIF(C293,B293,"m")&amp;IF(DATEDIF(C293,B293,"m")=1," month"," months"),DATEDIF(C293,B293,"d")&amp;IF(DATEDIF(C293,B293,"d")=1," day"," days"))))</f>
      </c>
      <c r="E293" s="100"/>
      <c r="F293" s="100"/>
      <c r="G293" s="100"/>
      <c r="H293" s="100"/>
      <c r="I293" s="100"/>
      <c r="J293" s="101"/>
      <c r="K293" s="100"/>
      <c r="L293" s="100"/>
      <c r="M293" s="102" t="str">
        <f>IFERROR(VLOOKUP(G293,Reference!$I$2:$J$175,2,FALSE()),"Operations")</f>
        <v>Operations</v>
      </c>
      <c r="N293" s="6"/>
      <c r="O293" s="6"/>
    </row>
    <row r="294" spans="1:15" ht="15" customHeight="1" x14ac:dyDescent="0.25">
      <c r="A294" s="103"/>
      <c r="B294" s="104"/>
      <c r="C294" s="104"/>
      <c r="D294" s="103">
        <f>IF(OR(B294="",C294=""),"",IF(DATEDIF(C294,B294,"y")&gt;=1,DATEDIF(C294,B294,"y")&amp;IF(DATEDIF(C294,B294,"y")=1," year "," years ")&amp;DATEDIF(C294,B294,"ym")&amp;IF(DATEDIF(C294,B294,"ym")=1," month"," months"),IF(DATEDIF(C294,B294,"m")&gt;=1,DATEDIF(C294,B294,"m")&amp;IF(DATEDIF(C294,B294,"m")=1," month"," months"),DATEDIF(C294,B294,"d")&amp;IF(DATEDIF(C294,B294,"d")=1," day"," days"))))</f>
      </c>
      <c r="E294" s="103"/>
      <c r="F294" s="103"/>
      <c r="G294" s="103"/>
      <c r="H294" s="103"/>
      <c r="I294" s="103"/>
      <c r="J294" s="104"/>
      <c r="K294" s="103"/>
      <c r="L294" s="103"/>
      <c r="M294" s="105" t="str">
        <f>IFERROR(VLOOKUP(G294,Reference!$I$2:$J$175,2,FALSE()),"Operations")</f>
        <v>Operations</v>
      </c>
      <c r="N294" s="6"/>
      <c r="O294" s="6"/>
    </row>
    <row r="295" spans="1:15" ht="15" customHeight="1" x14ac:dyDescent="0.25">
      <c r="A295" s="100"/>
      <c r="B295" s="101"/>
      <c r="C295" s="101"/>
      <c r="D295" s="100">
        <f>IF(OR(B295="",C295=""),"",IF(DATEDIF(C295,B295,"y")&gt;=1,DATEDIF(C295,B295,"y")&amp;IF(DATEDIF(C295,B295,"y")=1," year "," years ")&amp;DATEDIF(C295,B295,"ym")&amp;IF(DATEDIF(C295,B295,"ym")=1," month"," months"),IF(DATEDIF(C295,B295,"m")&gt;=1,DATEDIF(C295,B295,"m")&amp;IF(DATEDIF(C295,B295,"m")=1," month"," months"),DATEDIF(C295,B295,"d")&amp;IF(DATEDIF(C295,B295,"d")=1," day"," days"))))</f>
      </c>
      <c r="E295" s="100"/>
      <c r="F295" s="100"/>
      <c r="G295" s="100"/>
      <c r="H295" s="100"/>
      <c r="I295" s="100"/>
      <c r="J295" s="101"/>
      <c r="K295" s="100"/>
      <c r="L295" s="100"/>
      <c r="M295" s="102" t="str">
        <f>IFERROR(VLOOKUP(G295,Reference!$I$2:$J$175,2,FALSE()),"Operations")</f>
        <v>Operations</v>
      </c>
      <c r="N295" s="6"/>
      <c r="O295" s="6"/>
    </row>
    <row r="296" spans="1:15" ht="15" customHeight="1" x14ac:dyDescent="0.25">
      <c r="A296" s="103"/>
      <c r="B296" s="104"/>
      <c r="C296" s="104"/>
      <c r="D296" s="103">
        <f>IF(OR(B296="",C296=""),"",IF(DATEDIF(C296,B296,"y")&gt;=1,DATEDIF(C296,B296,"y")&amp;IF(DATEDIF(C296,B296,"y")=1," year "," years ")&amp;DATEDIF(C296,B296,"ym")&amp;IF(DATEDIF(C296,B296,"ym")=1," month"," months"),IF(DATEDIF(C296,B296,"m")&gt;=1,DATEDIF(C296,B296,"m")&amp;IF(DATEDIF(C296,B296,"m")=1," month"," months"),DATEDIF(C296,B296,"d")&amp;IF(DATEDIF(C296,B296,"d")=1," day"," days"))))</f>
      </c>
      <c r="E296" s="103"/>
      <c r="F296" s="103"/>
      <c r="G296" s="103"/>
      <c r="H296" s="103"/>
      <c r="I296" s="103"/>
      <c r="J296" s="104"/>
      <c r="K296" s="103"/>
      <c r="L296" s="103"/>
      <c r="M296" s="105" t="str">
        <f>IFERROR(VLOOKUP(G296,Reference!$I$2:$J$175,2,FALSE()),"Operations")</f>
        <v>Operations</v>
      </c>
      <c r="N296" s="6"/>
      <c r="O296" s="6"/>
    </row>
    <row r="297" spans="1:15" ht="15" customHeight="1" x14ac:dyDescent="0.25">
      <c r="A297" s="100"/>
      <c r="B297" s="101"/>
      <c r="C297" s="101"/>
      <c r="D297" s="100">
        <f>IF(OR(B297="",C297=""),"",IF(DATEDIF(C297,B297,"y")&gt;=1,DATEDIF(C297,B297,"y")&amp;IF(DATEDIF(C297,B297,"y")=1," year "," years ")&amp;DATEDIF(C297,B297,"ym")&amp;IF(DATEDIF(C297,B297,"ym")=1," month"," months"),IF(DATEDIF(C297,B297,"m")&gt;=1,DATEDIF(C297,B297,"m")&amp;IF(DATEDIF(C297,B297,"m")=1," month"," months"),DATEDIF(C297,B297,"d")&amp;IF(DATEDIF(C297,B297,"d")=1," day"," days"))))</f>
      </c>
      <c r="E297" s="100"/>
      <c r="F297" s="100"/>
      <c r="G297" s="100"/>
      <c r="H297" s="100"/>
      <c r="I297" s="100"/>
      <c r="J297" s="101"/>
      <c r="K297" s="100"/>
      <c r="L297" s="100"/>
      <c r="M297" s="102" t="str">
        <f>IFERROR(VLOOKUP(G297,Reference!$I$2:$J$175,2,FALSE()),"Operations")</f>
        <v>Operations</v>
      </c>
      <c r="N297" s="6"/>
      <c r="O297" s="6"/>
    </row>
    <row r="298" spans="1:15" ht="15" customHeight="1" x14ac:dyDescent="0.25">
      <c r="A298" s="103"/>
      <c r="B298" s="104"/>
      <c r="C298" s="104"/>
      <c r="D298" s="103">
        <f>IF(OR(B298="",C298=""),"",IF(DATEDIF(C298,B298,"y")&gt;=1,DATEDIF(C298,B298,"y")&amp;IF(DATEDIF(C298,B298,"y")=1," year "," years ")&amp;DATEDIF(C298,B298,"ym")&amp;IF(DATEDIF(C298,B298,"ym")=1," month"," months"),IF(DATEDIF(C298,B298,"m")&gt;=1,DATEDIF(C298,B298,"m")&amp;IF(DATEDIF(C298,B298,"m")=1," month"," months"),DATEDIF(C298,B298,"d")&amp;IF(DATEDIF(C298,B298,"d")=1," day"," days"))))</f>
      </c>
      <c r="E298" s="103"/>
      <c r="F298" s="103"/>
      <c r="G298" s="103"/>
      <c r="H298" s="103"/>
      <c r="I298" s="103"/>
      <c r="J298" s="104"/>
      <c r="K298" s="103"/>
      <c r="L298" s="103"/>
      <c r="M298" s="105" t="str">
        <f>IFERROR(VLOOKUP(G298,Reference!$I$2:$J$175,2,FALSE()),"Operations")</f>
        <v>Operations</v>
      </c>
      <c r="N298" s="6"/>
      <c r="O298" s="6"/>
    </row>
    <row r="299" spans="1:15" ht="15" customHeight="1" x14ac:dyDescent="0.25">
      <c r="A299" s="100"/>
      <c r="B299" s="101"/>
      <c r="C299" s="101"/>
      <c r="D299" s="100">
        <f>IF(OR(B299="",C299=""),"",IF(DATEDIF(C299,B299,"y")&gt;=1,DATEDIF(C299,B299,"y")&amp;IF(DATEDIF(C299,B299,"y")=1," year "," years ")&amp;DATEDIF(C299,B299,"ym")&amp;IF(DATEDIF(C299,B299,"ym")=1," month"," months"),IF(DATEDIF(C299,B299,"m")&gt;=1,DATEDIF(C299,B299,"m")&amp;IF(DATEDIF(C299,B299,"m")=1," month"," months"),DATEDIF(C299,B299,"d")&amp;IF(DATEDIF(C299,B299,"d")=1," day"," days"))))</f>
      </c>
      <c r="E299" s="100"/>
      <c r="F299" s="100"/>
      <c r="G299" s="100"/>
      <c r="H299" s="100"/>
      <c r="I299" s="100"/>
      <c r="J299" s="101"/>
      <c r="K299" s="100"/>
      <c r="L299" s="100"/>
      <c r="M299" s="102" t="str">
        <f>IFERROR(VLOOKUP(G299,Reference!$I$2:$J$175,2,FALSE()),"Operations")</f>
        <v>Operations</v>
      </c>
      <c r="N299" s="6"/>
      <c r="O299" s="6"/>
    </row>
    <row r="300" spans="1:15" ht="15" customHeight="1" x14ac:dyDescent="0.25">
      <c r="A300" s="103"/>
      <c r="B300" s="104"/>
      <c r="C300" s="104"/>
      <c r="D300" s="103">
        <f>IF(OR(B300="",C300=""),"",IF(DATEDIF(C300,B300,"y")&gt;=1,DATEDIF(C300,B300,"y")&amp;IF(DATEDIF(C300,B300,"y")=1," year "," years ")&amp;DATEDIF(C300,B300,"ym")&amp;IF(DATEDIF(C300,B300,"ym")=1," month"," months"),IF(DATEDIF(C300,B300,"m")&gt;=1,DATEDIF(C300,B300,"m")&amp;IF(DATEDIF(C300,B300,"m")=1," month"," months"),DATEDIF(C300,B300,"d")&amp;IF(DATEDIF(C300,B300,"d")=1," day"," days"))))</f>
      </c>
      <c r="E300" s="103"/>
      <c r="F300" s="103"/>
      <c r="G300" s="103"/>
      <c r="H300" s="103"/>
      <c r="I300" s="103"/>
      <c r="J300" s="104"/>
      <c r="K300" s="103"/>
      <c r="L300" s="103"/>
      <c r="M300" s="105" t="str">
        <f>IFERROR(VLOOKUP(G300,Reference!$I$2:$J$175,2,FALSE()),"Operations")</f>
        <v>Operations</v>
      </c>
      <c r="N300" s="6"/>
      <c r="O300" s="6"/>
    </row>
    <row r="301" spans="1:15" ht="15" customHeight="1" x14ac:dyDescent="0.25">
      <c r="A301" s="100"/>
      <c r="B301" s="101"/>
      <c r="C301" s="101"/>
      <c r="D301" s="100">
        <f>IF(OR(B301="",C301=""),"",IF(DATEDIF(C301,B301,"y")&gt;=1,DATEDIF(C301,B301,"y")&amp;IF(DATEDIF(C301,B301,"y")=1," year "," years ")&amp;DATEDIF(C301,B301,"ym")&amp;IF(DATEDIF(C301,B301,"ym")=1," month"," months"),IF(DATEDIF(C301,B301,"m")&gt;=1,DATEDIF(C301,B301,"m")&amp;IF(DATEDIF(C301,B301,"m")=1," month"," months"),DATEDIF(C301,B301,"d")&amp;IF(DATEDIF(C301,B301,"d")=1," day"," days"))))</f>
      </c>
      <c r="E301" s="100"/>
      <c r="F301" s="100"/>
      <c r="G301" s="100"/>
      <c r="H301" s="100"/>
      <c r="I301" s="100"/>
      <c r="J301" s="101"/>
      <c r="K301" s="100"/>
      <c r="L301" s="100"/>
      <c r="M301" s="102" t="str">
        <f>IFERROR(VLOOKUP(G301,Reference!$I$2:$J$175,2,FALSE()),"Operations")</f>
        <v>Operations</v>
      </c>
      <c r="N301" s="6"/>
      <c r="O301" s="6"/>
    </row>
    <row r="302" spans="1:15" ht="15" customHeight="1" x14ac:dyDescent="0.25">
      <c r="A302" s="103"/>
      <c r="B302" s="104"/>
      <c r="C302" s="104"/>
      <c r="D302" s="103">
        <f>IF(OR(B302="",C302=""),"",IF(DATEDIF(C302,B302,"y")&gt;=1,DATEDIF(C302,B302,"y")&amp;IF(DATEDIF(C302,B302,"y")=1," year "," years ")&amp;DATEDIF(C302,B302,"ym")&amp;IF(DATEDIF(C302,B302,"ym")=1," month"," months"),IF(DATEDIF(C302,B302,"m")&gt;=1,DATEDIF(C302,B302,"m")&amp;IF(DATEDIF(C302,B302,"m")=1," month"," months"),DATEDIF(C302,B302,"d")&amp;IF(DATEDIF(C302,B302,"d")=1," day"," days"))))</f>
      </c>
      <c r="E302" s="103"/>
      <c r="F302" s="103"/>
      <c r="G302" s="103"/>
      <c r="H302" s="103"/>
      <c r="I302" s="103"/>
      <c r="J302" s="104"/>
      <c r="K302" s="103"/>
      <c r="L302" s="103"/>
      <c r="M302" s="105" t="str">
        <f>IFERROR(VLOOKUP(G302,Reference!$I$2:$J$175,2,FALSE()),"Operations")</f>
        <v>Operations</v>
      </c>
      <c r="N302" s="6"/>
      <c r="O302" s="6"/>
    </row>
    <row r="303" spans="1:15" ht="15" customHeight="1" x14ac:dyDescent="0.25">
      <c r="A303" s="100"/>
      <c r="B303" s="101"/>
      <c r="C303" s="101"/>
      <c r="D303" s="100">
        <f>IF(OR(B303="",C303=""),"",IF(DATEDIF(C303,B303,"y")&gt;=1,DATEDIF(C303,B303,"y")&amp;IF(DATEDIF(C303,B303,"y")=1," year "," years ")&amp;DATEDIF(C303,B303,"ym")&amp;IF(DATEDIF(C303,B303,"ym")=1," month"," months"),IF(DATEDIF(C303,B303,"m")&gt;=1,DATEDIF(C303,B303,"m")&amp;IF(DATEDIF(C303,B303,"m")=1," month"," months"),DATEDIF(C303,B303,"d")&amp;IF(DATEDIF(C303,B303,"d")=1," day"," days"))))</f>
      </c>
      <c r="E303" s="100"/>
      <c r="F303" s="100"/>
      <c r="G303" s="100"/>
      <c r="H303" s="100"/>
      <c r="I303" s="100"/>
      <c r="J303" s="101"/>
      <c r="K303" s="100"/>
      <c r="L303" s="100"/>
      <c r="M303" s="102" t="str">
        <f>IFERROR(VLOOKUP(G303,Reference!$I$2:$J$175,2,FALSE()),"Operations")</f>
        <v>Operations</v>
      </c>
      <c r="N303" s="6"/>
      <c r="O303" s="6"/>
    </row>
    <row r="304" spans="1:15" ht="15" customHeight="1" x14ac:dyDescent="0.25">
      <c r="A304" s="103"/>
      <c r="B304" s="104"/>
      <c r="C304" s="104"/>
      <c r="D304" s="103">
        <f>IF(OR(B304="",C304=""),"",IF(DATEDIF(C304,B304,"y")&gt;=1,DATEDIF(C304,B304,"y")&amp;IF(DATEDIF(C304,B304,"y")=1," year "," years ")&amp;DATEDIF(C304,B304,"ym")&amp;IF(DATEDIF(C304,B304,"ym")=1," month"," months"),IF(DATEDIF(C304,B304,"m")&gt;=1,DATEDIF(C304,B304,"m")&amp;IF(DATEDIF(C304,B304,"m")=1," month"," months"),DATEDIF(C304,B304,"d")&amp;IF(DATEDIF(C304,B304,"d")=1," day"," days"))))</f>
      </c>
      <c r="E304" s="103"/>
      <c r="F304" s="103"/>
      <c r="G304" s="103"/>
      <c r="H304" s="103"/>
      <c r="I304" s="103"/>
      <c r="J304" s="104"/>
      <c r="K304" s="103"/>
      <c r="L304" s="103"/>
      <c r="M304" s="105" t="str">
        <f>IFERROR(VLOOKUP(G304,Reference!$I$2:$J$175,2,FALSE()),"Operations")</f>
        <v>Operations</v>
      </c>
      <c r="N304" s="6"/>
      <c r="O304" s="6"/>
    </row>
    <row r="305" spans="1:15" ht="15" customHeight="1" x14ac:dyDescent="0.25">
      <c r="A305" s="100"/>
      <c r="B305" s="101"/>
      <c r="C305" s="101"/>
      <c r="D305" s="100">
        <f>IF(OR(B305="",C305=""),"",IF(DATEDIF(C305,B305,"y")&gt;=1,DATEDIF(C305,B305,"y")&amp;IF(DATEDIF(C305,B305,"y")=1," year "," years ")&amp;DATEDIF(C305,B305,"ym")&amp;IF(DATEDIF(C305,B305,"ym")=1," month"," months"),IF(DATEDIF(C305,B305,"m")&gt;=1,DATEDIF(C305,B305,"m")&amp;IF(DATEDIF(C305,B305,"m")=1," month"," months"),DATEDIF(C305,B305,"d")&amp;IF(DATEDIF(C305,B305,"d")=1," day"," days"))))</f>
      </c>
      <c r="E305" s="100"/>
      <c r="F305" s="100"/>
      <c r="G305" s="100"/>
      <c r="H305" s="100"/>
      <c r="I305" s="100"/>
      <c r="J305" s="101"/>
      <c r="K305" s="100"/>
      <c r="L305" s="100"/>
      <c r="M305" s="102" t="str">
        <f>IFERROR(VLOOKUP(G305,Reference!$I$2:$J$175,2,FALSE()),"Operations")</f>
        <v>Operations</v>
      </c>
      <c r="N305" s="6"/>
      <c r="O305" s="6"/>
    </row>
    <row r="306" spans="1:15" ht="15" customHeight="1" x14ac:dyDescent="0.25">
      <c r="A306" s="103"/>
      <c r="B306" s="104"/>
      <c r="C306" s="104"/>
      <c r="D306" s="103">
        <f>IF(OR(B306="",C306=""),"",IF(DATEDIF(C306,B306,"y")&gt;=1,DATEDIF(C306,B306,"y")&amp;IF(DATEDIF(C306,B306,"y")=1," year "," years ")&amp;DATEDIF(C306,B306,"ym")&amp;IF(DATEDIF(C306,B306,"ym")=1," month"," months"),IF(DATEDIF(C306,B306,"m")&gt;=1,DATEDIF(C306,B306,"m")&amp;IF(DATEDIF(C306,B306,"m")=1," month"," months"),DATEDIF(C306,B306,"d")&amp;IF(DATEDIF(C306,B306,"d")=1," day"," days"))))</f>
      </c>
      <c r="E306" s="103"/>
      <c r="F306" s="103"/>
      <c r="G306" s="103"/>
      <c r="H306" s="103"/>
      <c r="I306" s="103"/>
      <c r="J306" s="104"/>
      <c r="K306" s="103"/>
      <c r="L306" s="103"/>
      <c r="M306" s="105" t="str">
        <f>IFERROR(VLOOKUP(G306,Reference!$I$2:$J$175,2,FALSE()),"Operations")</f>
        <v>Operations</v>
      </c>
      <c r="N306" s="6"/>
      <c r="O306" s="6"/>
    </row>
    <row r="307" spans="1:15" ht="15" customHeight="1" x14ac:dyDescent="0.25">
      <c r="A307" s="100"/>
      <c r="B307" s="101"/>
      <c r="C307" s="101"/>
      <c r="D307" s="100">
        <f>IF(OR(B307="",C307=""),"",IF(DATEDIF(C307,B307,"y")&gt;=1,DATEDIF(C307,B307,"y")&amp;IF(DATEDIF(C307,B307,"y")=1," year "," years ")&amp;DATEDIF(C307,B307,"ym")&amp;IF(DATEDIF(C307,B307,"ym")=1," month"," months"),IF(DATEDIF(C307,B307,"m")&gt;=1,DATEDIF(C307,B307,"m")&amp;IF(DATEDIF(C307,B307,"m")=1," month"," months"),DATEDIF(C307,B307,"d")&amp;IF(DATEDIF(C307,B307,"d")=1," day"," days"))))</f>
      </c>
      <c r="E307" s="100"/>
      <c r="F307" s="100"/>
      <c r="G307" s="100"/>
      <c r="H307" s="100"/>
      <c r="I307" s="100"/>
      <c r="J307" s="101"/>
      <c r="K307" s="100"/>
      <c r="L307" s="100"/>
      <c r="M307" s="102" t="str">
        <f>IFERROR(VLOOKUP(G307,Reference!$I$2:$J$175,2,FALSE()),"Operations")</f>
        <v>Operations</v>
      </c>
      <c r="N307" s="6"/>
      <c r="O307" s="6"/>
    </row>
    <row r="308" spans="1:15" ht="15" customHeight="1" x14ac:dyDescent="0.25">
      <c r="A308" s="103"/>
      <c r="B308" s="104"/>
      <c r="C308" s="104"/>
      <c r="D308" s="103">
        <f>IF(OR(B308="",C308=""),"",IF(DATEDIF(C308,B308,"y")&gt;=1,DATEDIF(C308,B308,"y")&amp;IF(DATEDIF(C308,B308,"y")=1," year "," years ")&amp;DATEDIF(C308,B308,"ym")&amp;IF(DATEDIF(C308,B308,"ym")=1," month"," months"),IF(DATEDIF(C308,B308,"m")&gt;=1,DATEDIF(C308,B308,"m")&amp;IF(DATEDIF(C308,B308,"m")=1," month"," months"),DATEDIF(C308,B308,"d")&amp;IF(DATEDIF(C308,B308,"d")=1," day"," days"))))</f>
      </c>
      <c r="E308" s="103"/>
      <c r="F308" s="103"/>
      <c r="G308" s="103"/>
      <c r="H308" s="103"/>
      <c r="I308" s="103"/>
      <c r="J308" s="104"/>
      <c r="K308" s="103"/>
      <c r="L308" s="103"/>
      <c r="M308" s="105" t="str">
        <f>IFERROR(VLOOKUP(G308,Reference!$I$2:$J$175,2,FALSE()),"Operations")</f>
        <v>Operations</v>
      </c>
      <c r="N308" s="6"/>
      <c r="O308" s="6"/>
    </row>
    <row r="309" spans="1:15" ht="15" customHeight="1" x14ac:dyDescent="0.25">
      <c r="A309" s="100"/>
      <c r="B309" s="101"/>
      <c r="C309" s="101"/>
      <c r="D309" s="100">
        <f>IF(OR(B309="",C309=""),"",IF(DATEDIF(C309,B309,"y")&gt;=1,DATEDIF(C309,B309,"y")&amp;IF(DATEDIF(C309,B309,"y")=1," year "," years ")&amp;DATEDIF(C309,B309,"ym")&amp;IF(DATEDIF(C309,B309,"ym")=1," month"," months"),IF(DATEDIF(C309,B309,"m")&gt;=1,DATEDIF(C309,B309,"m")&amp;IF(DATEDIF(C309,B309,"m")=1," month"," months"),DATEDIF(C309,B309,"d")&amp;IF(DATEDIF(C309,B309,"d")=1," day"," days"))))</f>
      </c>
      <c r="E309" s="100"/>
      <c r="F309" s="100"/>
      <c r="G309" s="100"/>
      <c r="H309" s="100"/>
      <c r="I309" s="100"/>
      <c r="J309" s="101"/>
      <c r="K309" s="100"/>
      <c r="L309" s="100"/>
      <c r="M309" s="102" t="str">
        <f>IFERROR(VLOOKUP(G309,Reference!$I$2:$J$175,2,FALSE()),"Operations")</f>
        <v>Operations</v>
      </c>
      <c r="N309" s="6"/>
      <c r="O309" s="6"/>
    </row>
    <row r="310" spans="1:15" ht="15" customHeight="1" x14ac:dyDescent="0.25">
      <c r="A310" s="103"/>
      <c r="B310" s="104"/>
      <c r="C310" s="104"/>
      <c r="D310" s="103">
        <f>IF(OR(B310="",C310=""),"",IF(DATEDIF(C310,B310,"y")&gt;=1,DATEDIF(C310,B310,"y")&amp;IF(DATEDIF(C310,B310,"y")=1," year "," years ")&amp;DATEDIF(C310,B310,"ym")&amp;IF(DATEDIF(C310,B310,"ym")=1," month"," months"),IF(DATEDIF(C310,B310,"m")&gt;=1,DATEDIF(C310,B310,"m")&amp;IF(DATEDIF(C310,B310,"m")=1," month"," months"),DATEDIF(C310,B310,"d")&amp;IF(DATEDIF(C310,B310,"d")=1," day"," days"))))</f>
      </c>
      <c r="E310" s="103"/>
      <c r="F310" s="103"/>
      <c r="G310" s="103"/>
      <c r="H310" s="103"/>
      <c r="I310" s="103"/>
      <c r="J310" s="104"/>
      <c r="K310" s="103"/>
      <c r="L310" s="103"/>
      <c r="M310" s="105" t="str">
        <f>IFERROR(VLOOKUP(G310,Reference!$I$2:$J$175,2,FALSE()),"Operations")</f>
        <v>Operations</v>
      </c>
      <c r="N310" s="6"/>
      <c r="O310" s="6"/>
    </row>
    <row r="311" spans="1:15" ht="15" customHeight="1" x14ac:dyDescent="0.25">
      <c r="A311" s="100"/>
      <c r="B311" s="101"/>
      <c r="C311" s="101"/>
      <c r="D311" s="100">
        <f>IF(OR(B311="",C311=""),"",IF(DATEDIF(C311,B311,"y")&gt;=1,DATEDIF(C311,B311,"y")&amp;IF(DATEDIF(C311,B311,"y")=1," year "," years ")&amp;DATEDIF(C311,B311,"ym")&amp;IF(DATEDIF(C311,B311,"ym")=1," month"," months"),IF(DATEDIF(C311,B311,"m")&gt;=1,DATEDIF(C311,B311,"m")&amp;IF(DATEDIF(C311,B311,"m")=1," month"," months"),DATEDIF(C311,B311,"d")&amp;IF(DATEDIF(C311,B311,"d")=1," day"," days"))))</f>
      </c>
      <c r="E311" s="100"/>
      <c r="F311" s="100"/>
      <c r="G311" s="100"/>
      <c r="H311" s="100"/>
      <c r="I311" s="100"/>
      <c r="J311" s="101"/>
      <c r="K311" s="100"/>
      <c r="L311" s="100"/>
      <c r="M311" s="102" t="str">
        <f>IFERROR(VLOOKUP(G311,Reference!$I$2:$J$175,2,FALSE()),"Operations")</f>
        <v>Operations</v>
      </c>
      <c r="N311" s="6"/>
      <c r="O311" s="6"/>
    </row>
    <row r="312" spans="1:15" ht="15" customHeight="1" x14ac:dyDescent="0.25">
      <c r="A312" s="103"/>
      <c r="B312" s="104"/>
      <c r="C312" s="104"/>
      <c r="D312" s="103">
        <f>IF(OR(B312="",C312=""),"",IF(DATEDIF(C312,B312,"y")&gt;=1,DATEDIF(C312,B312,"y")&amp;IF(DATEDIF(C312,B312,"y")=1," year "," years ")&amp;DATEDIF(C312,B312,"ym")&amp;IF(DATEDIF(C312,B312,"ym")=1," month"," months"),IF(DATEDIF(C312,B312,"m")&gt;=1,DATEDIF(C312,B312,"m")&amp;IF(DATEDIF(C312,B312,"m")=1," month"," months"),DATEDIF(C312,B312,"d")&amp;IF(DATEDIF(C312,B312,"d")=1," day"," days"))))</f>
      </c>
      <c r="E312" s="103"/>
      <c r="F312" s="103"/>
      <c r="G312" s="103"/>
      <c r="H312" s="103"/>
      <c r="I312" s="103"/>
      <c r="J312" s="104"/>
      <c r="K312" s="103"/>
      <c r="L312" s="103"/>
      <c r="M312" s="105" t="str">
        <f>IFERROR(VLOOKUP(G312,Reference!$I$2:$J$175,2,FALSE()),"Operations")</f>
        <v>Operations</v>
      </c>
      <c r="N312" s="6"/>
      <c r="O312" s="6"/>
    </row>
    <row r="313" spans="1:15" ht="15" customHeight="1" x14ac:dyDescent="0.25">
      <c r="A313" s="100"/>
      <c r="B313" s="101"/>
      <c r="C313" s="101"/>
      <c r="D313" s="100">
        <f>IF(OR(B313="",C313=""),"",IF(DATEDIF(C313,B313,"y")&gt;=1,DATEDIF(C313,B313,"y")&amp;IF(DATEDIF(C313,B313,"y")=1," year "," years ")&amp;DATEDIF(C313,B313,"ym")&amp;IF(DATEDIF(C313,B313,"ym")=1," month"," months"),IF(DATEDIF(C313,B313,"m")&gt;=1,DATEDIF(C313,B313,"m")&amp;IF(DATEDIF(C313,B313,"m")=1," month"," months"),DATEDIF(C313,B313,"d")&amp;IF(DATEDIF(C313,B313,"d")=1," day"," days"))))</f>
      </c>
      <c r="E313" s="100"/>
      <c r="F313" s="100"/>
      <c r="G313" s="100"/>
      <c r="H313" s="100"/>
      <c r="I313" s="100"/>
      <c r="J313" s="101"/>
      <c r="K313" s="100"/>
      <c r="L313" s="100"/>
      <c r="M313" s="102" t="str">
        <f>IFERROR(VLOOKUP(G313,Reference!$I$2:$J$175,2,FALSE()),"Operations")</f>
        <v>Operations</v>
      </c>
      <c r="N313" s="6"/>
      <c r="O313" s="6"/>
    </row>
    <row r="314" spans="1:15" ht="15" customHeight="1" x14ac:dyDescent="0.25">
      <c r="A314" s="103"/>
      <c r="B314" s="104"/>
      <c r="C314" s="104"/>
      <c r="D314" s="103">
        <f>IF(OR(B314="",C314=""),"",IF(DATEDIF(C314,B314,"y")&gt;=1,DATEDIF(C314,B314,"y")&amp;IF(DATEDIF(C314,B314,"y")=1," year "," years ")&amp;DATEDIF(C314,B314,"ym")&amp;IF(DATEDIF(C314,B314,"ym")=1," month"," months"),IF(DATEDIF(C314,B314,"m")&gt;=1,DATEDIF(C314,B314,"m")&amp;IF(DATEDIF(C314,B314,"m")=1," month"," months"),DATEDIF(C314,B314,"d")&amp;IF(DATEDIF(C314,B314,"d")=1," day"," days"))))</f>
      </c>
      <c r="E314" s="103"/>
      <c r="F314" s="103"/>
      <c r="G314" s="103"/>
      <c r="H314" s="103"/>
      <c r="I314" s="103"/>
      <c r="J314" s="104"/>
      <c r="K314" s="103"/>
      <c r="L314" s="103"/>
      <c r="M314" s="105" t="str">
        <f>IFERROR(VLOOKUP(G314,Reference!$I$2:$J$175,2,FALSE()),"Operations")</f>
        <v>Operations</v>
      </c>
      <c r="N314" s="6"/>
      <c r="O314" s="6"/>
    </row>
    <row r="315" spans="1:15" ht="15" customHeight="1" x14ac:dyDescent="0.25">
      <c r="A315" s="100"/>
      <c r="B315" s="101"/>
      <c r="C315" s="101"/>
      <c r="D315" s="100">
        <f>IF(OR(B315="",C315=""),"",IF(DATEDIF(C315,B315,"y")&gt;=1,DATEDIF(C315,B315,"y")&amp;IF(DATEDIF(C315,B315,"y")=1," year "," years ")&amp;DATEDIF(C315,B315,"ym")&amp;IF(DATEDIF(C315,B315,"ym")=1," month"," months"),IF(DATEDIF(C315,B315,"m")&gt;=1,DATEDIF(C315,B315,"m")&amp;IF(DATEDIF(C315,B315,"m")=1," month"," months"),DATEDIF(C315,B315,"d")&amp;IF(DATEDIF(C315,B315,"d")=1," day"," days"))))</f>
      </c>
      <c r="E315" s="100"/>
      <c r="F315" s="100"/>
      <c r="G315" s="100"/>
      <c r="H315" s="100"/>
      <c r="I315" s="100"/>
      <c r="J315" s="101"/>
      <c r="K315" s="100"/>
      <c r="L315" s="100"/>
      <c r="M315" s="102" t="str">
        <f>IFERROR(VLOOKUP(G315,Reference!$I$2:$J$175,2,FALSE()),"Operations")</f>
        <v>Operations</v>
      </c>
      <c r="N315" s="6"/>
      <c r="O315" s="6"/>
    </row>
    <row r="316" spans="1:15" ht="15" customHeight="1" x14ac:dyDescent="0.25">
      <c r="A316" s="103"/>
      <c r="B316" s="104"/>
      <c r="C316" s="104"/>
      <c r="D316" s="103">
        <f>IF(OR(B316="",C316=""),"",IF(DATEDIF(C316,B316,"y")&gt;=1,DATEDIF(C316,B316,"y")&amp;IF(DATEDIF(C316,B316,"y")=1," year "," years ")&amp;DATEDIF(C316,B316,"ym")&amp;IF(DATEDIF(C316,B316,"ym")=1," month"," months"),IF(DATEDIF(C316,B316,"m")&gt;=1,DATEDIF(C316,B316,"m")&amp;IF(DATEDIF(C316,B316,"m")=1," month"," months"),DATEDIF(C316,B316,"d")&amp;IF(DATEDIF(C316,B316,"d")=1," day"," days"))))</f>
      </c>
      <c r="E316" s="103"/>
      <c r="F316" s="103"/>
      <c r="G316" s="103"/>
      <c r="H316" s="103"/>
      <c r="I316" s="103"/>
      <c r="J316" s="104"/>
      <c r="K316" s="103"/>
      <c r="L316" s="103"/>
      <c r="M316" s="105" t="str">
        <f>IFERROR(VLOOKUP(G316,Reference!$I$2:$J$175,2,FALSE()),"Operations")</f>
        <v>Operations</v>
      </c>
      <c r="N316" s="6"/>
      <c r="O316" s="6"/>
    </row>
    <row r="317" spans="1:15" ht="15" customHeight="1" x14ac:dyDescent="0.25">
      <c r="A317" s="100"/>
      <c r="B317" s="101"/>
      <c r="C317" s="101"/>
      <c r="D317" s="100">
        <f>IF(OR(B317="",C317=""),"",IF(DATEDIF(C317,B317,"y")&gt;=1,DATEDIF(C317,B317,"y")&amp;IF(DATEDIF(C317,B317,"y")=1," year "," years ")&amp;DATEDIF(C317,B317,"ym")&amp;IF(DATEDIF(C317,B317,"ym")=1," month"," months"),IF(DATEDIF(C317,B317,"m")&gt;=1,DATEDIF(C317,B317,"m")&amp;IF(DATEDIF(C317,B317,"m")=1," month"," months"),DATEDIF(C317,B317,"d")&amp;IF(DATEDIF(C317,B317,"d")=1," day"," days"))))</f>
      </c>
      <c r="E317" s="100"/>
      <c r="F317" s="100"/>
      <c r="G317" s="100"/>
      <c r="H317" s="100"/>
      <c r="I317" s="100"/>
      <c r="J317" s="101"/>
      <c r="K317" s="100"/>
      <c r="L317" s="100"/>
      <c r="M317" s="102" t="str">
        <f>IFERROR(VLOOKUP(G317,Reference!$I$2:$J$175,2,FALSE()),"Operations")</f>
        <v>Operations</v>
      </c>
      <c r="N317" s="6"/>
      <c r="O317" s="6"/>
    </row>
    <row r="318" spans="1:15" ht="15" customHeight="1" x14ac:dyDescent="0.25">
      <c r="A318" s="103"/>
      <c r="B318" s="104"/>
      <c r="C318" s="104"/>
      <c r="D318" s="103">
        <f>IF(OR(B318="",C318=""),"",IF(DATEDIF(C318,B318,"y")&gt;=1,DATEDIF(C318,B318,"y")&amp;IF(DATEDIF(C318,B318,"y")=1," year "," years ")&amp;DATEDIF(C318,B318,"ym")&amp;IF(DATEDIF(C318,B318,"ym")=1," month"," months"),IF(DATEDIF(C318,B318,"m")&gt;=1,DATEDIF(C318,B318,"m")&amp;IF(DATEDIF(C318,B318,"m")=1," month"," months"),DATEDIF(C318,B318,"d")&amp;IF(DATEDIF(C318,B318,"d")=1," day"," days"))))</f>
      </c>
      <c r="E318" s="103"/>
      <c r="F318" s="103"/>
      <c r="G318" s="103"/>
      <c r="H318" s="103"/>
      <c r="I318" s="103"/>
      <c r="J318" s="104"/>
      <c r="K318" s="103"/>
      <c r="L318" s="103"/>
      <c r="M318" s="105" t="str">
        <f>IFERROR(VLOOKUP(G318,Reference!$I$2:$J$175,2,FALSE()),"Operations")</f>
        <v>Operations</v>
      </c>
      <c r="N318" s="6"/>
      <c r="O318" s="6"/>
    </row>
    <row r="319" spans="1:15" ht="15" customHeight="1" x14ac:dyDescent="0.25">
      <c r="A319" s="100"/>
      <c r="B319" s="101"/>
      <c r="C319" s="101"/>
      <c r="D319" s="100">
        <f>IF(OR(B319="",C319=""),"",IF(DATEDIF(C319,B319,"y")&gt;=1,DATEDIF(C319,B319,"y")&amp;IF(DATEDIF(C319,B319,"y")=1," year "," years ")&amp;DATEDIF(C319,B319,"ym")&amp;IF(DATEDIF(C319,B319,"ym")=1," month"," months"),IF(DATEDIF(C319,B319,"m")&gt;=1,DATEDIF(C319,B319,"m")&amp;IF(DATEDIF(C319,B319,"m")=1," month"," months"),DATEDIF(C319,B319,"d")&amp;IF(DATEDIF(C319,B319,"d")=1," day"," days"))))</f>
      </c>
      <c r="E319" s="100"/>
      <c r="F319" s="100"/>
      <c r="G319" s="100"/>
      <c r="H319" s="100"/>
      <c r="I319" s="100"/>
      <c r="J319" s="101"/>
      <c r="K319" s="100"/>
      <c r="L319" s="100"/>
      <c r="M319" s="102" t="str">
        <f>IFERROR(VLOOKUP(G319,Reference!$I$2:$J$175,2,FALSE()),"Operations")</f>
        <v>Operations</v>
      </c>
      <c r="N319" s="6"/>
      <c r="O319" s="6"/>
    </row>
    <row r="320" spans="1:15" ht="15" customHeight="1" x14ac:dyDescent="0.25">
      <c r="A320" s="103"/>
      <c r="B320" s="104"/>
      <c r="C320" s="104"/>
      <c r="D320" s="103">
        <f>IF(OR(B320="",C320=""),"",IF(DATEDIF(C320,B320,"y")&gt;=1,DATEDIF(C320,B320,"y")&amp;IF(DATEDIF(C320,B320,"y")=1," year "," years ")&amp;DATEDIF(C320,B320,"ym")&amp;IF(DATEDIF(C320,B320,"ym")=1," month"," months"),IF(DATEDIF(C320,B320,"m")&gt;=1,DATEDIF(C320,B320,"m")&amp;IF(DATEDIF(C320,B320,"m")=1," month"," months"),DATEDIF(C320,B320,"d")&amp;IF(DATEDIF(C320,B320,"d")=1," day"," days"))))</f>
      </c>
      <c r="E320" s="103"/>
      <c r="F320" s="103"/>
      <c r="G320" s="103"/>
      <c r="H320" s="103"/>
      <c r="I320" s="103"/>
      <c r="J320" s="104"/>
      <c r="K320" s="103"/>
      <c r="L320" s="103"/>
      <c r="M320" s="105" t="str">
        <f>IFERROR(VLOOKUP(G320,Reference!$I$2:$J$175,2,FALSE()),"Operations")</f>
        <v>Operations</v>
      </c>
      <c r="N320" s="6"/>
      <c r="O320" s="6"/>
    </row>
    <row r="321" spans="1:15" ht="15" customHeight="1" x14ac:dyDescent="0.25">
      <c r="A321" s="100"/>
      <c r="B321" s="101"/>
      <c r="C321" s="101"/>
      <c r="D321" s="100">
        <f>IF(OR(B321="",C321=""),"",IF(DATEDIF(C321,B321,"y")&gt;=1,DATEDIF(C321,B321,"y")&amp;IF(DATEDIF(C321,B321,"y")=1," year "," years ")&amp;DATEDIF(C321,B321,"ym")&amp;IF(DATEDIF(C321,B321,"ym")=1," month"," months"),IF(DATEDIF(C321,B321,"m")&gt;=1,DATEDIF(C321,B321,"m")&amp;IF(DATEDIF(C321,B321,"m")=1," month"," months"),DATEDIF(C321,B321,"d")&amp;IF(DATEDIF(C321,B321,"d")=1," day"," days"))))</f>
      </c>
      <c r="E321" s="100"/>
      <c r="F321" s="100"/>
      <c r="G321" s="100"/>
      <c r="H321" s="100"/>
      <c r="I321" s="100"/>
      <c r="J321" s="101"/>
      <c r="K321" s="100"/>
      <c r="L321" s="100"/>
      <c r="M321" s="102" t="str">
        <f>IFERROR(VLOOKUP(G321,Reference!$I$2:$J$175,2,FALSE()),"Operations")</f>
        <v>Operations</v>
      </c>
      <c r="N321" s="6"/>
      <c r="O321" s="6"/>
    </row>
    <row r="322" spans="1:15" ht="15" customHeight="1" x14ac:dyDescent="0.25">
      <c r="A322" s="103"/>
      <c r="B322" s="104"/>
      <c r="C322" s="104"/>
      <c r="D322" s="103">
        <f>IF(OR(B322="",C322=""),"",IF(DATEDIF(C322,B322,"y")&gt;=1,DATEDIF(C322,B322,"y")&amp;IF(DATEDIF(C322,B322,"y")=1," year "," years ")&amp;DATEDIF(C322,B322,"ym")&amp;IF(DATEDIF(C322,B322,"ym")=1," month"," months"),IF(DATEDIF(C322,B322,"m")&gt;=1,DATEDIF(C322,B322,"m")&amp;IF(DATEDIF(C322,B322,"m")=1," month"," months"),DATEDIF(C322,B322,"d")&amp;IF(DATEDIF(C322,B322,"d")=1," day"," days"))))</f>
      </c>
      <c r="E322" s="103"/>
      <c r="F322" s="103"/>
      <c r="G322" s="103"/>
      <c r="H322" s="103"/>
      <c r="I322" s="103"/>
      <c r="J322" s="104"/>
      <c r="K322" s="103"/>
      <c r="L322" s="103"/>
      <c r="M322" s="105" t="str">
        <f>IFERROR(VLOOKUP(G322,Reference!$I$2:$J$175,2,FALSE()),"Operations")</f>
        <v>Operations</v>
      </c>
      <c r="N322" s="6"/>
      <c r="O322" s="6"/>
    </row>
    <row r="323" spans="1:15" ht="15" customHeight="1" x14ac:dyDescent="0.25">
      <c r="A323" s="106" t="s">
        <v>163</v>
      </c>
      <c r="B323" s="107">
        <f>COUNTA(A293:A322)</f>
        <v>0</v>
      </c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6"/>
      <c r="O323" s="6"/>
    </row>
    <row r="324" spans="1:15" ht="6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</row>
    <row r="325" spans="1:15" ht="21.75" customHeight="1" x14ac:dyDescent="0.25">
      <c r="A325" s="163" t="s">
        <v>274</v>
      </c>
      <c r="B325" s="163"/>
      <c r="C325" s="163"/>
      <c r="D325" s="163"/>
      <c r="E325" s="163"/>
      <c r="F325" s="163"/>
      <c r="G325" s="163"/>
      <c r="H325" s="163"/>
      <c r="I325" s="163"/>
      <c r="J325" s="163"/>
      <c r="K325" s="163"/>
      <c r="L325" s="163"/>
      <c r="M325" s="163"/>
      <c r="N325" s="6"/>
      <c r="O325" s="6"/>
    </row>
    <row r="326" spans="1:15" ht="19.5" customHeight="1" x14ac:dyDescent="0.25">
      <c r="A326" s="64" t="s">
        <v>151</v>
      </c>
      <c r="B326" s="64" t="s">
        <v>152</v>
      </c>
      <c r="C326" s="64" t="s">
        <v>153</v>
      </c>
      <c r="D326" s="64" t="s">
        <v>154</v>
      </c>
      <c r="E326" s="64" t="s">
        <v>155</v>
      </c>
      <c r="F326" s="64" t="s">
        <v>156</v>
      </c>
      <c r="G326" s="64" t="s">
        <v>157</v>
      </c>
      <c r="H326" s="64" t="s">
        <v>158</v>
      </c>
      <c r="I326" s="64" t="s">
        <v>159</v>
      </c>
      <c r="J326" s="64" t="s">
        <v>160</v>
      </c>
      <c r="K326" s="64" t="s">
        <v>134</v>
      </c>
      <c r="L326" s="64" t="s">
        <v>161</v>
      </c>
      <c r="M326" s="64" t="s">
        <v>162</v>
      </c>
      <c r="N326" s="6"/>
      <c r="O326" s="6"/>
    </row>
    <row r="327" spans="1:15" ht="15" customHeight="1" x14ac:dyDescent="0.25">
      <c r="A327" s="100"/>
      <c r="B327" s="101"/>
      <c r="C327" s="101"/>
      <c r="D327" s="100">
        <f>IF(OR(B327="",C327=""),"",IF(DATEDIF(C327,B327,"y")&gt;=1,DATEDIF(C327,B327,"y")&amp;IF(DATEDIF(C327,B327,"y")=1," year "," years ")&amp;DATEDIF(C327,B327,"ym")&amp;IF(DATEDIF(C327,B327,"ym")=1," month"," months"),IF(DATEDIF(C327,B327,"m")&gt;=1,DATEDIF(C327,B327,"m")&amp;IF(DATEDIF(C327,B327,"m")=1," month"," months"),DATEDIF(C327,B327,"d")&amp;IF(DATEDIF(C327,B327,"d")=1," day"," days"))))</f>
      </c>
      <c r="E327" s="100"/>
      <c r="F327" s="100"/>
      <c r="G327" s="100"/>
      <c r="H327" s="100"/>
      <c r="I327" s="100"/>
      <c r="J327" s="101"/>
      <c r="K327" s="100"/>
      <c r="L327" s="100"/>
      <c r="M327" s="102" t="str">
        <f>IFERROR(VLOOKUP(G327,Reference!$I$2:$J$175,2,FALSE()),"Operations")</f>
        <v>Operations</v>
      </c>
      <c r="N327" s="6"/>
      <c r="O327" s="6"/>
    </row>
    <row r="328" spans="1:15" ht="15" customHeight="1" x14ac:dyDescent="0.25">
      <c r="A328" s="103"/>
      <c r="B328" s="104"/>
      <c r="C328" s="104"/>
      <c r="D328" s="103">
        <f>IF(OR(B328="",C328=""),"",IF(DATEDIF(C328,B328,"y")&gt;=1,DATEDIF(C328,B328,"y")&amp;IF(DATEDIF(C328,B328,"y")=1," year "," years ")&amp;DATEDIF(C328,B328,"ym")&amp;IF(DATEDIF(C328,B328,"ym")=1," month"," months"),IF(DATEDIF(C328,B328,"m")&gt;=1,DATEDIF(C328,B328,"m")&amp;IF(DATEDIF(C328,B328,"m")=1," month"," months"),DATEDIF(C328,B328,"d")&amp;IF(DATEDIF(C328,B328,"d")=1," day"," days"))))</f>
      </c>
      <c r="E328" s="103"/>
      <c r="F328" s="103"/>
      <c r="G328" s="103"/>
      <c r="H328" s="103"/>
      <c r="I328" s="103"/>
      <c r="J328" s="104"/>
      <c r="K328" s="103"/>
      <c r="L328" s="103"/>
      <c r="M328" s="105" t="str">
        <f>IFERROR(VLOOKUP(G328,Reference!$I$2:$J$175,2,FALSE()),"Operations")</f>
        <v>Operations</v>
      </c>
      <c r="N328" s="6"/>
      <c r="O328" s="6"/>
    </row>
    <row r="329" spans="1:15" ht="15" customHeight="1" x14ac:dyDescent="0.25">
      <c r="A329" s="100"/>
      <c r="B329" s="101"/>
      <c r="C329" s="101"/>
      <c r="D329" s="100">
        <f>IF(OR(B329="",C329=""),"",IF(DATEDIF(C329,B329,"y")&gt;=1,DATEDIF(C329,B329,"y")&amp;IF(DATEDIF(C329,B329,"y")=1," year "," years ")&amp;DATEDIF(C329,B329,"ym")&amp;IF(DATEDIF(C329,B329,"ym")=1," month"," months"),IF(DATEDIF(C329,B329,"m")&gt;=1,DATEDIF(C329,B329,"m")&amp;IF(DATEDIF(C329,B329,"m")=1," month"," months"),DATEDIF(C329,B329,"d")&amp;IF(DATEDIF(C329,B329,"d")=1," day"," days"))))</f>
      </c>
      <c r="E329" s="100"/>
      <c r="F329" s="100"/>
      <c r="G329" s="100"/>
      <c r="H329" s="100"/>
      <c r="I329" s="100"/>
      <c r="J329" s="101"/>
      <c r="K329" s="100"/>
      <c r="L329" s="100"/>
      <c r="M329" s="102" t="str">
        <f>IFERROR(VLOOKUP(G329,Reference!$I$2:$J$175,2,FALSE()),"Operations")</f>
        <v>Operations</v>
      </c>
      <c r="N329" s="6"/>
      <c r="O329" s="6"/>
    </row>
    <row r="330" spans="1:15" ht="15" customHeight="1" x14ac:dyDescent="0.25">
      <c r="A330" s="103"/>
      <c r="B330" s="104"/>
      <c r="C330" s="104"/>
      <c r="D330" s="103">
        <f>IF(OR(B330="",C330=""),"",IF(DATEDIF(C330,B330,"y")&gt;=1,DATEDIF(C330,B330,"y")&amp;IF(DATEDIF(C330,B330,"y")=1," year "," years ")&amp;DATEDIF(C330,B330,"ym")&amp;IF(DATEDIF(C330,B330,"ym")=1," month"," months"),IF(DATEDIF(C330,B330,"m")&gt;=1,DATEDIF(C330,B330,"m")&amp;IF(DATEDIF(C330,B330,"m")=1," month"," months"),DATEDIF(C330,B330,"d")&amp;IF(DATEDIF(C330,B330,"d")=1," day"," days"))))</f>
      </c>
      <c r="E330" s="103"/>
      <c r="F330" s="103"/>
      <c r="G330" s="103"/>
      <c r="H330" s="103"/>
      <c r="I330" s="103"/>
      <c r="J330" s="104"/>
      <c r="K330" s="103"/>
      <c r="L330" s="103"/>
      <c r="M330" s="105" t="str">
        <f>IFERROR(VLOOKUP(G330,Reference!$I$2:$J$175,2,FALSE()),"Operations")</f>
        <v>Operations</v>
      </c>
      <c r="N330" s="6"/>
      <c r="O330" s="6"/>
    </row>
    <row r="331" spans="1:15" ht="15" customHeight="1" x14ac:dyDescent="0.25">
      <c r="A331" s="100"/>
      <c r="B331" s="101"/>
      <c r="C331" s="101"/>
      <c r="D331" s="100">
        <f>IF(OR(B331="",C331=""),"",IF(DATEDIF(C331,B331,"y")&gt;=1,DATEDIF(C331,B331,"y")&amp;IF(DATEDIF(C331,B331,"y")=1," year "," years ")&amp;DATEDIF(C331,B331,"ym")&amp;IF(DATEDIF(C331,B331,"ym")=1," month"," months"),IF(DATEDIF(C331,B331,"m")&gt;=1,DATEDIF(C331,B331,"m")&amp;IF(DATEDIF(C331,B331,"m")=1," month"," months"),DATEDIF(C331,B331,"d")&amp;IF(DATEDIF(C331,B331,"d")=1," day"," days"))))</f>
      </c>
      <c r="E331" s="100"/>
      <c r="F331" s="100"/>
      <c r="G331" s="100"/>
      <c r="H331" s="100"/>
      <c r="I331" s="100"/>
      <c r="J331" s="101"/>
      <c r="K331" s="100"/>
      <c r="L331" s="100"/>
      <c r="M331" s="102" t="str">
        <f>IFERROR(VLOOKUP(G331,Reference!$I$2:$J$175,2,FALSE()),"Operations")</f>
        <v>Operations</v>
      </c>
      <c r="N331" s="6"/>
      <c r="O331" s="6"/>
    </row>
    <row r="332" spans="1:15" ht="15" customHeight="1" x14ac:dyDescent="0.25">
      <c r="A332" s="103"/>
      <c r="B332" s="104"/>
      <c r="C332" s="104"/>
      <c r="D332" s="103">
        <f>IF(OR(B332="",C332=""),"",IF(DATEDIF(C332,B332,"y")&gt;=1,DATEDIF(C332,B332,"y")&amp;IF(DATEDIF(C332,B332,"y")=1," year "," years ")&amp;DATEDIF(C332,B332,"ym")&amp;IF(DATEDIF(C332,B332,"ym")=1," month"," months"),IF(DATEDIF(C332,B332,"m")&gt;=1,DATEDIF(C332,B332,"m")&amp;IF(DATEDIF(C332,B332,"m")=1," month"," months"),DATEDIF(C332,B332,"d")&amp;IF(DATEDIF(C332,B332,"d")=1," day"," days"))))</f>
      </c>
      <c r="E332" s="103"/>
      <c r="F332" s="103"/>
      <c r="G332" s="103"/>
      <c r="H332" s="103"/>
      <c r="I332" s="103"/>
      <c r="J332" s="104"/>
      <c r="K332" s="103"/>
      <c r="L332" s="103"/>
      <c r="M332" s="105" t="str">
        <f>IFERROR(VLOOKUP(G332,Reference!$I$2:$J$175,2,FALSE()),"Operations")</f>
        <v>Operations</v>
      </c>
      <c r="N332" s="6"/>
      <c r="O332" s="6"/>
    </row>
    <row r="333" spans="1:15" ht="15" customHeight="1" x14ac:dyDescent="0.25">
      <c r="A333" s="100"/>
      <c r="B333" s="101"/>
      <c r="C333" s="101"/>
      <c r="D333" s="100">
        <f>IF(OR(B333="",C333=""),"",IF(DATEDIF(C333,B333,"y")&gt;=1,DATEDIF(C333,B333,"y")&amp;IF(DATEDIF(C333,B333,"y")=1," year "," years ")&amp;DATEDIF(C333,B333,"ym")&amp;IF(DATEDIF(C333,B333,"ym")=1," month"," months"),IF(DATEDIF(C333,B333,"m")&gt;=1,DATEDIF(C333,B333,"m")&amp;IF(DATEDIF(C333,B333,"m")=1," month"," months"),DATEDIF(C333,B333,"d")&amp;IF(DATEDIF(C333,B333,"d")=1," day"," days"))))</f>
      </c>
      <c r="E333" s="100"/>
      <c r="F333" s="100"/>
      <c r="G333" s="100"/>
      <c r="H333" s="100"/>
      <c r="I333" s="100"/>
      <c r="J333" s="101"/>
      <c r="K333" s="100"/>
      <c r="L333" s="100"/>
      <c r="M333" s="102" t="str">
        <f>IFERROR(VLOOKUP(G333,Reference!$I$2:$J$175,2,FALSE()),"Operations")</f>
        <v>Operations</v>
      </c>
      <c r="N333" s="6"/>
      <c r="O333" s="6"/>
    </row>
    <row r="334" spans="1:15" ht="15" customHeight="1" x14ac:dyDescent="0.25">
      <c r="A334" s="103"/>
      <c r="B334" s="104"/>
      <c r="C334" s="104"/>
      <c r="D334" s="103">
        <f>IF(OR(B334="",C334=""),"",IF(DATEDIF(C334,B334,"y")&gt;=1,DATEDIF(C334,B334,"y")&amp;IF(DATEDIF(C334,B334,"y")=1," year "," years ")&amp;DATEDIF(C334,B334,"ym")&amp;IF(DATEDIF(C334,B334,"ym")=1," month"," months"),IF(DATEDIF(C334,B334,"m")&gt;=1,DATEDIF(C334,B334,"m")&amp;IF(DATEDIF(C334,B334,"m")=1," month"," months"),DATEDIF(C334,B334,"d")&amp;IF(DATEDIF(C334,B334,"d")=1," day"," days"))))</f>
      </c>
      <c r="E334" s="103"/>
      <c r="F334" s="103"/>
      <c r="G334" s="103"/>
      <c r="H334" s="103"/>
      <c r="I334" s="103"/>
      <c r="J334" s="104"/>
      <c r="K334" s="103"/>
      <c r="L334" s="103"/>
      <c r="M334" s="105" t="str">
        <f>IFERROR(VLOOKUP(G334,Reference!$I$2:$J$175,2,FALSE()),"Operations")</f>
        <v>Operations</v>
      </c>
      <c r="N334" s="6"/>
      <c r="O334" s="6"/>
    </row>
    <row r="335" spans="1:15" ht="15" customHeight="1" x14ac:dyDescent="0.25">
      <c r="A335" s="100"/>
      <c r="B335" s="101"/>
      <c r="C335" s="101"/>
      <c r="D335" s="100">
        <f>IF(OR(B335="",C335=""),"",IF(DATEDIF(C335,B335,"y")&gt;=1,DATEDIF(C335,B335,"y")&amp;IF(DATEDIF(C335,B335,"y")=1," year "," years ")&amp;DATEDIF(C335,B335,"ym")&amp;IF(DATEDIF(C335,B335,"ym")=1," month"," months"),IF(DATEDIF(C335,B335,"m")&gt;=1,DATEDIF(C335,B335,"m")&amp;IF(DATEDIF(C335,B335,"m")=1," month"," months"),DATEDIF(C335,B335,"d")&amp;IF(DATEDIF(C335,B335,"d")=1," day"," days"))))</f>
      </c>
      <c r="E335" s="100"/>
      <c r="F335" s="100"/>
      <c r="G335" s="100"/>
      <c r="H335" s="100"/>
      <c r="I335" s="100"/>
      <c r="J335" s="101"/>
      <c r="K335" s="100"/>
      <c r="L335" s="100"/>
      <c r="M335" s="102" t="str">
        <f>IFERROR(VLOOKUP(G335,Reference!$I$2:$J$175,2,FALSE()),"Operations")</f>
        <v>Operations</v>
      </c>
      <c r="N335" s="6"/>
      <c r="O335" s="6"/>
    </row>
    <row r="336" spans="1:15" ht="15" customHeight="1" x14ac:dyDescent="0.25">
      <c r="A336" s="103"/>
      <c r="B336" s="104"/>
      <c r="C336" s="104"/>
      <c r="D336" s="103">
        <f>IF(OR(B336="",C336=""),"",IF(DATEDIF(C336,B336,"y")&gt;=1,DATEDIF(C336,B336,"y")&amp;IF(DATEDIF(C336,B336,"y")=1," year "," years ")&amp;DATEDIF(C336,B336,"ym")&amp;IF(DATEDIF(C336,B336,"ym")=1," month"," months"),IF(DATEDIF(C336,B336,"m")&gt;=1,DATEDIF(C336,B336,"m")&amp;IF(DATEDIF(C336,B336,"m")=1," month"," months"),DATEDIF(C336,B336,"d")&amp;IF(DATEDIF(C336,B336,"d")=1," day"," days"))))</f>
      </c>
      <c r="E336" s="103"/>
      <c r="F336" s="103"/>
      <c r="G336" s="103"/>
      <c r="H336" s="103"/>
      <c r="I336" s="103"/>
      <c r="J336" s="104"/>
      <c r="K336" s="103"/>
      <c r="L336" s="103"/>
      <c r="M336" s="105" t="str">
        <f>IFERROR(VLOOKUP(G336,Reference!$I$2:$J$175,2,FALSE()),"Operations")</f>
        <v>Operations</v>
      </c>
      <c r="N336" s="6"/>
      <c r="O336" s="6"/>
    </row>
    <row r="337" spans="1:15" ht="15" customHeight="1" x14ac:dyDescent="0.25">
      <c r="A337" s="100"/>
      <c r="B337" s="101"/>
      <c r="C337" s="101"/>
      <c r="D337" s="100">
        <f>IF(OR(B337="",C337=""),"",IF(DATEDIF(C337,B337,"y")&gt;=1,DATEDIF(C337,B337,"y")&amp;IF(DATEDIF(C337,B337,"y")=1," year "," years ")&amp;DATEDIF(C337,B337,"ym")&amp;IF(DATEDIF(C337,B337,"ym")=1," month"," months"),IF(DATEDIF(C337,B337,"m")&gt;=1,DATEDIF(C337,B337,"m")&amp;IF(DATEDIF(C337,B337,"m")=1," month"," months"),DATEDIF(C337,B337,"d")&amp;IF(DATEDIF(C337,B337,"d")=1," day"," days"))))</f>
      </c>
      <c r="E337" s="100"/>
      <c r="F337" s="100"/>
      <c r="G337" s="100"/>
      <c r="H337" s="100"/>
      <c r="I337" s="100"/>
      <c r="J337" s="101"/>
      <c r="K337" s="100"/>
      <c r="L337" s="100"/>
      <c r="M337" s="102" t="str">
        <f>IFERROR(VLOOKUP(G337,Reference!$I$2:$J$175,2,FALSE()),"Operations")</f>
        <v>Operations</v>
      </c>
      <c r="N337" s="6"/>
      <c r="O337" s="6"/>
    </row>
    <row r="338" spans="1:15" ht="15" customHeight="1" x14ac:dyDescent="0.25">
      <c r="A338" s="103"/>
      <c r="B338" s="104"/>
      <c r="C338" s="104"/>
      <c r="D338" s="103">
        <f>IF(OR(B338="",C338=""),"",IF(DATEDIF(C338,B338,"y")&gt;=1,DATEDIF(C338,B338,"y")&amp;IF(DATEDIF(C338,B338,"y")=1," year "," years ")&amp;DATEDIF(C338,B338,"ym")&amp;IF(DATEDIF(C338,B338,"ym")=1," month"," months"),IF(DATEDIF(C338,B338,"m")&gt;=1,DATEDIF(C338,B338,"m")&amp;IF(DATEDIF(C338,B338,"m")=1," month"," months"),DATEDIF(C338,B338,"d")&amp;IF(DATEDIF(C338,B338,"d")=1," day"," days"))))</f>
      </c>
      <c r="E338" s="103"/>
      <c r="F338" s="103"/>
      <c r="G338" s="103"/>
      <c r="H338" s="103"/>
      <c r="I338" s="103"/>
      <c r="J338" s="104"/>
      <c r="K338" s="103"/>
      <c r="L338" s="103"/>
      <c r="M338" s="105" t="str">
        <f>IFERROR(VLOOKUP(G338,Reference!$I$2:$J$175,2,FALSE()),"Operations")</f>
        <v>Operations</v>
      </c>
      <c r="N338" s="6"/>
      <c r="O338" s="6"/>
    </row>
    <row r="339" spans="1:15" ht="15" customHeight="1" x14ac:dyDescent="0.25">
      <c r="A339" s="100"/>
      <c r="B339" s="101"/>
      <c r="C339" s="101"/>
      <c r="D339" s="100">
        <f>IF(OR(B339="",C339=""),"",IF(DATEDIF(C339,B339,"y")&gt;=1,DATEDIF(C339,B339,"y")&amp;IF(DATEDIF(C339,B339,"y")=1," year "," years ")&amp;DATEDIF(C339,B339,"ym")&amp;IF(DATEDIF(C339,B339,"ym")=1," month"," months"),IF(DATEDIF(C339,B339,"m")&gt;=1,DATEDIF(C339,B339,"m")&amp;IF(DATEDIF(C339,B339,"m")=1," month"," months"),DATEDIF(C339,B339,"d")&amp;IF(DATEDIF(C339,B339,"d")=1," day"," days"))))</f>
      </c>
      <c r="E339" s="100"/>
      <c r="F339" s="100"/>
      <c r="G339" s="100"/>
      <c r="H339" s="100"/>
      <c r="I339" s="100"/>
      <c r="J339" s="101"/>
      <c r="K339" s="100"/>
      <c r="L339" s="100"/>
      <c r="M339" s="102" t="str">
        <f>IFERROR(VLOOKUP(G339,Reference!$I$2:$J$175,2,FALSE()),"Operations")</f>
        <v>Operations</v>
      </c>
      <c r="N339" s="6"/>
      <c r="O339" s="6"/>
    </row>
    <row r="340" spans="1:15" ht="15" customHeight="1" x14ac:dyDescent="0.25">
      <c r="A340" s="103"/>
      <c r="B340" s="104"/>
      <c r="C340" s="104"/>
      <c r="D340" s="103">
        <f>IF(OR(B340="",C340=""),"",IF(DATEDIF(C340,B340,"y")&gt;=1,DATEDIF(C340,B340,"y")&amp;IF(DATEDIF(C340,B340,"y")=1," year "," years ")&amp;DATEDIF(C340,B340,"ym")&amp;IF(DATEDIF(C340,B340,"ym")=1," month"," months"),IF(DATEDIF(C340,B340,"m")&gt;=1,DATEDIF(C340,B340,"m")&amp;IF(DATEDIF(C340,B340,"m")=1," month"," months"),DATEDIF(C340,B340,"d")&amp;IF(DATEDIF(C340,B340,"d")=1," day"," days"))))</f>
      </c>
      <c r="E340" s="103"/>
      <c r="F340" s="103"/>
      <c r="G340" s="103"/>
      <c r="H340" s="103"/>
      <c r="I340" s="103"/>
      <c r="J340" s="104"/>
      <c r="K340" s="103"/>
      <c r="L340" s="103"/>
      <c r="M340" s="105" t="str">
        <f>IFERROR(VLOOKUP(G340,Reference!$I$2:$J$175,2,FALSE()),"Operations")</f>
        <v>Operations</v>
      </c>
      <c r="N340" s="6"/>
      <c r="O340" s="6"/>
    </row>
    <row r="341" spans="1:15" ht="15" customHeight="1" x14ac:dyDescent="0.25">
      <c r="A341" s="100"/>
      <c r="B341" s="101"/>
      <c r="C341" s="101"/>
      <c r="D341" s="100">
        <f>IF(OR(B341="",C341=""),"",IF(DATEDIF(C341,B341,"y")&gt;=1,DATEDIF(C341,B341,"y")&amp;IF(DATEDIF(C341,B341,"y")=1," year "," years ")&amp;DATEDIF(C341,B341,"ym")&amp;IF(DATEDIF(C341,B341,"ym")=1," month"," months"),IF(DATEDIF(C341,B341,"m")&gt;=1,DATEDIF(C341,B341,"m")&amp;IF(DATEDIF(C341,B341,"m")=1," month"," months"),DATEDIF(C341,B341,"d")&amp;IF(DATEDIF(C341,B341,"d")=1," day"," days"))))</f>
      </c>
      <c r="E341" s="100"/>
      <c r="F341" s="100"/>
      <c r="G341" s="100"/>
      <c r="H341" s="100"/>
      <c r="I341" s="100"/>
      <c r="J341" s="101"/>
      <c r="K341" s="100"/>
      <c r="L341" s="100"/>
      <c r="M341" s="102" t="str">
        <f>IFERROR(VLOOKUP(G341,Reference!$I$2:$J$175,2,FALSE()),"Operations")</f>
        <v>Operations</v>
      </c>
      <c r="N341" s="6"/>
      <c r="O341" s="6"/>
    </row>
    <row r="342" spans="1:15" ht="15" customHeight="1" x14ac:dyDescent="0.25">
      <c r="A342" s="103"/>
      <c r="B342" s="104"/>
      <c r="C342" s="104"/>
      <c r="D342" s="103">
        <f>IF(OR(B342="",C342=""),"",IF(DATEDIF(C342,B342,"y")&gt;=1,DATEDIF(C342,B342,"y")&amp;IF(DATEDIF(C342,B342,"y")=1," year "," years ")&amp;DATEDIF(C342,B342,"ym")&amp;IF(DATEDIF(C342,B342,"ym")=1," month"," months"),IF(DATEDIF(C342,B342,"m")&gt;=1,DATEDIF(C342,B342,"m")&amp;IF(DATEDIF(C342,B342,"m")=1," month"," months"),DATEDIF(C342,B342,"d")&amp;IF(DATEDIF(C342,B342,"d")=1," day"," days"))))</f>
      </c>
      <c r="E342" s="103"/>
      <c r="F342" s="103"/>
      <c r="G342" s="103"/>
      <c r="H342" s="103"/>
      <c r="I342" s="103"/>
      <c r="J342" s="104"/>
      <c r="K342" s="103"/>
      <c r="L342" s="103"/>
      <c r="M342" s="105" t="str">
        <f>IFERROR(VLOOKUP(G342,Reference!$I$2:$J$175,2,FALSE()),"Operations")</f>
        <v>Operations</v>
      </c>
      <c r="N342" s="6"/>
      <c r="O342" s="6"/>
    </row>
    <row r="343" spans="1:15" ht="15" customHeight="1" x14ac:dyDescent="0.25">
      <c r="A343" s="100"/>
      <c r="B343" s="101"/>
      <c r="C343" s="101"/>
      <c r="D343" s="100">
        <f>IF(OR(B343="",C343=""),"",IF(DATEDIF(C343,B343,"y")&gt;=1,DATEDIF(C343,B343,"y")&amp;IF(DATEDIF(C343,B343,"y")=1," year "," years ")&amp;DATEDIF(C343,B343,"ym")&amp;IF(DATEDIF(C343,B343,"ym")=1," month"," months"),IF(DATEDIF(C343,B343,"m")&gt;=1,DATEDIF(C343,B343,"m")&amp;IF(DATEDIF(C343,B343,"m")=1," month"," months"),DATEDIF(C343,B343,"d")&amp;IF(DATEDIF(C343,B343,"d")=1," day"," days"))))</f>
      </c>
      <c r="E343" s="100"/>
      <c r="F343" s="100"/>
      <c r="G343" s="100"/>
      <c r="H343" s="100"/>
      <c r="I343" s="100"/>
      <c r="J343" s="101"/>
      <c r="K343" s="100"/>
      <c r="L343" s="100"/>
      <c r="M343" s="102" t="str">
        <f>IFERROR(VLOOKUP(G343,Reference!$I$2:$J$175,2,FALSE()),"Operations")</f>
        <v>Operations</v>
      </c>
      <c r="N343" s="6"/>
      <c r="O343" s="6"/>
    </row>
    <row r="344" spans="1:15" ht="15" customHeight="1" x14ac:dyDescent="0.25">
      <c r="A344" s="103"/>
      <c r="B344" s="104"/>
      <c r="C344" s="104"/>
      <c r="D344" s="103">
        <f>IF(OR(B344="",C344=""),"",IF(DATEDIF(C344,B344,"y")&gt;=1,DATEDIF(C344,B344,"y")&amp;IF(DATEDIF(C344,B344,"y")=1," year "," years ")&amp;DATEDIF(C344,B344,"ym")&amp;IF(DATEDIF(C344,B344,"ym")=1," month"," months"),IF(DATEDIF(C344,B344,"m")&gt;=1,DATEDIF(C344,B344,"m")&amp;IF(DATEDIF(C344,B344,"m")=1," month"," months"),DATEDIF(C344,B344,"d")&amp;IF(DATEDIF(C344,B344,"d")=1," day"," days"))))</f>
      </c>
      <c r="E344" s="103"/>
      <c r="F344" s="103"/>
      <c r="G344" s="103"/>
      <c r="H344" s="103"/>
      <c r="I344" s="103"/>
      <c r="J344" s="104"/>
      <c r="K344" s="103"/>
      <c r="L344" s="103"/>
      <c r="M344" s="105" t="str">
        <f>IFERROR(VLOOKUP(G344,Reference!$I$2:$J$175,2,FALSE()),"Operations")</f>
        <v>Operations</v>
      </c>
      <c r="N344" s="6"/>
      <c r="O344" s="6"/>
    </row>
    <row r="345" spans="1:15" ht="15" customHeight="1" x14ac:dyDescent="0.25">
      <c r="A345" s="100"/>
      <c r="B345" s="101"/>
      <c r="C345" s="101"/>
      <c r="D345" s="100">
        <f>IF(OR(B345="",C345=""),"",IF(DATEDIF(C345,B345,"y")&gt;=1,DATEDIF(C345,B345,"y")&amp;IF(DATEDIF(C345,B345,"y")=1," year "," years ")&amp;DATEDIF(C345,B345,"ym")&amp;IF(DATEDIF(C345,B345,"ym")=1," month"," months"),IF(DATEDIF(C345,B345,"m")&gt;=1,DATEDIF(C345,B345,"m")&amp;IF(DATEDIF(C345,B345,"m")=1," month"," months"),DATEDIF(C345,B345,"d")&amp;IF(DATEDIF(C345,B345,"d")=1," day"," days"))))</f>
      </c>
      <c r="E345" s="100"/>
      <c r="F345" s="100"/>
      <c r="G345" s="100"/>
      <c r="H345" s="100"/>
      <c r="I345" s="100"/>
      <c r="J345" s="101"/>
      <c r="K345" s="100"/>
      <c r="L345" s="100"/>
      <c r="M345" s="102" t="str">
        <f>IFERROR(VLOOKUP(G345,Reference!$I$2:$J$175,2,FALSE()),"Operations")</f>
        <v>Operations</v>
      </c>
      <c r="N345" s="6"/>
      <c r="O345" s="6"/>
    </row>
    <row r="346" spans="1:15" ht="15" customHeight="1" x14ac:dyDescent="0.25">
      <c r="A346" s="103"/>
      <c r="B346" s="104"/>
      <c r="C346" s="104"/>
      <c r="D346" s="103">
        <f>IF(OR(B346="",C346=""),"",IF(DATEDIF(C346,B346,"y")&gt;=1,DATEDIF(C346,B346,"y")&amp;IF(DATEDIF(C346,B346,"y")=1," year "," years ")&amp;DATEDIF(C346,B346,"ym")&amp;IF(DATEDIF(C346,B346,"ym")=1," month"," months"),IF(DATEDIF(C346,B346,"m")&gt;=1,DATEDIF(C346,B346,"m")&amp;IF(DATEDIF(C346,B346,"m")=1," month"," months"),DATEDIF(C346,B346,"d")&amp;IF(DATEDIF(C346,B346,"d")=1," day"," days"))))</f>
      </c>
      <c r="E346" s="103"/>
      <c r="F346" s="103"/>
      <c r="G346" s="103"/>
      <c r="H346" s="103"/>
      <c r="I346" s="103"/>
      <c r="J346" s="104"/>
      <c r="K346" s="103"/>
      <c r="L346" s="103"/>
      <c r="M346" s="105" t="str">
        <f>IFERROR(VLOOKUP(G346,Reference!$I$2:$J$175,2,FALSE()),"Operations")</f>
        <v>Operations</v>
      </c>
      <c r="N346" s="6"/>
      <c r="O346" s="6"/>
    </row>
    <row r="347" spans="1:15" ht="15" customHeight="1" x14ac:dyDescent="0.25">
      <c r="A347" s="100"/>
      <c r="B347" s="101"/>
      <c r="C347" s="101"/>
      <c r="D347" s="100">
        <f>IF(OR(B347="",C347=""),"",IF(DATEDIF(C347,B347,"y")&gt;=1,DATEDIF(C347,B347,"y")&amp;IF(DATEDIF(C347,B347,"y")=1," year "," years ")&amp;DATEDIF(C347,B347,"ym")&amp;IF(DATEDIF(C347,B347,"ym")=1," month"," months"),IF(DATEDIF(C347,B347,"m")&gt;=1,DATEDIF(C347,B347,"m")&amp;IF(DATEDIF(C347,B347,"m")=1," month"," months"),DATEDIF(C347,B347,"d")&amp;IF(DATEDIF(C347,B347,"d")=1," day"," days"))))</f>
      </c>
      <c r="E347" s="100"/>
      <c r="F347" s="100"/>
      <c r="G347" s="100"/>
      <c r="H347" s="100"/>
      <c r="I347" s="100"/>
      <c r="J347" s="101"/>
      <c r="K347" s="100"/>
      <c r="L347" s="100"/>
      <c r="M347" s="102" t="str">
        <f>IFERROR(VLOOKUP(G347,Reference!$I$2:$J$175,2,FALSE()),"Operations")</f>
        <v>Operations</v>
      </c>
      <c r="N347" s="6"/>
      <c r="O347" s="6"/>
    </row>
    <row r="348" spans="1:15" ht="15" customHeight="1" x14ac:dyDescent="0.25">
      <c r="A348" s="103"/>
      <c r="B348" s="104"/>
      <c r="C348" s="104"/>
      <c r="D348" s="103">
        <f>IF(OR(B348="",C348=""),"",IF(DATEDIF(C348,B348,"y")&gt;=1,DATEDIF(C348,B348,"y")&amp;IF(DATEDIF(C348,B348,"y")=1," year "," years ")&amp;DATEDIF(C348,B348,"ym")&amp;IF(DATEDIF(C348,B348,"ym")=1," month"," months"),IF(DATEDIF(C348,B348,"m")&gt;=1,DATEDIF(C348,B348,"m")&amp;IF(DATEDIF(C348,B348,"m")=1," month"," months"),DATEDIF(C348,B348,"d")&amp;IF(DATEDIF(C348,B348,"d")=1," day"," days"))))</f>
      </c>
      <c r="E348" s="103"/>
      <c r="F348" s="103"/>
      <c r="G348" s="103"/>
      <c r="H348" s="103"/>
      <c r="I348" s="103"/>
      <c r="J348" s="104"/>
      <c r="K348" s="103"/>
      <c r="L348" s="103"/>
      <c r="M348" s="105" t="str">
        <f>IFERROR(VLOOKUP(G348,Reference!$I$2:$J$175,2,FALSE()),"Operations")</f>
        <v>Operations</v>
      </c>
      <c r="N348" s="6"/>
      <c r="O348" s="6"/>
    </row>
    <row r="349" spans="1:15" ht="15" customHeight="1" x14ac:dyDescent="0.25">
      <c r="A349" s="100"/>
      <c r="B349" s="101"/>
      <c r="C349" s="101"/>
      <c r="D349" s="100">
        <f>IF(OR(B349="",C349=""),"",IF(DATEDIF(C349,B349,"y")&gt;=1,DATEDIF(C349,B349,"y")&amp;IF(DATEDIF(C349,B349,"y")=1," year "," years ")&amp;DATEDIF(C349,B349,"ym")&amp;IF(DATEDIF(C349,B349,"ym")=1," month"," months"),IF(DATEDIF(C349,B349,"m")&gt;=1,DATEDIF(C349,B349,"m")&amp;IF(DATEDIF(C349,B349,"m")=1," month"," months"),DATEDIF(C349,B349,"d")&amp;IF(DATEDIF(C349,B349,"d")=1," day"," days"))))</f>
      </c>
      <c r="E349" s="100"/>
      <c r="F349" s="100"/>
      <c r="G349" s="100"/>
      <c r="H349" s="100"/>
      <c r="I349" s="100"/>
      <c r="J349" s="101"/>
      <c r="K349" s="100"/>
      <c r="L349" s="100"/>
      <c r="M349" s="102" t="str">
        <f>IFERROR(VLOOKUP(G349,Reference!$I$2:$J$175,2,FALSE()),"Operations")</f>
        <v>Operations</v>
      </c>
      <c r="N349" s="6"/>
      <c r="O349" s="6"/>
    </row>
    <row r="350" spans="1:15" ht="15" customHeight="1" x14ac:dyDescent="0.25">
      <c r="A350" s="103"/>
      <c r="B350" s="104"/>
      <c r="C350" s="104"/>
      <c r="D350" s="103">
        <f>IF(OR(B350="",C350=""),"",IF(DATEDIF(C350,B350,"y")&gt;=1,DATEDIF(C350,B350,"y")&amp;IF(DATEDIF(C350,B350,"y")=1," year "," years ")&amp;DATEDIF(C350,B350,"ym")&amp;IF(DATEDIF(C350,B350,"ym")=1," month"," months"),IF(DATEDIF(C350,B350,"m")&gt;=1,DATEDIF(C350,B350,"m")&amp;IF(DATEDIF(C350,B350,"m")=1," month"," months"),DATEDIF(C350,B350,"d")&amp;IF(DATEDIF(C350,B350,"d")=1," day"," days"))))</f>
      </c>
      <c r="E350" s="103"/>
      <c r="F350" s="103"/>
      <c r="G350" s="103"/>
      <c r="H350" s="103"/>
      <c r="I350" s="103"/>
      <c r="J350" s="104"/>
      <c r="K350" s="103"/>
      <c r="L350" s="103"/>
      <c r="M350" s="105" t="str">
        <f>IFERROR(VLOOKUP(G350,Reference!$I$2:$J$175,2,FALSE()),"Operations")</f>
        <v>Operations</v>
      </c>
      <c r="N350" s="6"/>
      <c r="O350" s="6"/>
    </row>
    <row r="351" spans="1:15" ht="15" customHeight="1" x14ac:dyDescent="0.25">
      <c r="A351" s="100"/>
      <c r="B351" s="101"/>
      <c r="C351" s="101"/>
      <c r="D351" s="100">
        <f>IF(OR(B351="",C351=""),"",IF(DATEDIF(C351,B351,"y")&gt;=1,DATEDIF(C351,B351,"y")&amp;IF(DATEDIF(C351,B351,"y")=1," year "," years ")&amp;DATEDIF(C351,B351,"ym")&amp;IF(DATEDIF(C351,B351,"ym")=1," month"," months"),IF(DATEDIF(C351,B351,"m")&gt;=1,DATEDIF(C351,B351,"m")&amp;IF(DATEDIF(C351,B351,"m")=1," month"," months"),DATEDIF(C351,B351,"d")&amp;IF(DATEDIF(C351,B351,"d")=1," day"," days"))))</f>
      </c>
      <c r="E351" s="100"/>
      <c r="F351" s="100"/>
      <c r="G351" s="100"/>
      <c r="H351" s="100"/>
      <c r="I351" s="100"/>
      <c r="J351" s="101"/>
      <c r="K351" s="100"/>
      <c r="L351" s="100"/>
      <c r="M351" s="102" t="str">
        <f>IFERROR(VLOOKUP(G351,Reference!$I$2:$J$175,2,FALSE()),"Operations")</f>
        <v>Operations</v>
      </c>
      <c r="N351" s="6"/>
      <c r="O351" s="6"/>
    </row>
    <row r="352" spans="1:15" ht="15" customHeight="1" x14ac:dyDescent="0.25">
      <c r="A352" s="103"/>
      <c r="B352" s="104"/>
      <c r="C352" s="104"/>
      <c r="D352" s="103">
        <f>IF(OR(B352="",C352=""),"",IF(DATEDIF(C352,B352,"y")&gt;=1,DATEDIF(C352,B352,"y")&amp;IF(DATEDIF(C352,B352,"y")=1," year "," years ")&amp;DATEDIF(C352,B352,"ym")&amp;IF(DATEDIF(C352,B352,"ym")=1," month"," months"),IF(DATEDIF(C352,B352,"m")&gt;=1,DATEDIF(C352,B352,"m")&amp;IF(DATEDIF(C352,B352,"m")=1," month"," months"),DATEDIF(C352,B352,"d")&amp;IF(DATEDIF(C352,B352,"d")=1," day"," days"))))</f>
      </c>
      <c r="E352" s="103"/>
      <c r="F352" s="103"/>
      <c r="G352" s="103"/>
      <c r="H352" s="103"/>
      <c r="I352" s="103"/>
      <c r="J352" s="104"/>
      <c r="K352" s="103"/>
      <c r="L352" s="103"/>
      <c r="M352" s="105" t="str">
        <f>IFERROR(VLOOKUP(G352,Reference!$I$2:$J$175,2,FALSE()),"Operations")</f>
        <v>Operations</v>
      </c>
      <c r="N352" s="6"/>
      <c r="O352" s="6"/>
    </row>
    <row r="353" spans="1:15" ht="15" customHeight="1" x14ac:dyDescent="0.25">
      <c r="A353" s="100"/>
      <c r="B353" s="101"/>
      <c r="C353" s="101"/>
      <c r="D353" s="100">
        <f>IF(OR(B353="",C353=""),"",IF(DATEDIF(C353,B353,"y")&gt;=1,DATEDIF(C353,B353,"y")&amp;IF(DATEDIF(C353,B353,"y")=1," year "," years ")&amp;DATEDIF(C353,B353,"ym")&amp;IF(DATEDIF(C353,B353,"ym")=1," month"," months"),IF(DATEDIF(C353,B353,"m")&gt;=1,DATEDIF(C353,B353,"m")&amp;IF(DATEDIF(C353,B353,"m")=1," month"," months"),DATEDIF(C353,B353,"d")&amp;IF(DATEDIF(C353,B353,"d")=1," day"," days"))))</f>
      </c>
      <c r="E353" s="100"/>
      <c r="F353" s="100"/>
      <c r="G353" s="100"/>
      <c r="H353" s="100"/>
      <c r="I353" s="100"/>
      <c r="J353" s="101"/>
      <c r="K353" s="100"/>
      <c r="L353" s="100"/>
      <c r="M353" s="102" t="str">
        <f>IFERROR(VLOOKUP(G353,Reference!$I$2:$J$175,2,FALSE()),"Operations")</f>
        <v>Operations</v>
      </c>
      <c r="N353" s="6"/>
      <c r="O353" s="6"/>
    </row>
    <row r="354" spans="1:15" ht="15" customHeight="1" x14ac:dyDescent="0.25">
      <c r="A354" s="103"/>
      <c r="B354" s="104"/>
      <c r="C354" s="104"/>
      <c r="D354" s="103">
        <f>IF(OR(B354="",C354=""),"",IF(DATEDIF(C354,B354,"y")&gt;=1,DATEDIF(C354,B354,"y")&amp;IF(DATEDIF(C354,B354,"y")=1," year "," years ")&amp;DATEDIF(C354,B354,"ym")&amp;IF(DATEDIF(C354,B354,"ym")=1," month"," months"),IF(DATEDIF(C354,B354,"m")&gt;=1,DATEDIF(C354,B354,"m")&amp;IF(DATEDIF(C354,B354,"m")=1," month"," months"),DATEDIF(C354,B354,"d")&amp;IF(DATEDIF(C354,B354,"d")=1," day"," days"))))</f>
      </c>
      <c r="E354" s="103"/>
      <c r="F354" s="103"/>
      <c r="G354" s="103"/>
      <c r="H354" s="103"/>
      <c r="I354" s="103"/>
      <c r="J354" s="104"/>
      <c r="K354" s="103"/>
      <c r="L354" s="103"/>
      <c r="M354" s="105" t="str">
        <f>IFERROR(VLOOKUP(G354,Reference!$I$2:$J$175,2,FALSE()),"Operations")</f>
        <v>Operations</v>
      </c>
      <c r="N354" s="6"/>
      <c r="O354" s="6"/>
    </row>
    <row r="355" spans="1:15" ht="15" customHeight="1" x14ac:dyDescent="0.25">
      <c r="A355" s="100"/>
      <c r="B355" s="101"/>
      <c r="C355" s="101"/>
      <c r="D355" s="100">
        <f>IF(OR(B355="",C355=""),"",IF(DATEDIF(C355,B355,"y")&gt;=1,DATEDIF(C355,B355,"y")&amp;IF(DATEDIF(C355,B355,"y")=1," year "," years ")&amp;DATEDIF(C355,B355,"ym")&amp;IF(DATEDIF(C355,B355,"ym")=1," month"," months"),IF(DATEDIF(C355,B355,"m")&gt;=1,DATEDIF(C355,B355,"m")&amp;IF(DATEDIF(C355,B355,"m")=1," month"," months"),DATEDIF(C355,B355,"d")&amp;IF(DATEDIF(C355,B355,"d")=1," day"," days"))))</f>
      </c>
      <c r="E355" s="100"/>
      <c r="F355" s="100"/>
      <c r="G355" s="100"/>
      <c r="H355" s="100"/>
      <c r="I355" s="100"/>
      <c r="J355" s="101"/>
      <c r="K355" s="100"/>
      <c r="L355" s="100"/>
      <c r="M355" s="102" t="str">
        <f>IFERROR(VLOOKUP(G355,Reference!$I$2:$J$175,2,FALSE()),"Operations")</f>
        <v>Operations</v>
      </c>
      <c r="N355" s="6"/>
      <c r="O355" s="6"/>
    </row>
    <row r="356" spans="1:15" ht="15" customHeight="1" x14ac:dyDescent="0.25">
      <c r="A356" s="103"/>
      <c r="B356" s="104"/>
      <c r="C356" s="104"/>
      <c r="D356" s="103">
        <f>IF(OR(B356="",C356=""),"",IF(DATEDIF(C356,B356,"y")&gt;=1,DATEDIF(C356,B356,"y")&amp;IF(DATEDIF(C356,B356,"y")=1," year "," years ")&amp;DATEDIF(C356,B356,"ym")&amp;IF(DATEDIF(C356,B356,"ym")=1," month"," months"),IF(DATEDIF(C356,B356,"m")&gt;=1,DATEDIF(C356,B356,"m")&amp;IF(DATEDIF(C356,B356,"m")=1," month"," months"),DATEDIF(C356,B356,"d")&amp;IF(DATEDIF(C356,B356,"d")=1," day"," days"))))</f>
      </c>
      <c r="E356" s="103"/>
      <c r="F356" s="103"/>
      <c r="G356" s="103"/>
      <c r="H356" s="103"/>
      <c r="I356" s="103"/>
      <c r="J356" s="104"/>
      <c r="K356" s="103"/>
      <c r="L356" s="103"/>
      <c r="M356" s="105" t="str">
        <f>IFERROR(VLOOKUP(G356,Reference!$I$2:$J$175,2,FALSE()),"Operations")</f>
        <v>Operations</v>
      </c>
      <c r="N356" s="6"/>
      <c r="O356" s="6"/>
    </row>
    <row r="357" spans="1:15" ht="15" customHeight="1" x14ac:dyDescent="0.25">
      <c r="A357" s="106" t="s">
        <v>163</v>
      </c>
      <c r="B357" s="107">
        <f>COUNTA(A327:A356)</f>
        <v>0</v>
      </c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6"/>
      <c r="O357" s="6"/>
    </row>
    <row r="358" spans="1:15" ht="6" customHeight="1" x14ac:dyDescent="0.25"/>
  </sheetData>
  <mergeCells count="14">
    <mergeCell ref="A2:M2"/>
    <mergeCell ref="A3:M3"/>
    <mergeCell ref="A7:M7"/>
    <mergeCell ref="A20:M20"/>
    <mergeCell ref="A35:M35"/>
    <mergeCell ref="A223:M223"/>
    <mergeCell ref="A257:M257"/>
    <mergeCell ref="A291:M291"/>
    <mergeCell ref="A325:M325"/>
    <mergeCell ref="A53:M53"/>
    <mergeCell ref="A87:M87"/>
    <mergeCell ref="A121:M121"/>
    <mergeCell ref="A155:M155"/>
    <mergeCell ref="A189:M189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warning" allowBlank="1" showErrorMessage="1" errorTitle="Invalid Entry" error="Please select a value from the list." xr:uid="{00000000-0002-0000-0300-000000000000}">
          <x14:formula1>
            <xm:f>Reference!$G$2:$G$3</xm:f>
          </x14:formula1>
          <x14:formula2>
            <xm:f>0</xm:f>
          </x14:formula2>
          <xm:sqref>F9:F357</xm:sqref>
        </x14:dataValidation>
        <x14:dataValidation type="list" errorStyle="warning" allowBlank="1" showErrorMessage="1" errorTitle="Invalid Entry" error="Please select a value from the list." xr:uid="{00000000-0002-0000-0300-000001000000}">
          <x14:formula1>
            <xm:f>Reference!$E$2:$E$64</xm:f>
          </x14:formula1>
          <x14:formula2>
            <xm:f>0</xm:f>
          </x14:formula2>
          <xm:sqref>G9:G357</xm:sqref>
        </x14:dataValidation>
        <x14:dataValidation type="list" errorStyle="warning" allowBlank="1" showErrorMessage="1" errorTitle="Invalid Entry" error="Please select a value from the list." xr:uid="{00000000-0002-0000-0300-000002000000}">
          <x14:formula1>
            <xm:f>Reference!$C$2:$C$13</xm:f>
          </x14:formula1>
          <x14:formula2>
            <xm:f>0</xm:f>
          </x14:formula2>
          <xm:sqref>H9:H357</xm:sqref>
        </x14:dataValidation>
        <x14:dataValidation type="list" errorStyle="warning" allowBlank="1" showErrorMessage="1" errorTitle="Invalid Entry" error="Please select a value from the list." xr:uid="{00000000-0002-0000-0300-000003000000}">
          <x14:formula1>
            <xm:f>Reference!$A$2:$A$18</xm:f>
          </x14:formula1>
          <x14:formula2>
            <xm:f>0</xm:f>
          </x14:formula2>
          <xm:sqref>K9:K357</xm:sqref>
        </x14:dataValidation>
        <x14:dataValidation type="list" errorStyle="warning" allowBlank="1" showErrorMessage="1" errorTitle="Invalid Entry" error="Please select a value from the list." xr:uid="{00000000-0002-0000-0300-000004000000}">
          <x14:formula1>
            <xm:f>Reference!$L$2:$L$10</xm:f>
          </x14:formula1>
          <x14:formula2>
            <xm:f>0</xm:f>
          </x14:formula2>
          <xm:sqref>M9:M357</xm:sqref>
        </x14:dataValidation>
      </x14:dataValidations>
    </ext>
    <ext xmlns:x14="http://schemas.microsoft.com/office/spreadsheetml/2009/9/main" uri="{CCE6A557-97BC-4B89-ADB6-D9C93CAAB3DF}">
      <x14:dataValidations xmlns:xm="http://schemas.microsoft.com/office/excel/2006/main" count="6">
        <x14:dataValidation xmlns:xr="http://schemas.microsoft.com/office/spreadsheetml/2014/revision" type="list" errorStyle="stop" allowBlank="1" showInputMessage="1" showErrorMessage="1" errorTitle="Invalid Rehire" error="Rehire Eligibility must be Yes or No." promptTitle="" prompt="" xr:uid="{00000000-0002-0000-0004-00000000}">
          <x14:formula1>
            <xm:f>Reference!$B$2:$B$3</xm:f>
          </x14:formula1>
          <xm:sqref>E9:E357</xm:sqref>
        </x14:dataValidation>
        <x14:dataValidation xmlns:xr="http://schemas.microsoft.com/office/spreadsheetml/2014/revision" type="list" errorStyle="stop" allowBlank="1" showInputMessage="1" showErrorMessage="1" errorTitle="Invalid Status" error="Status must be U (uneligible) or D (discharged)." promptTitle="" prompt="" xr:uid="{00000000-0002-0000-0004-00000001}">
          <x14:formula1>
            <xm:f>Reference!$G$2:$G$3</xm:f>
          </x14:formula1>
          <xm:sqref>F9:F357</xm:sqref>
        </x14:dataValidation>
        <x14:dataValidation xmlns:xr="http://schemas.microsoft.com/office/spreadsheetml/2014/revision" type="list" errorStyle="stop" allowBlank="1" showInputMessage="1" showErrorMessage="1" errorTitle="Invalid Location" error="Pick a location from the Reference list." promptTitle="" prompt="" xr:uid="{00000000-0002-0000-0004-00000002}">
          <x14:formula1>
            <xm:f>Reference!$E$2:$E$64</xm:f>
          </x14:formula1>
          <xm:sqref>G9:G357</xm:sqref>
        </x14:dataValidation>
        <x14:dataValidation xmlns:xr="http://schemas.microsoft.com/office/spreadsheetml/2014/revision" type="list" errorStyle="stop" allowBlank="1" showInputMessage="1" showErrorMessage="1" errorTitle="Invalid Reason" error="Pick a reason from the Reference list." promptTitle="" prompt="" xr:uid="{00000000-0002-0000-0004-00000003}">
          <x14:formula1>
            <xm:f>Reference!$C$2:$C$14</xm:f>
          </x14:formula1>
          <xm:sqref>H9:H357</xm:sqref>
        </x14:dataValidation>
        <x14:dataValidation xmlns:xr="http://schemas.microsoft.com/office/spreadsheetml/2014/revision" type="list" errorStyle="stop" allowBlank="1" showInputMessage="1" showErrorMessage="1" errorTitle="Invalid Job" error="Pick a job from the Reference list." promptTitle="" prompt="" xr:uid="{00000000-0002-0000-0004-00000004}">
          <x14:formula1>
            <xm:f>Reference!$A$2:$A$18</xm:f>
          </x14:formula1>
          <xm:sqref>K9:K357</xm:sqref>
        </x14:dataValidation>
        <x14:dataValidation xmlns:xr="http://schemas.microsoft.com/office/spreadsheetml/2014/revision" type="list" errorStyle="stop" allowBlank="1" showInputMessage="1" showErrorMessage="1" errorTitle="Invalid Department" error="Pick a department from the Reference list." promptTitle="" prompt="" xr:uid="{00000000-0002-0000-0004-00000005}">
          <x14:formula1>
            <xm:f>Reference!$L$2:$L$10</xm:f>
          </x14:formula1>
          <xm:sqref>M9:M357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86AB"/>
  </sheetPr>
  <dimension ref="A1:M414"/>
  <sheetViews>
    <sheetView zoomScaleNormal="100" workbookViewId="0">
      <pane ySplit="6" topLeftCell="A180" activePane="bottomLeft" state="frozen"/>
      <selection pane="bottomLeft" activeCell="D77" sqref="D77"/>
    </sheetView>
  </sheetViews>
  <sheetFormatPr defaultColWidth="8.7109375" defaultRowHeight="15" x14ac:dyDescent="0.25"/>
  <cols>
    <col min="1" max="1" width="26" customWidth="1"/>
    <col min="2" max="3" width="16" customWidth="1"/>
    <col min="4" max="4" width="20" customWidth="1"/>
    <col min="5" max="5" width="18" customWidth="1"/>
    <col min="6" max="6" width="10" customWidth="1"/>
    <col min="7" max="7" width="28" customWidth="1"/>
    <col min="8" max="9" width="22" customWidth="1"/>
    <col min="10" max="10" width="16" customWidth="1"/>
    <col min="11" max="11" width="18" customWidth="1"/>
    <col min="12" max="12" width="34" customWidth="1"/>
    <col min="13" max="13" width="20" customWidth="1"/>
  </cols>
  <sheetData>
    <row r="1" spans="1:13" ht="7.5" customHeight="1" x14ac:dyDescent="0.25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3" ht="31.5" customHeight="1" x14ac:dyDescent="0.25">
      <c r="A2" s="160" t="s">
        <v>275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</row>
    <row r="3" spans="1:13" ht="19.5" customHeight="1" x14ac:dyDescent="0.25">
      <c r="A3" s="164" t="s">
        <v>276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</row>
    <row r="4" spans="1:13" ht="6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27.75" customHeight="1" x14ac:dyDescent="0.25">
      <c r="A5" s="95" t="s">
        <v>147</v>
      </c>
      <c r="B5" s="96">
        <v>346</v>
      </c>
      <c r="C5" s="97"/>
      <c r="D5" s="95" t="s">
        <v>148</v>
      </c>
      <c r="E5" s="98">
        <f>B39+B73+B107+B141+B175+B209+B243+B277+B311+B345+B379+B413</f>
        <v>138</v>
      </c>
      <c r="F5" s="97"/>
      <c r="G5" s="95" t="s">
        <v>149</v>
      </c>
      <c r="H5" s="99">
        <f>IF(B5=0,0,E5/B5)</f>
        <v>0.39884393063583817</v>
      </c>
      <c r="I5" s="97"/>
      <c r="J5" s="97"/>
      <c r="K5" s="97"/>
      <c r="L5" s="97"/>
      <c r="M5" s="97"/>
    </row>
    <row r="6" spans="1:13" ht="6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21.75" customHeight="1" x14ac:dyDescent="0.25">
      <c r="A7" s="163" t="s">
        <v>277</v>
      </c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</row>
    <row r="8" spans="1:13" ht="19.5" customHeight="1" x14ac:dyDescent="0.25">
      <c r="A8" s="64" t="s">
        <v>151</v>
      </c>
      <c r="B8" s="64" t="s">
        <v>152</v>
      </c>
      <c r="C8" s="64" t="s">
        <v>153</v>
      </c>
      <c r="D8" s="64" t="s">
        <v>154</v>
      </c>
      <c r="E8" s="64" t="s">
        <v>155</v>
      </c>
      <c r="F8" s="64" t="s">
        <v>156</v>
      </c>
      <c r="G8" s="64" t="s">
        <v>157</v>
      </c>
      <c r="H8" s="64" t="s">
        <v>158</v>
      </c>
      <c r="I8" s="64" t="s">
        <v>159</v>
      </c>
      <c r="J8" s="64" t="s">
        <v>160</v>
      </c>
      <c r="K8" s="64" t="s">
        <v>134</v>
      </c>
      <c r="L8" s="64" t="s">
        <v>161</v>
      </c>
      <c r="M8" s="64" t="s">
        <v>162</v>
      </c>
    </row>
    <row r="9" spans="1:13" ht="15" customHeight="1" x14ac:dyDescent="0.25">
      <c r="A9" s="77" t="s">
        <v>278</v>
      </c>
      <c r="B9" s="111">
        <v>45659</v>
      </c>
      <c r="C9" s="77"/>
      <c r="D9" s="77" t="s">
        <v>279</v>
      </c>
      <c r="E9" s="77" t="s">
        <v>184</v>
      </c>
      <c r="F9" s="77" t="s">
        <v>280</v>
      </c>
      <c r="G9" s="77" t="s">
        <v>281</v>
      </c>
      <c r="H9" s="77" t="s">
        <v>56</v>
      </c>
      <c r="I9" s="77" t="s">
        <v>282</v>
      </c>
      <c r="J9" s="77"/>
      <c r="K9" s="77" t="s">
        <v>89</v>
      </c>
      <c r="L9" s="77"/>
      <c r="M9" s="102" t="str">
        <f>IFERROR(VLOOKUP(G9,Reference!$I$2:$J$175,2,FALSE()),"Operations")</f>
        <v>Operations</v>
      </c>
    </row>
    <row r="10" spans="1:13" ht="15" customHeight="1" x14ac:dyDescent="0.25">
      <c r="A10" s="80" t="s">
        <v>283</v>
      </c>
      <c r="B10" s="112">
        <v>45667</v>
      </c>
      <c r="C10" s="80"/>
      <c r="D10" s="80" t="s">
        <v>284</v>
      </c>
      <c r="E10" s="80" t="s">
        <v>179</v>
      </c>
      <c r="F10" s="80" t="s">
        <v>280</v>
      </c>
      <c r="G10" s="80" t="s">
        <v>285</v>
      </c>
      <c r="H10" s="80" t="s">
        <v>64</v>
      </c>
      <c r="I10" s="80" t="s">
        <v>286</v>
      </c>
      <c r="J10" s="80"/>
      <c r="K10" s="80" t="s">
        <v>83</v>
      </c>
      <c r="L10" s="80"/>
      <c r="M10" s="105" t="str">
        <f>IFERROR(VLOOKUP(G10,Reference!$I$2:$J$175,2,FALSE()),"Operations")</f>
        <v>Children Services</v>
      </c>
    </row>
    <row r="11" spans="1:13" ht="15" customHeight="1" x14ac:dyDescent="0.25">
      <c r="A11" s="77" t="s">
        <v>287</v>
      </c>
      <c r="B11" s="111">
        <v>45670</v>
      </c>
      <c r="C11" s="77"/>
      <c r="D11" s="77" t="s">
        <v>288</v>
      </c>
      <c r="E11" s="77" t="s">
        <v>179</v>
      </c>
      <c r="F11" s="77" t="s">
        <v>191</v>
      </c>
      <c r="G11" s="77" t="s">
        <v>289</v>
      </c>
      <c r="H11" s="77" t="s">
        <v>70</v>
      </c>
      <c r="I11" s="77" t="s">
        <v>290</v>
      </c>
      <c r="J11" s="77"/>
      <c r="K11" s="77" t="s">
        <v>66</v>
      </c>
      <c r="L11" s="77"/>
      <c r="M11" s="102" t="str">
        <f>IFERROR(VLOOKUP(G11,Reference!$I$2:$J$175,2,FALSE()),"Operations")</f>
        <v>Operations</v>
      </c>
    </row>
    <row r="12" spans="1:13" ht="15" customHeight="1" x14ac:dyDescent="0.25">
      <c r="A12" s="80" t="s">
        <v>291</v>
      </c>
      <c r="B12" s="112">
        <v>45673</v>
      </c>
      <c r="C12" s="80"/>
      <c r="D12" s="80" t="s">
        <v>292</v>
      </c>
      <c r="E12" s="80" t="s">
        <v>184</v>
      </c>
      <c r="F12" s="80" t="s">
        <v>180</v>
      </c>
      <c r="G12" s="80" t="s">
        <v>293</v>
      </c>
      <c r="H12" s="80" t="s">
        <v>53</v>
      </c>
      <c r="I12" s="80" t="s">
        <v>182</v>
      </c>
      <c r="J12" s="80"/>
      <c r="K12" s="80" t="s">
        <v>66</v>
      </c>
      <c r="L12" s="80"/>
      <c r="M12" s="105" t="str">
        <f>IFERROR(VLOOKUP(G12,Reference!$I$2:$J$175,2,FALSE()),"Operations")</f>
        <v>Operations</v>
      </c>
    </row>
    <row r="13" spans="1:13" ht="15" customHeight="1" x14ac:dyDescent="0.25">
      <c r="A13" s="77" t="s">
        <v>294</v>
      </c>
      <c r="B13" s="111">
        <v>45674</v>
      </c>
      <c r="C13" s="77"/>
      <c r="D13" s="77" t="s">
        <v>295</v>
      </c>
      <c r="E13" s="77" t="s">
        <v>179</v>
      </c>
      <c r="F13" s="77" t="s">
        <v>191</v>
      </c>
      <c r="G13" s="77" t="s">
        <v>296</v>
      </c>
      <c r="H13" s="77" t="s">
        <v>58</v>
      </c>
      <c r="I13" s="77" t="s">
        <v>235</v>
      </c>
      <c r="J13" s="77"/>
      <c r="K13" s="77" t="s">
        <v>66</v>
      </c>
      <c r="L13" s="77"/>
      <c r="M13" s="102" t="str">
        <f>IFERROR(VLOOKUP(G13,Reference!$I$2:$J$175,2,FALSE()),"Operations")</f>
        <v>Operations</v>
      </c>
    </row>
    <row r="14" spans="1:13" ht="15" customHeight="1" x14ac:dyDescent="0.25">
      <c r="A14" s="80" t="s">
        <v>297</v>
      </c>
      <c r="B14" s="112">
        <v>45679</v>
      </c>
      <c r="C14" s="80"/>
      <c r="D14" s="80" t="s">
        <v>298</v>
      </c>
      <c r="E14" s="80" t="s">
        <v>184</v>
      </c>
      <c r="F14" s="80" t="s">
        <v>191</v>
      </c>
      <c r="G14" s="80" t="s">
        <v>299</v>
      </c>
      <c r="H14" s="80" t="s">
        <v>58</v>
      </c>
      <c r="I14" s="80" t="s">
        <v>300</v>
      </c>
      <c r="J14" s="80"/>
      <c r="K14" s="80" t="s">
        <v>66</v>
      </c>
      <c r="L14" s="80"/>
      <c r="M14" s="105" t="str">
        <f>IFERROR(VLOOKUP(G14,Reference!$I$2:$J$175,2,FALSE()),"Operations")</f>
        <v>Operations</v>
      </c>
    </row>
    <row r="15" spans="1:13" ht="15" customHeight="1" x14ac:dyDescent="0.25">
      <c r="A15" s="77" t="s">
        <v>301</v>
      </c>
      <c r="B15" s="111">
        <v>45677</v>
      </c>
      <c r="C15" s="77"/>
      <c r="D15" s="77" t="s">
        <v>302</v>
      </c>
      <c r="E15" s="77" t="s">
        <v>184</v>
      </c>
      <c r="F15" s="77" t="s">
        <v>280</v>
      </c>
      <c r="G15" s="77" t="s">
        <v>303</v>
      </c>
      <c r="H15" s="77" t="s">
        <v>64</v>
      </c>
      <c r="I15" s="77" t="s">
        <v>304</v>
      </c>
      <c r="J15" s="77"/>
      <c r="K15" s="77" t="s">
        <v>83</v>
      </c>
      <c r="L15" s="77"/>
      <c r="M15" s="102" t="str">
        <f>IFERROR(VLOOKUP(G15,Reference!$I$2:$J$175,2,FALSE()),"Operations")</f>
        <v>Children Services</v>
      </c>
    </row>
    <row r="16" spans="1:13" ht="15" customHeight="1" x14ac:dyDescent="0.25">
      <c r="A16" s="80" t="s">
        <v>305</v>
      </c>
      <c r="B16" s="112">
        <v>45680</v>
      </c>
      <c r="C16" s="80"/>
      <c r="D16" s="80" t="s">
        <v>306</v>
      </c>
      <c r="E16" s="80" t="s">
        <v>179</v>
      </c>
      <c r="F16" s="80" t="s">
        <v>191</v>
      </c>
      <c r="G16" s="80" t="s">
        <v>307</v>
      </c>
      <c r="H16" s="80" t="s">
        <v>58</v>
      </c>
      <c r="I16" s="80" t="s">
        <v>308</v>
      </c>
      <c r="J16" s="80"/>
      <c r="K16" s="80" t="s">
        <v>66</v>
      </c>
      <c r="L16" s="80"/>
      <c r="M16" s="105" t="str">
        <f>IFERROR(VLOOKUP(G16,Reference!$I$2:$J$175,2,FALSE()),"Operations")</f>
        <v>Operations</v>
      </c>
    </row>
    <row r="17" spans="1:13" ht="15" customHeight="1" x14ac:dyDescent="0.25">
      <c r="A17" s="77" t="s">
        <v>309</v>
      </c>
      <c r="B17" s="111">
        <v>45659</v>
      </c>
      <c r="C17" s="77"/>
      <c r="D17" s="77" t="s">
        <v>302</v>
      </c>
      <c r="E17" s="77" t="s">
        <v>179</v>
      </c>
      <c r="F17" s="77" t="s">
        <v>191</v>
      </c>
      <c r="G17" s="77" t="s">
        <v>310</v>
      </c>
      <c r="H17" s="77" t="s">
        <v>69</v>
      </c>
      <c r="I17" s="77" t="s">
        <v>311</v>
      </c>
      <c r="J17" s="77"/>
      <c r="K17" s="77" t="s">
        <v>66</v>
      </c>
      <c r="L17" s="77"/>
      <c r="M17" s="102" t="str">
        <f>IFERROR(VLOOKUP(G17,Reference!$I$2:$J$175,2,FALSE()),"Operations")</f>
        <v>Operations</v>
      </c>
    </row>
    <row r="18" spans="1:13" ht="15" customHeight="1" x14ac:dyDescent="0.25">
      <c r="A18" s="80" t="s">
        <v>312</v>
      </c>
      <c r="B18" s="112">
        <v>45678</v>
      </c>
      <c r="C18" s="80"/>
      <c r="D18" s="80" t="s">
        <v>313</v>
      </c>
      <c r="E18" s="80" t="s">
        <v>184</v>
      </c>
      <c r="F18" s="80" t="s">
        <v>191</v>
      </c>
      <c r="G18" s="80" t="s">
        <v>281</v>
      </c>
      <c r="H18" s="80" t="s">
        <v>53</v>
      </c>
      <c r="I18" s="80" t="s">
        <v>314</v>
      </c>
      <c r="J18" s="80"/>
      <c r="K18" s="80" t="s">
        <v>70</v>
      </c>
      <c r="L18" s="80"/>
      <c r="M18" s="105" t="str">
        <f>IFERROR(VLOOKUP(G18,Reference!$I$2:$J$175,2,FALSE()),"Operations")</f>
        <v>Operations</v>
      </c>
    </row>
    <row r="19" spans="1:13" ht="15" customHeight="1" x14ac:dyDescent="0.25">
      <c r="A19" s="77" t="s">
        <v>315</v>
      </c>
      <c r="B19" s="111">
        <v>45684</v>
      </c>
      <c r="C19" s="77"/>
      <c r="D19" s="77" t="s">
        <v>316</v>
      </c>
      <c r="E19" s="77" t="s">
        <v>179</v>
      </c>
      <c r="F19" s="77" t="s">
        <v>280</v>
      </c>
      <c r="G19" s="77" t="s">
        <v>281</v>
      </c>
      <c r="H19" s="77" t="s">
        <v>53</v>
      </c>
      <c r="I19" s="77" t="s">
        <v>314</v>
      </c>
      <c r="J19" s="77"/>
      <c r="K19" s="77" t="s">
        <v>70</v>
      </c>
      <c r="L19" s="77"/>
      <c r="M19" s="102" t="str">
        <f>IFERROR(VLOOKUP(G19,Reference!$I$2:$J$175,2,FALSE()),"Operations")</f>
        <v>Operations</v>
      </c>
    </row>
    <row r="20" spans="1:13" ht="15" customHeight="1" x14ac:dyDescent="0.25">
      <c r="A20" s="80" t="s">
        <v>317</v>
      </c>
      <c r="B20" s="112">
        <v>45686</v>
      </c>
      <c r="C20" s="80"/>
      <c r="D20" s="80" t="s">
        <v>318</v>
      </c>
      <c r="E20" s="80" t="s">
        <v>184</v>
      </c>
      <c r="F20" s="80" t="s">
        <v>191</v>
      </c>
      <c r="G20" s="80" t="s">
        <v>319</v>
      </c>
      <c r="H20" s="80" t="s">
        <v>58</v>
      </c>
      <c r="I20" s="80" t="s">
        <v>254</v>
      </c>
      <c r="J20" s="80"/>
      <c r="K20" s="80" t="s">
        <v>70</v>
      </c>
      <c r="L20" s="80"/>
      <c r="M20" s="105" t="str">
        <f>IFERROR(VLOOKUP(G20,Reference!$I$2:$J$175,2,FALSE()),"Operations")</f>
        <v>Operations</v>
      </c>
    </row>
    <row r="21" spans="1:13" ht="15" customHeight="1" x14ac:dyDescent="0.25">
      <c r="A21" s="77" t="s">
        <v>320</v>
      </c>
      <c r="B21" s="111">
        <v>45688</v>
      </c>
      <c r="C21" s="77"/>
      <c r="D21" s="77" t="s">
        <v>316</v>
      </c>
      <c r="E21" s="77" t="s">
        <v>184</v>
      </c>
      <c r="F21" s="77" t="s">
        <v>191</v>
      </c>
      <c r="G21" s="77" t="s">
        <v>321</v>
      </c>
      <c r="H21" s="77" t="s">
        <v>58</v>
      </c>
      <c r="I21" s="77" t="s">
        <v>254</v>
      </c>
      <c r="J21" s="77"/>
      <c r="K21" s="77" t="s">
        <v>66</v>
      </c>
      <c r="L21" s="77"/>
      <c r="M21" s="102" t="str">
        <f>IFERROR(VLOOKUP(G21,Reference!$I$2:$J$175,2,FALSE()),"Operations")</f>
        <v>Operations</v>
      </c>
    </row>
    <row r="22" spans="1:13" ht="15" customHeight="1" x14ac:dyDescent="0.25">
      <c r="A22" s="80" t="s">
        <v>322</v>
      </c>
      <c r="B22" s="112">
        <v>45688</v>
      </c>
      <c r="C22" s="80"/>
      <c r="D22" s="80" t="s">
        <v>323</v>
      </c>
      <c r="E22" s="80" t="s">
        <v>179</v>
      </c>
      <c r="F22" s="80" t="s">
        <v>191</v>
      </c>
      <c r="G22" s="80" t="s">
        <v>285</v>
      </c>
      <c r="H22" s="80" t="s">
        <v>58</v>
      </c>
      <c r="I22" s="80" t="s">
        <v>286</v>
      </c>
      <c r="J22" s="80"/>
      <c r="K22" s="80" t="s">
        <v>83</v>
      </c>
      <c r="L22" s="80"/>
      <c r="M22" s="105" t="str">
        <f>IFERROR(VLOOKUP(G22,Reference!$I$2:$J$175,2,FALSE()),"Operations")</f>
        <v>Children Services</v>
      </c>
    </row>
    <row r="23" spans="1:13" ht="15" customHeight="1" x14ac:dyDescent="0.25">
      <c r="A23" s="100"/>
      <c r="B23" s="101"/>
      <c r="C23" s="101"/>
      <c r="D23" s="100">
        <f>IF(OR(B23="",C23=""),"",IF(DATEDIF(C23,B23,"y")&gt;=1,DATEDIF(C23,B23,"y")&amp;IF(DATEDIF(C23,B23,"y")=1," year "," years ")&amp;DATEDIF(C23,B23,"ym")&amp;IF(DATEDIF(C23,B23,"ym")=1," month"," months"),IF(DATEDIF(C23,B23,"m")&gt;=1,DATEDIF(C23,B23,"m")&amp;IF(DATEDIF(C23,B23,"m")=1," month"," months"),DATEDIF(C23,B23,"d")&amp;IF(DATEDIF(C23,B23,"d")=1," day"," days"))))</f>
      </c>
      <c r="E23" s="100"/>
      <c r="F23" s="100"/>
      <c r="G23" s="100"/>
      <c r="H23" s="100"/>
      <c r="I23" s="100"/>
      <c r="J23" s="101"/>
      <c r="K23" s="100"/>
      <c r="L23" s="100"/>
      <c r="M23" s="102" t="str">
        <f>IFERROR(VLOOKUP(G23,Reference!$I$2:$J$175,2,FALSE()),"Operations")</f>
        <v>Operations</v>
      </c>
    </row>
    <row r="24" spans="1:13" ht="15" customHeight="1" x14ac:dyDescent="0.25">
      <c r="A24" s="103"/>
      <c r="B24" s="104"/>
      <c r="C24" s="104"/>
      <c r="D24" s="103">
        <f>IF(OR(B24="",C24=""),"",IF(DATEDIF(C24,B24,"y")&gt;=1,DATEDIF(C24,B24,"y")&amp;IF(DATEDIF(C24,B24,"y")=1," year "," years ")&amp;DATEDIF(C24,B24,"ym")&amp;IF(DATEDIF(C24,B24,"ym")=1," month"," months"),IF(DATEDIF(C24,B24,"m")&gt;=1,DATEDIF(C24,B24,"m")&amp;IF(DATEDIF(C24,B24,"m")=1," month"," months"),DATEDIF(C24,B24,"d")&amp;IF(DATEDIF(C24,B24,"d")=1," day"," days"))))</f>
      </c>
      <c r="E24" s="103"/>
      <c r="F24" s="103"/>
      <c r="G24" s="103"/>
      <c r="H24" s="103"/>
      <c r="I24" s="103"/>
      <c r="J24" s="104"/>
      <c r="K24" s="103"/>
      <c r="L24" s="103"/>
      <c r="M24" s="105" t="str">
        <f>IFERROR(VLOOKUP(G24,Reference!$I$2:$J$175,2,FALSE()),"Operations")</f>
        <v>Operations</v>
      </c>
    </row>
    <row r="25" spans="1:13" ht="15" customHeight="1" x14ac:dyDescent="0.25">
      <c r="A25" s="100"/>
      <c r="B25" s="101"/>
      <c r="C25" s="101"/>
      <c r="D25" s="100">
        <f>IF(OR(B25="",C25=""),"",IF(DATEDIF(C25,B25,"y")&gt;=1,DATEDIF(C25,B25,"y")&amp;IF(DATEDIF(C25,B25,"y")=1," year "," years ")&amp;DATEDIF(C25,B25,"ym")&amp;IF(DATEDIF(C25,B25,"ym")=1," month"," months"),IF(DATEDIF(C25,B25,"m")&gt;=1,DATEDIF(C25,B25,"m")&amp;IF(DATEDIF(C25,B25,"m")=1," month"," months"),DATEDIF(C25,B25,"d")&amp;IF(DATEDIF(C25,B25,"d")=1," day"," days"))))</f>
      </c>
      <c r="E25" s="100"/>
      <c r="F25" s="100"/>
      <c r="G25" s="100"/>
      <c r="H25" s="100"/>
      <c r="I25" s="100"/>
      <c r="J25" s="101"/>
      <c r="K25" s="100"/>
      <c r="L25" s="100"/>
      <c r="M25" s="102" t="str">
        <f>IFERROR(VLOOKUP(G25,Reference!$I$2:$J$175,2,FALSE()),"Operations")</f>
        <v>Operations</v>
      </c>
    </row>
    <row r="26" spans="1:13" ht="15" customHeight="1" x14ac:dyDescent="0.25">
      <c r="A26" s="103"/>
      <c r="B26" s="104"/>
      <c r="C26" s="104"/>
      <c r="D26" s="103">
        <f>IF(OR(B26="",C26=""),"",IF(DATEDIF(C26,B26,"y")&gt;=1,DATEDIF(C26,B26,"y")&amp;IF(DATEDIF(C26,B26,"y")=1," year "," years ")&amp;DATEDIF(C26,B26,"ym")&amp;IF(DATEDIF(C26,B26,"ym")=1," month"," months"),IF(DATEDIF(C26,B26,"m")&gt;=1,DATEDIF(C26,B26,"m")&amp;IF(DATEDIF(C26,B26,"m")=1," month"," months"),DATEDIF(C26,B26,"d")&amp;IF(DATEDIF(C26,B26,"d")=1," day"," days"))))</f>
      </c>
      <c r="E26" s="103"/>
      <c r="F26" s="103"/>
      <c r="G26" s="103"/>
      <c r="H26" s="103"/>
      <c r="I26" s="103"/>
      <c r="J26" s="104"/>
      <c r="K26" s="103"/>
      <c r="L26" s="103"/>
      <c r="M26" s="105" t="str">
        <f>IFERROR(VLOOKUP(G26,Reference!$I$2:$J$175,2,FALSE()),"Operations")</f>
        <v>Operations</v>
      </c>
    </row>
    <row r="27" spans="1:13" ht="15" customHeight="1" x14ac:dyDescent="0.25">
      <c r="A27" s="100"/>
      <c r="B27" s="101"/>
      <c r="C27" s="101"/>
      <c r="D27" s="100">
        <f>IF(OR(B27="",C27=""),"",IF(DATEDIF(C27,B27,"y")&gt;=1,DATEDIF(C27,B27,"y")&amp;IF(DATEDIF(C27,B27,"y")=1," year "," years ")&amp;DATEDIF(C27,B27,"ym")&amp;IF(DATEDIF(C27,B27,"ym")=1," month"," months"),IF(DATEDIF(C27,B27,"m")&gt;=1,DATEDIF(C27,B27,"m")&amp;IF(DATEDIF(C27,B27,"m")=1," month"," months"),DATEDIF(C27,B27,"d")&amp;IF(DATEDIF(C27,B27,"d")=1," day"," days"))))</f>
      </c>
      <c r="E27" s="100"/>
      <c r="F27" s="100"/>
      <c r="G27" s="100"/>
      <c r="H27" s="100"/>
      <c r="I27" s="100"/>
      <c r="J27" s="101"/>
      <c r="K27" s="100"/>
      <c r="L27" s="100"/>
      <c r="M27" s="102" t="str">
        <f>IFERROR(VLOOKUP(G27,Reference!$I$2:$J$175,2,FALSE()),"Operations")</f>
        <v>Operations</v>
      </c>
    </row>
    <row r="28" spans="1:13" ht="15" customHeight="1" x14ac:dyDescent="0.25">
      <c r="A28" s="103"/>
      <c r="B28" s="104"/>
      <c r="C28" s="104"/>
      <c r="D28" s="103">
        <f>IF(OR(B28="",C28=""),"",IF(DATEDIF(C28,B28,"y")&gt;=1,DATEDIF(C28,B28,"y")&amp;IF(DATEDIF(C28,B28,"y")=1," year "," years ")&amp;DATEDIF(C28,B28,"ym")&amp;IF(DATEDIF(C28,B28,"ym")=1," month"," months"),IF(DATEDIF(C28,B28,"m")&gt;=1,DATEDIF(C28,B28,"m")&amp;IF(DATEDIF(C28,B28,"m")=1," month"," months"),DATEDIF(C28,B28,"d")&amp;IF(DATEDIF(C28,B28,"d")=1," day"," days"))))</f>
      </c>
      <c r="E28" s="103"/>
      <c r="F28" s="103"/>
      <c r="G28" s="103"/>
      <c r="H28" s="103"/>
      <c r="I28" s="103"/>
      <c r="J28" s="104"/>
      <c r="K28" s="103"/>
      <c r="L28" s="103"/>
      <c r="M28" s="105" t="str">
        <f>IFERROR(VLOOKUP(G28,Reference!$I$2:$J$175,2,FALSE()),"Operations")</f>
        <v>Operations</v>
      </c>
    </row>
    <row r="29" spans="1:13" ht="15" customHeight="1" x14ac:dyDescent="0.25">
      <c r="A29" s="100"/>
      <c r="B29" s="101"/>
      <c r="C29" s="101"/>
      <c r="D29" s="100">
        <f>IF(OR(B29="",C29=""),"",IF(DATEDIF(C29,B29,"y")&gt;=1,DATEDIF(C29,B29,"y")&amp;IF(DATEDIF(C29,B29,"y")=1," year "," years ")&amp;DATEDIF(C29,B29,"ym")&amp;IF(DATEDIF(C29,B29,"ym")=1," month"," months"),IF(DATEDIF(C29,B29,"m")&gt;=1,DATEDIF(C29,B29,"m")&amp;IF(DATEDIF(C29,B29,"m")=1," month"," months"),DATEDIF(C29,B29,"d")&amp;IF(DATEDIF(C29,B29,"d")=1," day"," days"))))</f>
      </c>
      <c r="E29" s="100"/>
      <c r="F29" s="100"/>
      <c r="G29" s="100"/>
      <c r="H29" s="100"/>
      <c r="I29" s="100"/>
      <c r="J29" s="101"/>
      <c r="K29" s="100"/>
      <c r="L29" s="100"/>
      <c r="M29" s="102" t="str">
        <f>IFERROR(VLOOKUP(G29,Reference!$I$2:$J$175,2,FALSE()),"Operations")</f>
        <v>Operations</v>
      </c>
    </row>
    <row r="30" spans="1:13" ht="15" customHeight="1" x14ac:dyDescent="0.25">
      <c r="A30" s="103"/>
      <c r="B30" s="104"/>
      <c r="C30" s="104"/>
      <c r="D30" s="103">
        <f>IF(OR(B30="",C30=""),"",IF(DATEDIF(C30,B30,"y")&gt;=1,DATEDIF(C30,B30,"y")&amp;IF(DATEDIF(C30,B30,"y")=1," year "," years ")&amp;DATEDIF(C30,B30,"ym")&amp;IF(DATEDIF(C30,B30,"ym")=1," month"," months"),IF(DATEDIF(C30,B30,"m")&gt;=1,DATEDIF(C30,B30,"m")&amp;IF(DATEDIF(C30,B30,"m")=1," month"," months"),DATEDIF(C30,B30,"d")&amp;IF(DATEDIF(C30,B30,"d")=1," day"," days"))))</f>
      </c>
      <c r="E30" s="103"/>
      <c r="F30" s="103"/>
      <c r="G30" s="103"/>
      <c r="H30" s="103"/>
      <c r="I30" s="103"/>
      <c r="J30" s="104"/>
      <c r="K30" s="103"/>
      <c r="L30" s="103"/>
      <c r="M30" s="105" t="str">
        <f>IFERROR(VLOOKUP(G30,Reference!$I$2:$J$175,2,FALSE()),"Operations")</f>
        <v>Operations</v>
      </c>
    </row>
    <row r="31" spans="1:13" ht="15" customHeight="1" x14ac:dyDescent="0.25">
      <c r="A31" s="100"/>
      <c r="B31" s="101"/>
      <c r="C31" s="101"/>
      <c r="D31" s="100">
        <f>IF(OR(B31="",C31=""),"",IF(DATEDIF(C31,B31,"y")&gt;=1,DATEDIF(C31,B31,"y")&amp;IF(DATEDIF(C31,B31,"y")=1," year "," years ")&amp;DATEDIF(C31,B31,"ym")&amp;IF(DATEDIF(C31,B31,"ym")=1," month"," months"),IF(DATEDIF(C31,B31,"m")&gt;=1,DATEDIF(C31,B31,"m")&amp;IF(DATEDIF(C31,B31,"m")=1," month"," months"),DATEDIF(C31,B31,"d")&amp;IF(DATEDIF(C31,B31,"d")=1," day"," days"))))</f>
      </c>
      <c r="E31" s="100"/>
      <c r="F31" s="100"/>
      <c r="G31" s="100"/>
      <c r="H31" s="100"/>
      <c r="I31" s="100"/>
      <c r="J31" s="101"/>
      <c r="K31" s="100"/>
      <c r="L31" s="100"/>
      <c r="M31" s="102" t="str">
        <f>IFERROR(VLOOKUP(G31,Reference!$I$2:$J$175,2,FALSE()),"Operations")</f>
        <v>Operations</v>
      </c>
    </row>
    <row r="32" spans="1:13" ht="15" customHeight="1" x14ac:dyDescent="0.25">
      <c r="A32" s="103"/>
      <c r="B32" s="104"/>
      <c r="C32" s="104"/>
      <c r="D32" s="103">
        <f>IF(OR(B32="",C32=""),"",IF(DATEDIF(C32,B32,"y")&gt;=1,DATEDIF(C32,B32,"y")&amp;IF(DATEDIF(C32,B32,"y")=1," year "," years ")&amp;DATEDIF(C32,B32,"ym")&amp;IF(DATEDIF(C32,B32,"ym")=1," month"," months"),IF(DATEDIF(C32,B32,"m")&gt;=1,DATEDIF(C32,B32,"m")&amp;IF(DATEDIF(C32,B32,"m")=1," month"," months"),DATEDIF(C32,B32,"d")&amp;IF(DATEDIF(C32,B32,"d")=1," day"," days"))))</f>
      </c>
      <c r="E32" s="103"/>
      <c r="F32" s="103"/>
      <c r="G32" s="103"/>
      <c r="H32" s="103"/>
      <c r="I32" s="103"/>
      <c r="J32" s="104"/>
      <c r="K32" s="103"/>
      <c r="L32" s="103"/>
      <c r="M32" s="105" t="str">
        <f>IFERROR(VLOOKUP(G32,Reference!$I$2:$J$175,2,FALSE()),"Operations")</f>
        <v>Operations</v>
      </c>
    </row>
    <row r="33" spans="1:13" ht="15" customHeight="1" x14ac:dyDescent="0.25">
      <c r="A33" s="100"/>
      <c r="B33" s="101"/>
      <c r="C33" s="101"/>
      <c r="D33" s="100">
        <f>IF(OR(B33="",C33=""),"",IF(DATEDIF(C33,B33,"y")&gt;=1,DATEDIF(C33,B33,"y")&amp;IF(DATEDIF(C33,B33,"y")=1," year "," years ")&amp;DATEDIF(C33,B33,"ym")&amp;IF(DATEDIF(C33,B33,"ym")=1," month"," months"),IF(DATEDIF(C33,B33,"m")&gt;=1,DATEDIF(C33,B33,"m")&amp;IF(DATEDIF(C33,B33,"m")=1," month"," months"),DATEDIF(C33,B33,"d")&amp;IF(DATEDIF(C33,B33,"d")=1," day"," days"))))</f>
      </c>
      <c r="E33" s="100"/>
      <c r="F33" s="100"/>
      <c r="G33" s="100"/>
      <c r="H33" s="100"/>
      <c r="I33" s="100"/>
      <c r="J33" s="101"/>
      <c r="K33" s="100"/>
      <c r="L33" s="100"/>
      <c r="M33" s="102" t="str">
        <f>IFERROR(VLOOKUP(G33,Reference!$I$2:$J$175,2,FALSE()),"Operations")</f>
        <v>Operations</v>
      </c>
    </row>
    <row r="34" spans="1:13" ht="15" customHeight="1" x14ac:dyDescent="0.25">
      <c r="A34" s="103"/>
      <c r="B34" s="104"/>
      <c r="C34" s="104"/>
      <c r="D34" s="103">
        <f>IF(OR(B34="",C34=""),"",IF(DATEDIF(C34,B34,"y")&gt;=1,DATEDIF(C34,B34,"y")&amp;IF(DATEDIF(C34,B34,"y")=1," year "," years ")&amp;DATEDIF(C34,B34,"ym")&amp;IF(DATEDIF(C34,B34,"ym")=1," month"," months"),IF(DATEDIF(C34,B34,"m")&gt;=1,DATEDIF(C34,B34,"m")&amp;IF(DATEDIF(C34,B34,"m")=1," month"," months"),DATEDIF(C34,B34,"d")&amp;IF(DATEDIF(C34,B34,"d")=1," day"," days"))))</f>
      </c>
      <c r="E34" s="103"/>
      <c r="F34" s="103"/>
      <c r="G34" s="103"/>
      <c r="H34" s="103"/>
      <c r="I34" s="103"/>
      <c r="J34" s="104"/>
      <c r="K34" s="103"/>
      <c r="L34" s="103"/>
      <c r="M34" s="105" t="str">
        <f>IFERROR(VLOOKUP(G34,Reference!$I$2:$J$175,2,FALSE()),"Operations")</f>
        <v>Operations</v>
      </c>
    </row>
    <row r="35" spans="1:13" ht="15" customHeight="1" x14ac:dyDescent="0.25">
      <c r="A35" s="100"/>
      <c r="B35" s="101"/>
      <c r="C35" s="101"/>
      <c r="D35" s="100">
        <f>IF(OR(B35="",C35=""),"",IF(DATEDIF(C35,B35,"y")&gt;=1,DATEDIF(C35,B35,"y")&amp;IF(DATEDIF(C35,B35,"y")=1," year "," years ")&amp;DATEDIF(C35,B35,"ym")&amp;IF(DATEDIF(C35,B35,"ym")=1," month"," months"),IF(DATEDIF(C35,B35,"m")&gt;=1,DATEDIF(C35,B35,"m")&amp;IF(DATEDIF(C35,B35,"m")=1," month"," months"),DATEDIF(C35,B35,"d")&amp;IF(DATEDIF(C35,B35,"d")=1," day"," days"))))</f>
      </c>
      <c r="E35" s="100"/>
      <c r="F35" s="100"/>
      <c r="G35" s="100"/>
      <c r="H35" s="100"/>
      <c r="I35" s="100"/>
      <c r="J35" s="101"/>
      <c r="K35" s="100"/>
      <c r="L35" s="100"/>
      <c r="M35" s="102" t="str">
        <f>IFERROR(VLOOKUP(G35,Reference!$I$2:$J$175,2,FALSE()),"Operations")</f>
        <v>Operations</v>
      </c>
    </row>
    <row r="36" spans="1:13" ht="15" customHeight="1" x14ac:dyDescent="0.25">
      <c r="A36" s="103"/>
      <c r="B36" s="104"/>
      <c r="C36" s="104"/>
      <c r="D36" s="103">
        <f>IF(OR(B36="",C36=""),"",IF(DATEDIF(C36,B36,"y")&gt;=1,DATEDIF(C36,B36,"y")&amp;IF(DATEDIF(C36,B36,"y")=1," year "," years ")&amp;DATEDIF(C36,B36,"ym")&amp;IF(DATEDIF(C36,B36,"ym")=1," month"," months"),IF(DATEDIF(C36,B36,"m")&gt;=1,DATEDIF(C36,B36,"m")&amp;IF(DATEDIF(C36,B36,"m")=1," month"," months"),DATEDIF(C36,B36,"d")&amp;IF(DATEDIF(C36,B36,"d")=1," day"," days"))))</f>
      </c>
      <c r="E36" s="103"/>
      <c r="F36" s="103"/>
      <c r="G36" s="103"/>
      <c r="H36" s="103"/>
      <c r="I36" s="103"/>
      <c r="J36" s="104"/>
      <c r="K36" s="103"/>
      <c r="L36" s="103"/>
      <c r="M36" s="105" t="str">
        <f>IFERROR(VLOOKUP(G36,Reference!$I$2:$J$175,2,FALSE()),"Operations")</f>
        <v>Operations</v>
      </c>
    </row>
    <row r="37" spans="1:13" ht="15" customHeight="1" x14ac:dyDescent="0.25">
      <c r="A37" s="100"/>
      <c r="B37" s="101"/>
      <c r="C37" s="101"/>
      <c r="D37" s="100">
        <f>IF(OR(B37="",C37=""),"",IF(DATEDIF(C37,B37,"y")&gt;=1,DATEDIF(C37,B37,"y")&amp;IF(DATEDIF(C37,B37,"y")=1," year "," years ")&amp;DATEDIF(C37,B37,"ym")&amp;IF(DATEDIF(C37,B37,"ym")=1," month"," months"),IF(DATEDIF(C37,B37,"m")&gt;=1,DATEDIF(C37,B37,"m")&amp;IF(DATEDIF(C37,B37,"m")=1," month"," months"),DATEDIF(C37,B37,"d")&amp;IF(DATEDIF(C37,B37,"d")=1," day"," days"))))</f>
      </c>
      <c r="E37" s="100"/>
      <c r="F37" s="100"/>
      <c r="G37" s="100"/>
      <c r="H37" s="100"/>
      <c r="I37" s="100"/>
      <c r="J37" s="101"/>
      <c r="K37" s="100"/>
      <c r="L37" s="100"/>
      <c r="M37" s="102" t="str">
        <f>IFERROR(VLOOKUP(G37,Reference!$I$2:$J$175,2,FALSE()),"Operations")</f>
        <v>Operations</v>
      </c>
    </row>
    <row r="38" spans="1:13" ht="15" customHeight="1" x14ac:dyDescent="0.25">
      <c r="A38" s="103"/>
      <c r="B38" s="104"/>
      <c r="C38" s="104"/>
      <c r="D38" s="103">
        <f>IF(OR(B38="",C38=""),"",IF(DATEDIF(C38,B38,"y")&gt;=1,DATEDIF(C38,B38,"y")&amp;IF(DATEDIF(C38,B38,"y")=1," year "," years ")&amp;DATEDIF(C38,B38,"ym")&amp;IF(DATEDIF(C38,B38,"ym")=1," month"," months"),IF(DATEDIF(C38,B38,"m")&gt;=1,DATEDIF(C38,B38,"m")&amp;IF(DATEDIF(C38,B38,"m")=1," month"," months"),DATEDIF(C38,B38,"d")&amp;IF(DATEDIF(C38,B38,"d")=1," day"," days"))))</f>
      </c>
      <c r="E38" s="103"/>
      <c r="F38" s="103"/>
      <c r="G38" s="103"/>
      <c r="H38" s="103"/>
      <c r="I38" s="103"/>
      <c r="J38" s="104"/>
      <c r="K38" s="103"/>
      <c r="L38" s="103"/>
      <c r="M38" s="105" t="str">
        <f>IFERROR(VLOOKUP(G38,Reference!$I$2:$J$175,2,FALSE()),"Operations")</f>
        <v>Operations</v>
      </c>
    </row>
    <row r="39" spans="1:13" ht="15" customHeight="1" x14ac:dyDescent="0.25">
      <c r="A39" s="106" t="s">
        <v>163</v>
      </c>
      <c r="B39" s="107">
        <f>COUNTA(A9:A38)</f>
        <v>14</v>
      </c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</row>
    <row r="40" spans="1:13" ht="6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ht="21.75" customHeight="1" x14ac:dyDescent="0.25">
      <c r="A41" s="163" t="s">
        <v>324</v>
      </c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</row>
    <row r="42" spans="1:13" ht="19.5" customHeight="1" x14ac:dyDescent="0.25">
      <c r="A42" s="64" t="s">
        <v>151</v>
      </c>
      <c r="B42" s="64" t="s">
        <v>152</v>
      </c>
      <c r="C42" s="64" t="s">
        <v>153</v>
      </c>
      <c r="D42" s="64" t="s">
        <v>154</v>
      </c>
      <c r="E42" s="64" t="s">
        <v>155</v>
      </c>
      <c r="F42" s="64" t="s">
        <v>156</v>
      </c>
      <c r="G42" s="64" t="s">
        <v>157</v>
      </c>
      <c r="H42" s="64" t="s">
        <v>158</v>
      </c>
      <c r="I42" s="64" t="s">
        <v>159</v>
      </c>
      <c r="J42" s="64" t="s">
        <v>160</v>
      </c>
      <c r="K42" s="64" t="s">
        <v>134</v>
      </c>
      <c r="L42" s="64" t="s">
        <v>161</v>
      </c>
      <c r="M42" s="64" t="s">
        <v>162</v>
      </c>
    </row>
    <row r="43" spans="1:13" ht="15" customHeight="1" x14ac:dyDescent="0.25">
      <c r="A43" s="77" t="s">
        <v>325</v>
      </c>
      <c r="B43" s="111">
        <v>45689</v>
      </c>
      <c r="C43" s="77"/>
      <c r="D43" s="77" t="s">
        <v>326</v>
      </c>
      <c r="E43" s="77" t="s">
        <v>179</v>
      </c>
      <c r="F43" s="77" t="s">
        <v>280</v>
      </c>
      <c r="G43" s="77" t="s">
        <v>327</v>
      </c>
      <c r="H43" s="77" t="s">
        <v>69</v>
      </c>
      <c r="I43" s="77" t="s">
        <v>328</v>
      </c>
      <c r="J43" s="77"/>
      <c r="K43" s="77" t="s">
        <v>66</v>
      </c>
      <c r="L43" s="77"/>
      <c r="M43" s="102" t="str">
        <f>IFERROR(VLOOKUP(G43,Reference!$I$2:$J$175,2,FALSE()),"Operations")</f>
        <v>Operations</v>
      </c>
    </row>
    <row r="44" spans="1:13" ht="15" customHeight="1" x14ac:dyDescent="0.25">
      <c r="A44" s="80" t="s">
        <v>314</v>
      </c>
      <c r="B44" s="112">
        <v>45691</v>
      </c>
      <c r="C44" s="80"/>
      <c r="D44" s="80" t="s">
        <v>329</v>
      </c>
      <c r="E44" s="80" t="s">
        <v>179</v>
      </c>
      <c r="F44" s="80" t="s">
        <v>191</v>
      </c>
      <c r="G44" s="80" t="s">
        <v>330</v>
      </c>
      <c r="H44" s="80" t="s">
        <v>56</v>
      </c>
      <c r="I44" s="80" t="s">
        <v>331</v>
      </c>
      <c r="J44" s="80"/>
      <c r="K44" s="80" t="s">
        <v>74</v>
      </c>
      <c r="L44" s="80"/>
      <c r="M44" s="105" t="str">
        <f>IFERROR(VLOOKUP(G44,Reference!$I$2:$J$175,2,FALSE()),"Operations")</f>
        <v>Behavioral Health</v>
      </c>
    </row>
    <row r="45" spans="1:13" ht="15" customHeight="1" x14ac:dyDescent="0.25">
      <c r="A45" s="77" t="s">
        <v>332</v>
      </c>
      <c r="B45" s="111">
        <v>45693</v>
      </c>
      <c r="C45" s="77"/>
      <c r="D45" s="77" t="s">
        <v>333</v>
      </c>
      <c r="E45" s="77" t="s">
        <v>179</v>
      </c>
      <c r="F45" s="77" t="s">
        <v>191</v>
      </c>
      <c r="G45" s="77" t="s">
        <v>299</v>
      </c>
      <c r="H45" s="77" t="s">
        <v>58</v>
      </c>
      <c r="I45" s="77" t="s">
        <v>300</v>
      </c>
      <c r="J45" s="77"/>
      <c r="K45" s="77" t="s">
        <v>66</v>
      </c>
      <c r="L45" s="77"/>
      <c r="M45" s="102" t="str">
        <f>IFERROR(VLOOKUP(G45,Reference!$I$2:$J$175,2,FALSE()),"Operations")</f>
        <v>Operations</v>
      </c>
    </row>
    <row r="46" spans="1:13" ht="15" customHeight="1" x14ac:dyDescent="0.25">
      <c r="A46" s="80" t="s">
        <v>334</v>
      </c>
      <c r="B46" s="112">
        <v>45699</v>
      </c>
      <c r="C46" s="80"/>
      <c r="D46" s="80" t="s">
        <v>335</v>
      </c>
      <c r="E46" s="80" t="s">
        <v>179</v>
      </c>
      <c r="F46" s="80" t="s">
        <v>280</v>
      </c>
      <c r="G46" s="80" t="s">
        <v>336</v>
      </c>
      <c r="H46" s="80" t="s">
        <v>75</v>
      </c>
      <c r="I46" s="80" t="s">
        <v>235</v>
      </c>
      <c r="J46" s="80"/>
      <c r="K46" s="80" t="s">
        <v>83</v>
      </c>
      <c r="L46" s="80"/>
      <c r="M46" s="105" t="str">
        <f>IFERROR(VLOOKUP(G46,Reference!$I$2:$J$175,2,FALSE()),"Operations")</f>
        <v>Operations</v>
      </c>
    </row>
    <row r="47" spans="1:13" ht="15" customHeight="1" x14ac:dyDescent="0.25">
      <c r="A47" s="77" t="s">
        <v>337</v>
      </c>
      <c r="B47" s="111">
        <v>45701</v>
      </c>
      <c r="C47" s="77"/>
      <c r="D47" s="77" t="s">
        <v>338</v>
      </c>
      <c r="E47" s="77" t="s">
        <v>184</v>
      </c>
      <c r="F47" s="77" t="s">
        <v>280</v>
      </c>
      <c r="G47" s="77" t="s">
        <v>339</v>
      </c>
      <c r="H47" s="77" t="s">
        <v>70</v>
      </c>
      <c r="I47" s="77" t="s">
        <v>340</v>
      </c>
      <c r="J47" s="77"/>
      <c r="K47" s="77" t="s">
        <v>70</v>
      </c>
      <c r="L47" s="77"/>
      <c r="M47" s="102" t="str">
        <f>IFERROR(VLOOKUP(G47,Reference!$I$2:$J$175,2,FALSE()),"Operations")</f>
        <v>Operations</v>
      </c>
    </row>
    <row r="48" spans="1:13" ht="15" customHeight="1" x14ac:dyDescent="0.25">
      <c r="A48" s="80" t="s">
        <v>341</v>
      </c>
      <c r="B48" s="112">
        <v>45703</v>
      </c>
      <c r="C48" s="80"/>
      <c r="D48" s="80" t="s">
        <v>342</v>
      </c>
      <c r="E48" s="80" t="s">
        <v>184</v>
      </c>
      <c r="F48" s="80" t="s">
        <v>191</v>
      </c>
      <c r="G48" s="80" t="s">
        <v>299</v>
      </c>
      <c r="H48" s="80" t="s">
        <v>56</v>
      </c>
      <c r="I48" s="80" t="s">
        <v>300</v>
      </c>
      <c r="J48" s="80"/>
      <c r="K48" s="80" t="s">
        <v>66</v>
      </c>
      <c r="L48" s="80"/>
      <c r="M48" s="105" t="str">
        <f>IFERROR(VLOOKUP(G48,Reference!$I$2:$J$175,2,FALSE()),"Operations")</f>
        <v>Operations</v>
      </c>
    </row>
    <row r="49" spans="1:13" ht="15" customHeight="1" x14ac:dyDescent="0.25">
      <c r="A49" s="77" t="s">
        <v>343</v>
      </c>
      <c r="B49" s="111">
        <v>45706</v>
      </c>
      <c r="C49" s="77"/>
      <c r="D49" s="77" t="s">
        <v>344</v>
      </c>
      <c r="E49" s="77" t="s">
        <v>184</v>
      </c>
      <c r="F49" s="77" t="s">
        <v>191</v>
      </c>
      <c r="G49" s="77" t="s">
        <v>345</v>
      </c>
      <c r="H49" s="77" t="s">
        <v>56</v>
      </c>
      <c r="I49" s="77" t="s">
        <v>346</v>
      </c>
      <c r="J49" s="77"/>
      <c r="K49" s="77" t="s">
        <v>66</v>
      </c>
      <c r="L49" s="77"/>
      <c r="M49" s="102" t="str">
        <f>IFERROR(VLOOKUP(G49,Reference!$I$2:$J$175,2,FALSE()),"Operations")</f>
        <v>Operations</v>
      </c>
    </row>
    <row r="50" spans="1:13" ht="15" customHeight="1" x14ac:dyDescent="0.25">
      <c r="A50" s="80" t="s">
        <v>347</v>
      </c>
      <c r="B50" s="112">
        <v>45706</v>
      </c>
      <c r="C50" s="80"/>
      <c r="D50" s="80" t="s">
        <v>298</v>
      </c>
      <c r="E50" s="80" t="s">
        <v>179</v>
      </c>
      <c r="F50" s="80" t="s">
        <v>191</v>
      </c>
      <c r="G50" s="80" t="s">
        <v>78</v>
      </c>
      <c r="H50" s="80" t="s">
        <v>58</v>
      </c>
      <c r="I50" s="80" t="s">
        <v>348</v>
      </c>
      <c r="J50" s="80"/>
      <c r="K50" s="80" t="s">
        <v>78</v>
      </c>
      <c r="L50" s="80"/>
      <c r="M50" s="105" t="str">
        <f>IFERROR(VLOOKUP(G50,Reference!$I$2:$J$175,2,FALSE()),"Operations")</f>
        <v>Family Support</v>
      </c>
    </row>
    <row r="51" spans="1:13" ht="15" customHeight="1" x14ac:dyDescent="0.25">
      <c r="A51" s="77" t="s">
        <v>349</v>
      </c>
      <c r="B51" s="111">
        <v>45709</v>
      </c>
      <c r="C51" s="77"/>
      <c r="D51" s="77" t="s">
        <v>350</v>
      </c>
      <c r="E51" s="77" t="s">
        <v>179</v>
      </c>
      <c r="F51" s="77" t="s">
        <v>280</v>
      </c>
      <c r="G51" s="77" t="s">
        <v>351</v>
      </c>
      <c r="H51" s="77" t="s">
        <v>56</v>
      </c>
      <c r="I51" s="77" t="s">
        <v>182</v>
      </c>
      <c r="J51" s="77"/>
      <c r="K51" s="77" t="s">
        <v>66</v>
      </c>
      <c r="L51" s="77"/>
      <c r="M51" s="102" t="str">
        <f>IFERROR(VLOOKUP(G51,Reference!$I$2:$J$175,2,FALSE()),"Operations")</f>
        <v>Operations</v>
      </c>
    </row>
    <row r="52" spans="1:13" ht="15" customHeight="1" x14ac:dyDescent="0.25">
      <c r="A52" s="80" t="s">
        <v>352</v>
      </c>
      <c r="B52" s="112">
        <v>45714</v>
      </c>
      <c r="C52" s="80"/>
      <c r="D52" s="80" t="s">
        <v>353</v>
      </c>
      <c r="E52" s="80" t="s">
        <v>179</v>
      </c>
      <c r="F52" s="80" t="s">
        <v>191</v>
      </c>
      <c r="G52" s="80" t="s">
        <v>310</v>
      </c>
      <c r="H52" s="80" t="s">
        <v>69</v>
      </c>
      <c r="I52" s="80" t="s">
        <v>197</v>
      </c>
      <c r="J52" s="80"/>
      <c r="K52" s="80" t="s">
        <v>66</v>
      </c>
      <c r="L52" s="80"/>
      <c r="M52" s="105" t="str">
        <f>IFERROR(VLOOKUP(G52,Reference!$I$2:$J$175,2,FALSE()),"Operations")</f>
        <v>Operations</v>
      </c>
    </row>
    <row r="53" spans="1:13" ht="15" customHeight="1" x14ac:dyDescent="0.25">
      <c r="A53" s="77" t="s">
        <v>354</v>
      </c>
      <c r="B53" s="111">
        <v>45716</v>
      </c>
      <c r="C53" s="77"/>
      <c r="D53" s="77" t="s">
        <v>318</v>
      </c>
      <c r="E53" s="77" t="s">
        <v>184</v>
      </c>
      <c r="F53" s="77" t="s">
        <v>191</v>
      </c>
      <c r="G53" s="77" t="s">
        <v>355</v>
      </c>
      <c r="H53" s="77" t="s">
        <v>70</v>
      </c>
      <c r="I53" s="77" t="s">
        <v>356</v>
      </c>
      <c r="J53" s="77"/>
      <c r="K53" s="77" t="s">
        <v>66</v>
      </c>
      <c r="L53" s="77"/>
      <c r="M53" s="102" t="str">
        <f>IFERROR(VLOOKUP(G53,Reference!$I$2:$J$175,2,FALSE()),"Operations")</f>
        <v>Operations</v>
      </c>
    </row>
    <row r="54" spans="1:13" ht="15" customHeight="1" x14ac:dyDescent="0.25">
      <c r="A54" s="80" t="s">
        <v>357</v>
      </c>
      <c r="B54" s="112">
        <v>45715</v>
      </c>
      <c r="C54" s="80"/>
      <c r="D54" s="80" t="s">
        <v>358</v>
      </c>
      <c r="E54" s="80" t="s">
        <v>179</v>
      </c>
      <c r="F54" s="80" t="s">
        <v>191</v>
      </c>
      <c r="G54" s="80" t="s">
        <v>307</v>
      </c>
      <c r="H54" s="80" t="s">
        <v>56</v>
      </c>
      <c r="I54" s="80" t="s">
        <v>308</v>
      </c>
      <c r="J54" s="80"/>
      <c r="K54" s="80" t="s">
        <v>66</v>
      </c>
      <c r="L54" s="80"/>
      <c r="M54" s="105" t="str">
        <f>IFERROR(VLOOKUP(G54,Reference!$I$2:$J$175,2,FALSE()),"Operations")</f>
        <v>Operations</v>
      </c>
    </row>
    <row r="55" spans="1:13" ht="15" customHeight="1" x14ac:dyDescent="0.25">
      <c r="A55" s="77" t="s">
        <v>359</v>
      </c>
      <c r="B55" s="111">
        <v>45716</v>
      </c>
      <c r="C55" s="77"/>
      <c r="D55" s="77" t="s">
        <v>344</v>
      </c>
      <c r="E55" s="77" t="s">
        <v>179</v>
      </c>
      <c r="F55" s="77" t="s">
        <v>280</v>
      </c>
      <c r="G55" s="77" t="s">
        <v>360</v>
      </c>
      <c r="H55" s="77" t="s">
        <v>64</v>
      </c>
      <c r="I55" s="77" t="s">
        <v>205</v>
      </c>
      <c r="J55" s="77"/>
      <c r="K55" s="77" t="s">
        <v>66</v>
      </c>
      <c r="L55" s="77"/>
      <c r="M55" s="102" t="str">
        <f>IFERROR(VLOOKUP(G55,Reference!$I$2:$J$175,2,FALSE()),"Operations")</f>
        <v>Operations</v>
      </c>
    </row>
    <row r="56" spans="1:13" ht="15" customHeight="1" x14ac:dyDescent="0.25">
      <c r="A56" s="103"/>
      <c r="B56" s="104"/>
      <c r="C56" s="104"/>
      <c r="D56" s="103">
        <f>IF(OR(B56="",C56=""),"",IF(DATEDIF(C56,B56,"y")&gt;=1,DATEDIF(C56,B56,"y")&amp;IF(DATEDIF(C56,B56,"y")=1," year "," years ")&amp;DATEDIF(C56,B56,"ym")&amp;IF(DATEDIF(C56,B56,"ym")=1," month"," months"),IF(DATEDIF(C56,B56,"m")&gt;=1,DATEDIF(C56,B56,"m")&amp;IF(DATEDIF(C56,B56,"m")=1," month"," months"),DATEDIF(C56,B56,"d")&amp;IF(DATEDIF(C56,B56,"d")=1," day"," days"))))</f>
      </c>
      <c r="E56" s="103"/>
      <c r="F56" s="103"/>
      <c r="G56" s="103"/>
      <c r="H56" s="103"/>
      <c r="I56" s="103"/>
      <c r="J56" s="104"/>
      <c r="K56" s="103"/>
      <c r="L56" s="103"/>
      <c r="M56" s="105" t="str">
        <f>IFERROR(VLOOKUP(G56,Reference!$I$2:$J$175,2,FALSE()),"Operations")</f>
        <v>Operations</v>
      </c>
    </row>
    <row r="57" spans="1:13" ht="15" customHeight="1" x14ac:dyDescent="0.25">
      <c r="A57" s="100"/>
      <c r="B57" s="101"/>
      <c r="C57" s="101"/>
      <c r="D57" s="100">
        <f>IF(OR(B57="",C57=""),"",IF(DATEDIF(C57,B57,"y")&gt;=1,DATEDIF(C57,B57,"y")&amp;IF(DATEDIF(C57,B57,"y")=1," year "," years ")&amp;DATEDIF(C57,B57,"ym")&amp;IF(DATEDIF(C57,B57,"ym")=1," month"," months"),IF(DATEDIF(C57,B57,"m")&gt;=1,DATEDIF(C57,B57,"m")&amp;IF(DATEDIF(C57,B57,"m")=1," month"," months"),DATEDIF(C57,B57,"d")&amp;IF(DATEDIF(C57,B57,"d")=1," day"," days"))))</f>
      </c>
      <c r="E57" s="100"/>
      <c r="F57" s="100"/>
      <c r="G57" s="100"/>
      <c r="H57" s="100"/>
      <c r="I57" s="100"/>
      <c r="J57" s="101"/>
      <c r="K57" s="100"/>
      <c r="L57" s="100"/>
      <c r="M57" s="102" t="str">
        <f>IFERROR(VLOOKUP(G57,Reference!$I$2:$J$175,2,FALSE()),"Operations")</f>
        <v>Operations</v>
      </c>
    </row>
    <row r="58" spans="1:13" ht="15" customHeight="1" x14ac:dyDescent="0.25">
      <c r="A58" s="103"/>
      <c r="B58" s="104"/>
      <c r="C58" s="104"/>
      <c r="D58" s="103">
        <f>IF(OR(B58="",C58=""),"",IF(DATEDIF(C58,B58,"y")&gt;=1,DATEDIF(C58,B58,"y")&amp;IF(DATEDIF(C58,B58,"y")=1," year "," years ")&amp;DATEDIF(C58,B58,"ym")&amp;IF(DATEDIF(C58,B58,"ym")=1," month"," months"),IF(DATEDIF(C58,B58,"m")&gt;=1,DATEDIF(C58,B58,"m")&amp;IF(DATEDIF(C58,B58,"m")=1," month"," months"),DATEDIF(C58,B58,"d")&amp;IF(DATEDIF(C58,B58,"d")=1," day"," days"))))</f>
      </c>
      <c r="E58" s="103"/>
      <c r="F58" s="103"/>
      <c r="G58" s="103"/>
      <c r="H58" s="103"/>
      <c r="I58" s="103"/>
      <c r="J58" s="104"/>
      <c r="K58" s="103"/>
      <c r="L58" s="103"/>
      <c r="M58" s="105" t="str">
        <f>IFERROR(VLOOKUP(G58,Reference!$I$2:$J$175,2,FALSE()),"Operations")</f>
        <v>Operations</v>
      </c>
    </row>
    <row r="59" spans="1:13" ht="15" customHeight="1" x14ac:dyDescent="0.25">
      <c r="A59" s="100"/>
      <c r="B59" s="101"/>
      <c r="C59" s="101"/>
      <c r="D59" s="100">
        <f>IF(OR(B59="",C59=""),"",IF(DATEDIF(C59,B59,"y")&gt;=1,DATEDIF(C59,B59,"y")&amp;IF(DATEDIF(C59,B59,"y")=1," year "," years ")&amp;DATEDIF(C59,B59,"ym")&amp;IF(DATEDIF(C59,B59,"ym")=1," month"," months"),IF(DATEDIF(C59,B59,"m")&gt;=1,DATEDIF(C59,B59,"m")&amp;IF(DATEDIF(C59,B59,"m")=1," month"," months"),DATEDIF(C59,B59,"d")&amp;IF(DATEDIF(C59,B59,"d")=1," day"," days"))))</f>
      </c>
      <c r="E59" s="100"/>
      <c r="F59" s="100"/>
      <c r="G59" s="100"/>
      <c r="H59" s="100"/>
      <c r="I59" s="100"/>
      <c r="J59" s="101"/>
      <c r="K59" s="100"/>
      <c r="L59" s="100"/>
      <c r="M59" s="102" t="str">
        <f>IFERROR(VLOOKUP(G59,Reference!$I$2:$J$175,2,FALSE()),"Operations")</f>
        <v>Operations</v>
      </c>
    </row>
    <row r="60" spans="1:13" ht="15" customHeight="1" x14ac:dyDescent="0.25">
      <c r="A60" s="103"/>
      <c r="B60" s="104"/>
      <c r="C60" s="104"/>
      <c r="D60" s="103">
        <f>IF(OR(B60="",C60=""),"",IF(DATEDIF(C60,B60,"y")&gt;=1,DATEDIF(C60,B60,"y")&amp;IF(DATEDIF(C60,B60,"y")=1," year "," years ")&amp;DATEDIF(C60,B60,"ym")&amp;IF(DATEDIF(C60,B60,"ym")=1," month"," months"),IF(DATEDIF(C60,B60,"m")&gt;=1,DATEDIF(C60,B60,"m")&amp;IF(DATEDIF(C60,B60,"m")=1," month"," months"),DATEDIF(C60,B60,"d")&amp;IF(DATEDIF(C60,B60,"d")=1," day"," days"))))</f>
      </c>
      <c r="E60" s="103"/>
      <c r="F60" s="103"/>
      <c r="G60" s="103"/>
      <c r="H60" s="103"/>
      <c r="I60" s="103"/>
      <c r="J60" s="104"/>
      <c r="K60" s="103"/>
      <c r="L60" s="103"/>
      <c r="M60" s="105" t="str">
        <f>IFERROR(VLOOKUP(G60,Reference!$I$2:$J$175,2,FALSE()),"Operations")</f>
        <v>Operations</v>
      </c>
    </row>
    <row r="61" spans="1:13" ht="15" customHeight="1" x14ac:dyDescent="0.25">
      <c r="A61" s="100"/>
      <c r="B61" s="101"/>
      <c r="C61" s="101"/>
      <c r="D61" s="100">
        <f>IF(OR(B61="",C61=""),"",IF(DATEDIF(C61,B61,"y")&gt;=1,DATEDIF(C61,B61,"y")&amp;IF(DATEDIF(C61,B61,"y")=1," year "," years ")&amp;DATEDIF(C61,B61,"ym")&amp;IF(DATEDIF(C61,B61,"ym")=1," month"," months"),IF(DATEDIF(C61,B61,"m")&gt;=1,DATEDIF(C61,B61,"m")&amp;IF(DATEDIF(C61,B61,"m")=1," month"," months"),DATEDIF(C61,B61,"d")&amp;IF(DATEDIF(C61,B61,"d")=1," day"," days"))))</f>
      </c>
      <c r="E61" s="100"/>
      <c r="F61" s="100"/>
      <c r="G61" s="100"/>
      <c r="H61" s="100"/>
      <c r="I61" s="100"/>
      <c r="J61" s="101"/>
      <c r="K61" s="100"/>
      <c r="L61" s="100"/>
      <c r="M61" s="102" t="str">
        <f>IFERROR(VLOOKUP(G61,Reference!$I$2:$J$175,2,FALSE()),"Operations")</f>
        <v>Operations</v>
      </c>
    </row>
    <row r="62" spans="1:13" ht="15" customHeight="1" x14ac:dyDescent="0.25">
      <c r="A62" s="103"/>
      <c r="B62" s="104"/>
      <c r="C62" s="104"/>
      <c r="D62" s="103">
        <f>IF(OR(B62="",C62=""),"",IF(DATEDIF(C62,B62,"y")&gt;=1,DATEDIF(C62,B62,"y")&amp;IF(DATEDIF(C62,B62,"y")=1," year "," years ")&amp;DATEDIF(C62,B62,"ym")&amp;IF(DATEDIF(C62,B62,"ym")=1," month"," months"),IF(DATEDIF(C62,B62,"m")&gt;=1,DATEDIF(C62,B62,"m")&amp;IF(DATEDIF(C62,B62,"m")=1," month"," months"),DATEDIF(C62,B62,"d")&amp;IF(DATEDIF(C62,B62,"d")=1," day"," days"))))</f>
      </c>
      <c r="E62" s="103"/>
      <c r="F62" s="103"/>
      <c r="G62" s="103"/>
      <c r="H62" s="103"/>
      <c r="I62" s="103"/>
      <c r="J62" s="104"/>
      <c r="K62" s="103"/>
      <c r="L62" s="103"/>
      <c r="M62" s="105" t="str">
        <f>IFERROR(VLOOKUP(G62,Reference!$I$2:$J$175,2,FALSE()),"Operations")</f>
        <v>Operations</v>
      </c>
    </row>
    <row r="63" spans="1:13" ht="15" customHeight="1" x14ac:dyDescent="0.25">
      <c r="A63" s="100"/>
      <c r="B63" s="101"/>
      <c r="C63" s="101"/>
      <c r="D63" s="100">
        <f>IF(OR(B63="",C63=""),"",IF(DATEDIF(C63,B63,"y")&gt;=1,DATEDIF(C63,B63,"y")&amp;IF(DATEDIF(C63,B63,"y")=1," year "," years ")&amp;DATEDIF(C63,B63,"ym")&amp;IF(DATEDIF(C63,B63,"ym")=1," month"," months"),IF(DATEDIF(C63,B63,"m")&gt;=1,DATEDIF(C63,B63,"m")&amp;IF(DATEDIF(C63,B63,"m")=1," month"," months"),DATEDIF(C63,B63,"d")&amp;IF(DATEDIF(C63,B63,"d")=1," day"," days"))))</f>
      </c>
      <c r="E63" s="100"/>
      <c r="F63" s="100"/>
      <c r="G63" s="100"/>
      <c r="H63" s="100"/>
      <c r="I63" s="100"/>
      <c r="J63" s="101"/>
      <c r="K63" s="100"/>
      <c r="L63" s="100"/>
      <c r="M63" s="102" t="str">
        <f>IFERROR(VLOOKUP(G63,Reference!$I$2:$J$175,2,FALSE()),"Operations")</f>
        <v>Operations</v>
      </c>
    </row>
    <row r="64" spans="1:13" ht="15" customHeight="1" x14ac:dyDescent="0.25">
      <c r="A64" s="103"/>
      <c r="B64" s="104"/>
      <c r="C64" s="104"/>
      <c r="D64" s="103">
        <f>IF(OR(B64="",C64=""),"",IF(DATEDIF(C64,B64,"y")&gt;=1,DATEDIF(C64,B64,"y")&amp;IF(DATEDIF(C64,B64,"y")=1," year "," years ")&amp;DATEDIF(C64,B64,"ym")&amp;IF(DATEDIF(C64,B64,"ym")=1," month"," months"),IF(DATEDIF(C64,B64,"m")&gt;=1,DATEDIF(C64,B64,"m")&amp;IF(DATEDIF(C64,B64,"m")=1," month"," months"),DATEDIF(C64,B64,"d")&amp;IF(DATEDIF(C64,B64,"d")=1," day"," days"))))</f>
      </c>
      <c r="E64" s="103"/>
      <c r="F64" s="103"/>
      <c r="G64" s="103"/>
      <c r="H64" s="103"/>
      <c r="I64" s="103"/>
      <c r="J64" s="104"/>
      <c r="K64" s="103"/>
      <c r="L64" s="103"/>
      <c r="M64" s="105" t="str">
        <f>IFERROR(VLOOKUP(G64,Reference!$I$2:$J$175,2,FALSE()),"Operations")</f>
        <v>Operations</v>
      </c>
    </row>
    <row r="65" spans="1:13" ht="15" customHeight="1" x14ac:dyDescent="0.25">
      <c r="A65" s="100"/>
      <c r="B65" s="101"/>
      <c r="C65" s="101"/>
      <c r="D65" s="100">
        <f>IF(OR(B65="",C65=""),"",IF(DATEDIF(C65,B65,"y")&gt;=1,DATEDIF(C65,B65,"y")&amp;IF(DATEDIF(C65,B65,"y")=1," year "," years ")&amp;DATEDIF(C65,B65,"ym")&amp;IF(DATEDIF(C65,B65,"ym")=1," month"," months"),IF(DATEDIF(C65,B65,"m")&gt;=1,DATEDIF(C65,B65,"m")&amp;IF(DATEDIF(C65,B65,"m")=1," month"," months"),DATEDIF(C65,B65,"d")&amp;IF(DATEDIF(C65,B65,"d")=1," day"," days"))))</f>
      </c>
      <c r="E65" s="100"/>
      <c r="F65" s="100"/>
      <c r="G65" s="100"/>
      <c r="H65" s="100"/>
      <c r="I65" s="100"/>
      <c r="J65" s="101"/>
      <c r="K65" s="100"/>
      <c r="L65" s="100"/>
      <c r="M65" s="102" t="str">
        <f>IFERROR(VLOOKUP(G65,Reference!$I$2:$J$175,2,FALSE()),"Operations")</f>
        <v>Operations</v>
      </c>
    </row>
    <row r="66" spans="1:13" ht="15" customHeight="1" x14ac:dyDescent="0.25">
      <c r="A66" s="103"/>
      <c r="B66" s="104"/>
      <c r="C66" s="104"/>
      <c r="D66" s="103">
        <f>IF(OR(B66="",C66=""),"",IF(DATEDIF(C66,B66,"y")&gt;=1,DATEDIF(C66,B66,"y")&amp;IF(DATEDIF(C66,B66,"y")=1," year "," years ")&amp;DATEDIF(C66,B66,"ym")&amp;IF(DATEDIF(C66,B66,"ym")=1," month"," months"),IF(DATEDIF(C66,B66,"m")&gt;=1,DATEDIF(C66,B66,"m")&amp;IF(DATEDIF(C66,B66,"m")=1," month"," months"),DATEDIF(C66,B66,"d")&amp;IF(DATEDIF(C66,B66,"d")=1," day"," days"))))</f>
      </c>
      <c r="E66" s="103"/>
      <c r="F66" s="103"/>
      <c r="G66" s="103"/>
      <c r="H66" s="103"/>
      <c r="I66" s="103"/>
      <c r="J66" s="104"/>
      <c r="K66" s="103"/>
      <c r="L66" s="103"/>
      <c r="M66" s="105" t="str">
        <f>IFERROR(VLOOKUP(G66,Reference!$I$2:$J$175,2,FALSE()),"Operations")</f>
        <v>Operations</v>
      </c>
    </row>
    <row r="67" spans="1:13" ht="15" customHeight="1" x14ac:dyDescent="0.25">
      <c r="A67" s="100"/>
      <c r="B67" s="101"/>
      <c r="C67" s="101"/>
      <c r="D67" s="100">
        <f>IF(OR(B67="",C67=""),"",IF(DATEDIF(C67,B67,"y")&gt;=1,DATEDIF(C67,B67,"y")&amp;IF(DATEDIF(C67,B67,"y")=1," year "," years ")&amp;DATEDIF(C67,B67,"ym")&amp;IF(DATEDIF(C67,B67,"ym")=1," month"," months"),IF(DATEDIF(C67,B67,"m")&gt;=1,DATEDIF(C67,B67,"m")&amp;IF(DATEDIF(C67,B67,"m")=1," month"," months"),DATEDIF(C67,B67,"d")&amp;IF(DATEDIF(C67,B67,"d")=1," day"," days"))))</f>
      </c>
      <c r="E67" s="100"/>
      <c r="F67" s="100"/>
      <c r="G67" s="100"/>
      <c r="H67" s="100"/>
      <c r="I67" s="100"/>
      <c r="J67" s="101"/>
      <c r="K67" s="100"/>
      <c r="L67" s="100"/>
      <c r="M67" s="102" t="str">
        <f>IFERROR(VLOOKUP(G67,Reference!$I$2:$J$175,2,FALSE()),"Operations")</f>
        <v>Operations</v>
      </c>
    </row>
    <row r="68" spans="1:13" ht="15" customHeight="1" x14ac:dyDescent="0.25">
      <c r="A68" s="103"/>
      <c r="B68" s="104"/>
      <c r="C68" s="104"/>
      <c r="D68" s="103">
        <f>IF(OR(B68="",C68=""),"",IF(DATEDIF(C68,B68,"y")&gt;=1,DATEDIF(C68,B68,"y")&amp;IF(DATEDIF(C68,B68,"y")=1," year "," years ")&amp;DATEDIF(C68,B68,"ym")&amp;IF(DATEDIF(C68,B68,"ym")=1," month"," months"),IF(DATEDIF(C68,B68,"m")&gt;=1,DATEDIF(C68,B68,"m")&amp;IF(DATEDIF(C68,B68,"m")=1," month"," months"),DATEDIF(C68,B68,"d")&amp;IF(DATEDIF(C68,B68,"d")=1," day"," days"))))</f>
      </c>
      <c r="E68" s="103"/>
      <c r="F68" s="103"/>
      <c r="G68" s="103"/>
      <c r="H68" s="103"/>
      <c r="I68" s="103"/>
      <c r="J68" s="104"/>
      <c r="K68" s="103"/>
      <c r="L68" s="103"/>
      <c r="M68" s="105" t="str">
        <f>IFERROR(VLOOKUP(G68,Reference!$I$2:$J$175,2,FALSE()),"Operations")</f>
        <v>Operations</v>
      </c>
    </row>
    <row r="69" spans="1:13" ht="15" customHeight="1" x14ac:dyDescent="0.25">
      <c r="A69" s="100"/>
      <c r="B69" s="101"/>
      <c r="C69" s="101"/>
      <c r="D69" s="100">
        <f>IF(OR(B69="",C69=""),"",IF(DATEDIF(C69,B69,"y")&gt;=1,DATEDIF(C69,B69,"y")&amp;IF(DATEDIF(C69,B69,"y")=1," year "," years ")&amp;DATEDIF(C69,B69,"ym")&amp;IF(DATEDIF(C69,B69,"ym")=1," month"," months"),IF(DATEDIF(C69,B69,"m")&gt;=1,DATEDIF(C69,B69,"m")&amp;IF(DATEDIF(C69,B69,"m")=1," month"," months"),DATEDIF(C69,B69,"d")&amp;IF(DATEDIF(C69,B69,"d")=1," day"," days"))))</f>
      </c>
      <c r="E69" s="100"/>
      <c r="F69" s="100"/>
      <c r="G69" s="100"/>
      <c r="H69" s="100"/>
      <c r="I69" s="100"/>
      <c r="J69" s="101"/>
      <c r="K69" s="100"/>
      <c r="L69" s="100"/>
      <c r="M69" s="102" t="str">
        <f>IFERROR(VLOOKUP(G69,Reference!$I$2:$J$175,2,FALSE()),"Operations")</f>
        <v>Operations</v>
      </c>
    </row>
    <row r="70" spans="1:13" ht="15" customHeight="1" x14ac:dyDescent="0.25">
      <c r="A70" s="103"/>
      <c r="B70" s="104"/>
      <c r="C70" s="104"/>
      <c r="D70" s="103">
        <f>IF(OR(B70="",C70=""),"",IF(DATEDIF(C70,B70,"y")&gt;=1,DATEDIF(C70,B70,"y")&amp;IF(DATEDIF(C70,B70,"y")=1," year "," years ")&amp;DATEDIF(C70,B70,"ym")&amp;IF(DATEDIF(C70,B70,"ym")=1," month"," months"),IF(DATEDIF(C70,B70,"m")&gt;=1,DATEDIF(C70,B70,"m")&amp;IF(DATEDIF(C70,B70,"m")=1," month"," months"),DATEDIF(C70,B70,"d")&amp;IF(DATEDIF(C70,B70,"d")=1," day"," days"))))</f>
      </c>
      <c r="E70" s="103"/>
      <c r="F70" s="103"/>
      <c r="G70" s="103"/>
      <c r="H70" s="103"/>
      <c r="I70" s="103"/>
      <c r="J70" s="104"/>
      <c r="K70" s="103"/>
      <c r="L70" s="103"/>
      <c r="M70" s="105" t="str">
        <f>IFERROR(VLOOKUP(G70,Reference!$I$2:$J$175,2,FALSE()),"Operations")</f>
        <v>Operations</v>
      </c>
    </row>
    <row r="71" spans="1:13" ht="15" customHeight="1" x14ac:dyDescent="0.25">
      <c r="A71" s="100"/>
      <c r="B71" s="101"/>
      <c r="C71" s="101"/>
      <c r="D71" s="100">
        <f>IF(OR(B71="",C71=""),"",IF(DATEDIF(C71,B71,"y")&gt;=1,DATEDIF(C71,B71,"y")&amp;IF(DATEDIF(C71,B71,"y")=1," year "," years ")&amp;DATEDIF(C71,B71,"ym")&amp;IF(DATEDIF(C71,B71,"ym")=1," month"," months"),IF(DATEDIF(C71,B71,"m")&gt;=1,DATEDIF(C71,B71,"m")&amp;IF(DATEDIF(C71,B71,"m")=1," month"," months"),DATEDIF(C71,B71,"d")&amp;IF(DATEDIF(C71,B71,"d")=1," day"," days"))))</f>
      </c>
      <c r="E71" s="100"/>
      <c r="F71" s="100"/>
      <c r="G71" s="100"/>
      <c r="H71" s="100"/>
      <c r="I71" s="100"/>
      <c r="J71" s="101"/>
      <c r="K71" s="100"/>
      <c r="L71" s="100"/>
      <c r="M71" s="102" t="str">
        <f>IFERROR(VLOOKUP(G71,Reference!$I$2:$J$175,2,FALSE()),"Operations")</f>
        <v>Operations</v>
      </c>
    </row>
    <row r="72" spans="1:13" ht="15" customHeight="1" x14ac:dyDescent="0.25">
      <c r="A72" s="103"/>
      <c r="B72" s="104"/>
      <c r="C72" s="104"/>
      <c r="D72" s="103">
        <f>IF(OR(B72="",C72=""),"",IF(DATEDIF(C72,B72,"y")&gt;=1,DATEDIF(C72,B72,"y")&amp;IF(DATEDIF(C72,B72,"y")=1," year "," years ")&amp;DATEDIF(C72,B72,"ym")&amp;IF(DATEDIF(C72,B72,"ym")=1," month"," months"),IF(DATEDIF(C72,B72,"m")&gt;=1,DATEDIF(C72,B72,"m")&amp;IF(DATEDIF(C72,B72,"m")=1," month"," months"),DATEDIF(C72,B72,"d")&amp;IF(DATEDIF(C72,B72,"d")=1," day"," days"))))</f>
      </c>
      <c r="E72" s="103"/>
      <c r="F72" s="103"/>
      <c r="G72" s="103"/>
      <c r="H72" s="103"/>
      <c r="I72" s="103"/>
      <c r="J72" s="104"/>
      <c r="K72" s="103"/>
      <c r="L72" s="103"/>
      <c r="M72" s="105" t="str">
        <f>IFERROR(VLOOKUP(G72,Reference!$I$2:$J$175,2,FALSE()),"Operations")</f>
        <v>Operations</v>
      </c>
    </row>
    <row r="73" spans="1:13" ht="15" customHeight="1" x14ac:dyDescent="0.25">
      <c r="A73" s="106" t="s">
        <v>163</v>
      </c>
      <c r="B73" s="107">
        <f>COUNTA(A43:A72)</f>
        <v>13</v>
      </c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</row>
    <row r="74" spans="1:13" ht="6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1:13" ht="21.75" customHeight="1" x14ac:dyDescent="0.25">
      <c r="A75" s="163" t="s">
        <v>361</v>
      </c>
      <c r="B75" s="163"/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</row>
    <row r="76" spans="1:13" ht="19.5" customHeight="1" x14ac:dyDescent="0.25">
      <c r="A76" s="64" t="s">
        <v>151</v>
      </c>
      <c r="B76" s="64" t="s">
        <v>152</v>
      </c>
      <c r="C76" s="64" t="s">
        <v>153</v>
      </c>
      <c r="D76" s="64" t="s">
        <v>154</v>
      </c>
      <c r="E76" s="64" t="s">
        <v>155</v>
      </c>
      <c r="F76" s="64" t="s">
        <v>156</v>
      </c>
      <c r="G76" s="64" t="s">
        <v>157</v>
      </c>
      <c r="H76" s="64" t="s">
        <v>158</v>
      </c>
      <c r="I76" s="64" t="s">
        <v>159</v>
      </c>
      <c r="J76" s="64" t="s">
        <v>160</v>
      </c>
      <c r="K76" s="64" t="s">
        <v>134</v>
      </c>
      <c r="L76" s="64" t="s">
        <v>161</v>
      </c>
      <c r="M76" s="64" t="s">
        <v>162</v>
      </c>
    </row>
    <row r="77" spans="1:13" ht="15" customHeight="1" x14ac:dyDescent="0.25">
      <c r="A77" s="77" t="s">
        <v>362</v>
      </c>
      <c r="B77" s="111">
        <v>45727</v>
      </c>
      <c r="C77" s="77"/>
      <c r="D77" s="77" t="s">
        <v>363</v>
      </c>
      <c r="E77" s="77" t="s">
        <v>179</v>
      </c>
      <c r="F77" s="77" t="s">
        <v>191</v>
      </c>
      <c r="G77" s="77" t="s">
        <v>310</v>
      </c>
      <c r="H77" s="77" t="s">
        <v>58</v>
      </c>
      <c r="I77" s="77" t="s">
        <v>364</v>
      </c>
      <c r="J77" s="77"/>
      <c r="K77" s="77" t="s">
        <v>66</v>
      </c>
      <c r="L77" s="77"/>
      <c r="M77" s="102" t="str">
        <f>IFERROR(VLOOKUP(G77,Reference!$I$2:$J$175,2,FALSE()),"Operations")</f>
        <v>Operations</v>
      </c>
    </row>
    <row r="78" spans="1:13" ht="15" customHeight="1" x14ac:dyDescent="0.25">
      <c r="A78" s="80" t="s">
        <v>365</v>
      </c>
      <c r="B78" s="112">
        <v>45730</v>
      </c>
      <c r="C78" s="80"/>
      <c r="D78" s="80" t="s">
        <v>288</v>
      </c>
      <c r="E78" s="80" t="s">
        <v>179</v>
      </c>
      <c r="F78" s="80" t="s">
        <v>191</v>
      </c>
      <c r="G78" s="80" t="s">
        <v>310</v>
      </c>
      <c r="H78" s="80" t="s">
        <v>69</v>
      </c>
      <c r="I78" s="80" t="s">
        <v>197</v>
      </c>
      <c r="J78" s="80"/>
      <c r="K78" s="80" t="s">
        <v>66</v>
      </c>
      <c r="L78" s="80"/>
      <c r="M78" s="105" t="str">
        <f>IFERROR(VLOOKUP(G78,Reference!$I$2:$J$175,2,FALSE()),"Operations")</f>
        <v>Operations</v>
      </c>
    </row>
    <row r="79" spans="1:13" ht="15" customHeight="1" x14ac:dyDescent="0.25">
      <c r="A79" s="77" t="s">
        <v>366</v>
      </c>
      <c r="B79" s="111">
        <v>45731</v>
      </c>
      <c r="C79" s="77"/>
      <c r="D79" s="77" t="s">
        <v>367</v>
      </c>
      <c r="E79" s="77" t="s">
        <v>184</v>
      </c>
      <c r="F79" s="77" t="s">
        <v>191</v>
      </c>
      <c r="G79" s="77" t="s">
        <v>223</v>
      </c>
      <c r="H79" s="77" t="s">
        <v>56</v>
      </c>
      <c r="I79" s="77" t="s">
        <v>368</v>
      </c>
      <c r="J79" s="77"/>
      <c r="K79" s="77" t="s">
        <v>66</v>
      </c>
      <c r="L79" s="77"/>
      <c r="M79" s="102" t="str">
        <f>IFERROR(VLOOKUP(G79,Reference!$I$2:$J$175,2,FALSE()),"Operations")</f>
        <v>Operations</v>
      </c>
    </row>
    <row r="80" spans="1:13" ht="15" customHeight="1" x14ac:dyDescent="0.25">
      <c r="A80" s="80" t="s">
        <v>369</v>
      </c>
      <c r="B80" s="112">
        <v>45734</v>
      </c>
      <c r="C80" s="80"/>
      <c r="D80" s="80" t="s">
        <v>370</v>
      </c>
      <c r="E80" s="80" t="s">
        <v>179</v>
      </c>
      <c r="F80" s="80" t="s">
        <v>191</v>
      </c>
      <c r="G80" s="80" t="s">
        <v>371</v>
      </c>
      <c r="H80" s="80" t="s">
        <v>69</v>
      </c>
      <c r="I80" s="80" t="s">
        <v>205</v>
      </c>
      <c r="J80" s="80"/>
      <c r="K80" s="80" t="s">
        <v>66</v>
      </c>
      <c r="L80" s="80"/>
      <c r="M80" s="105" t="str">
        <f>IFERROR(VLOOKUP(G80,Reference!$I$2:$J$175,2,FALSE()),"Operations")</f>
        <v>Operations</v>
      </c>
    </row>
    <row r="81" spans="1:13" ht="15" customHeight="1" x14ac:dyDescent="0.25">
      <c r="A81" s="77" t="s">
        <v>372</v>
      </c>
      <c r="B81" s="111">
        <v>45734</v>
      </c>
      <c r="C81" s="77"/>
      <c r="D81" s="77" t="s">
        <v>373</v>
      </c>
      <c r="E81" s="77" t="s">
        <v>179</v>
      </c>
      <c r="F81" s="77" t="s">
        <v>280</v>
      </c>
      <c r="G81" s="77" t="s">
        <v>285</v>
      </c>
      <c r="H81" s="77" t="s">
        <v>58</v>
      </c>
      <c r="I81" s="77" t="s">
        <v>286</v>
      </c>
      <c r="J81" s="77"/>
      <c r="K81" s="77" t="s">
        <v>83</v>
      </c>
      <c r="L81" s="77"/>
      <c r="M81" s="102" t="str">
        <f>IFERROR(VLOOKUP(G81,Reference!$I$2:$J$175,2,FALSE()),"Operations")</f>
        <v>Children Services</v>
      </c>
    </row>
    <row r="82" spans="1:13" ht="15" customHeight="1" x14ac:dyDescent="0.25">
      <c r="A82" s="80" t="s">
        <v>374</v>
      </c>
      <c r="B82" s="112">
        <v>45734</v>
      </c>
      <c r="C82" s="80"/>
      <c r="D82" s="80" t="s">
        <v>375</v>
      </c>
      <c r="E82" s="80" t="s">
        <v>179</v>
      </c>
      <c r="F82" s="80" t="s">
        <v>280</v>
      </c>
      <c r="G82" s="80" t="s">
        <v>376</v>
      </c>
      <c r="H82" s="80" t="s">
        <v>58</v>
      </c>
      <c r="I82" s="80" t="s">
        <v>377</v>
      </c>
      <c r="J82" s="80"/>
      <c r="K82" s="80" t="s">
        <v>66</v>
      </c>
      <c r="L82" s="80"/>
      <c r="M82" s="105" t="str">
        <f>IFERROR(VLOOKUP(G82,Reference!$I$2:$J$175,2,FALSE()),"Operations")</f>
        <v>Operations</v>
      </c>
    </row>
    <row r="83" spans="1:13" ht="15" customHeight="1" x14ac:dyDescent="0.25">
      <c r="A83" s="77" t="s">
        <v>378</v>
      </c>
      <c r="B83" s="111">
        <v>45734</v>
      </c>
      <c r="C83" s="77"/>
      <c r="D83" s="77" t="s">
        <v>379</v>
      </c>
      <c r="E83" s="77" t="s">
        <v>179</v>
      </c>
      <c r="F83" s="77" t="s">
        <v>191</v>
      </c>
      <c r="G83" s="77" t="s">
        <v>380</v>
      </c>
      <c r="H83" s="77" t="s">
        <v>69</v>
      </c>
      <c r="I83" s="77" t="s">
        <v>187</v>
      </c>
      <c r="J83" s="77"/>
      <c r="K83" s="77" t="s">
        <v>66</v>
      </c>
      <c r="L83" s="77"/>
      <c r="M83" s="102" t="str">
        <f>IFERROR(VLOOKUP(G83,Reference!$I$2:$J$175,2,FALSE()),"Operations")</f>
        <v>Operations</v>
      </c>
    </row>
    <row r="84" spans="1:13" ht="15" customHeight="1" x14ac:dyDescent="0.25">
      <c r="A84" s="80" t="s">
        <v>381</v>
      </c>
      <c r="B84" s="112">
        <v>45736</v>
      </c>
      <c r="C84" s="80"/>
      <c r="D84" s="80" t="s">
        <v>382</v>
      </c>
      <c r="E84" s="80" t="s">
        <v>184</v>
      </c>
      <c r="F84" s="80" t="s">
        <v>191</v>
      </c>
      <c r="G84" s="80" t="s">
        <v>223</v>
      </c>
      <c r="H84" s="80" t="s">
        <v>56</v>
      </c>
      <c r="I84" s="80" t="s">
        <v>368</v>
      </c>
      <c r="J84" s="80"/>
      <c r="K84" s="80" t="s">
        <v>66</v>
      </c>
      <c r="L84" s="80"/>
      <c r="M84" s="105" t="str">
        <f>IFERROR(VLOOKUP(G84,Reference!$I$2:$J$175,2,FALSE()),"Operations")</f>
        <v>Operations</v>
      </c>
    </row>
    <row r="85" spans="1:13" ht="15" customHeight="1" x14ac:dyDescent="0.25">
      <c r="A85" s="77" t="s">
        <v>383</v>
      </c>
      <c r="B85" s="111">
        <v>45737</v>
      </c>
      <c r="C85" s="77"/>
      <c r="D85" s="77" t="s">
        <v>384</v>
      </c>
      <c r="E85" s="77" t="s">
        <v>184</v>
      </c>
      <c r="F85" s="77" t="s">
        <v>191</v>
      </c>
      <c r="G85" s="77" t="s">
        <v>87</v>
      </c>
      <c r="H85" s="77" t="s">
        <v>58</v>
      </c>
      <c r="I85" s="77" t="s">
        <v>228</v>
      </c>
      <c r="J85" s="77"/>
      <c r="K85" s="77" t="s">
        <v>87</v>
      </c>
      <c r="L85" s="77"/>
      <c r="M85" s="102" t="str">
        <f>IFERROR(VLOOKUP(G85,Reference!$I$2:$J$175,2,FALSE()),"Operations")</f>
        <v>Finance</v>
      </c>
    </row>
    <row r="86" spans="1:13" ht="15" customHeight="1" x14ac:dyDescent="0.25">
      <c r="A86" s="80" t="s">
        <v>385</v>
      </c>
      <c r="B86" s="112">
        <v>45743</v>
      </c>
      <c r="C86" s="80"/>
      <c r="D86" s="80" t="s">
        <v>313</v>
      </c>
      <c r="E86" s="80" t="s">
        <v>179</v>
      </c>
      <c r="F86" s="80" t="s">
        <v>191</v>
      </c>
      <c r="G86" s="80" t="s">
        <v>181</v>
      </c>
      <c r="H86" s="80" t="s">
        <v>56</v>
      </c>
      <c r="I86" s="80" t="s">
        <v>205</v>
      </c>
      <c r="J86" s="80"/>
      <c r="K86" s="80" t="s">
        <v>66</v>
      </c>
      <c r="L86" s="80"/>
      <c r="M86" s="105" t="str">
        <f>IFERROR(VLOOKUP(G86,Reference!$I$2:$J$175,2,FALSE()),"Operations")</f>
        <v>Operations</v>
      </c>
    </row>
    <row r="87" spans="1:13" ht="15" customHeight="1" x14ac:dyDescent="0.25">
      <c r="A87" s="77" t="s">
        <v>386</v>
      </c>
      <c r="B87" s="111">
        <v>45744</v>
      </c>
      <c r="C87" s="77"/>
      <c r="D87" s="77" t="s">
        <v>387</v>
      </c>
      <c r="E87" s="77" t="s">
        <v>184</v>
      </c>
      <c r="F87" s="77" t="s">
        <v>191</v>
      </c>
      <c r="G87" s="77" t="s">
        <v>388</v>
      </c>
      <c r="H87" s="77" t="s">
        <v>56</v>
      </c>
      <c r="I87" s="77" t="s">
        <v>389</v>
      </c>
      <c r="J87" s="77"/>
      <c r="K87" s="77" t="s">
        <v>84</v>
      </c>
      <c r="L87" s="77"/>
      <c r="M87" s="102" t="str">
        <f>IFERROR(VLOOKUP(G87,Reference!$I$2:$J$175,2,FALSE()),"Operations")</f>
        <v>Employment Services</v>
      </c>
    </row>
    <row r="88" spans="1:13" ht="15" customHeight="1" x14ac:dyDescent="0.25">
      <c r="A88" s="80" t="s">
        <v>390</v>
      </c>
      <c r="B88" s="112">
        <v>45744</v>
      </c>
      <c r="C88" s="80"/>
      <c r="D88" s="80" t="s">
        <v>342</v>
      </c>
      <c r="E88" s="80" t="s">
        <v>179</v>
      </c>
      <c r="F88" s="80" t="s">
        <v>191</v>
      </c>
      <c r="G88" s="80" t="s">
        <v>303</v>
      </c>
      <c r="H88" s="80" t="s">
        <v>56</v>
      </c>
      <c r="I88" s="80" t="s">
        <v>304</v>
      </c>
      <c r="J88" s="80"/>
      <c r="K88" s="80" t="s">
        <v>83</v>
      </c>
      <c r="L88" s="80"/>
      <c r="M88" s="105" t="str">
        <f>IFERROR(VLOOKUP(G88,Reference!$I$2:$J$175,2,FALSE()),"Operations")</f>
        <v>Children Services</v>
      </c>
    </row>
    <row r="89" spans="1:13" ht="15" customHeight="1" x14ac:dyDescent="0.25">
      <c r="A89" s="100"/>
      <c r="B89" s="101"/>
      <c r="C89" s="101"/>
      <c r="D89" s="100">
        <f>IF(OR(B89="",C89=""),"",IF(DATEDIF(C89,B89,"y")&gt;=1,DATEDIF(C89,B89,"y")&amp;IF(DATEDIF(C89,B89,"y")=1," year "," years ")&amp;DATEDIF(C89,B89,"ym")&amp;IF(DATEDIF(C89,B89,"ym")=1," month"," months"),IF(DATEDIF(C89,B89,"m")&gt;=1,DATEDIF(C89,B89,"m")&amp;IF(DATEDIF(C89,B89,"m")=1," month"," months"),DATEDIF(C89,B89,"d")&amp;IF(DATEDIF(C89,B89,"d")=1," day"," days"))))</f>
      </c>
      <c r="E89" s="100"/>
      <c r="F89" s="100"/>
      <c r="G89" s="100"/>
      <c r="H89" s="100"/>
      <c r="I89" s="100"/>
      <c r="J89" s="101"/>
      <c r="K89" s="100"/>
      <c r="L89" s="100"/>
      <c r="M89" s="102" t="str">
        <f>IFERROR(VLOOKUP(G89,Reference!$I$2:$J$175,2,FALSE()),"Operations")</f>
        <v>Operations</v>
      </c>
    </row>
    <row r="90" spans="1:13" ht="15" customHeight="1" x14ac:dyDescent="0.25">
      <c r="A90" s="103"/>
      <c r="B90" s="104"/>
      <c r="C90" s="104"/>
      <c r="D90" s="103">
        <f>IF(OR(B90="",C90=""),"",IF(DATEDIF(C90,B90,"y")&gt;=1,DATEDIF(C90,B90,"y")&amp;IF(DATEDIF(C90,B90,"y")=1," year "," years ")&amp;DATEDIF(C90,B90,"ym")&amp;IF(DATEDIF(C90,B90,"ym")=1," month"," months"),IF(DATEDIF(C90,B90,"m")&gt;=1,DATEDIF(C90,B90,"m")&amp;IF(DATEDIF(C90,B90,"m")=1," month"," months"),DATEDIF(C90,B90,"d")&amp;IF(DATEDIF(C90,B90,"d")=1," day"," days"))))</f>
      </c>
      <c r="E90" s="103"/>
      <c r="F90" s="103"/>
      <c r="G90" s="103"/>
      <c r="H90" s="103"/>
      <c r="I90" s="103"/>
      <c r="J90" s="104"/>
      <c r="K90" s="103"/>
      <c r="L90" s="103"/>
      <c r="M90" s="105" t="str">
        <f>IFERROR(VLOOKUP(G90,Reference!$I$2:$J$175,2,FALSE()),"Operations")</f>
        <v>Operations</v>
      </c>
    </row>
    <row r="91" spans="1:13" ht="15" customHeight="1" x14ac:dyDescent="0.25">
      <c r="A91" s="100"/>
      <c r="B91" s="101"/>
      <c r="C91" s="101"/>
      <c r="D91" s="100">
        <f>IF(OR(B91="",C91=""),"",IF(DATEDIF(C91,B91,"y")&gt;=1,DATEDIF(C91,B91,"y")&amp;IF(DATEDIF(C91,B91,"y")=1," year "," years ")&amp;DATEDIF(C91,B91,"ym")&amp;IF(DATEDIF(C91,B91,"ym")=1," month"," months"),IF(DATEDIF(C91,B91,"m")&gt;=1,DATEDIF(C91,B91,"m")&amp;IF(DATEDIF(C91,B91,"m")=1," month"," months"),DATEDIF(C91,B91,"d")&amp;IF(DATEDIF(C91,B91,"d")=1," day"," days"))))</f>
      </c>
      <c r="E91" s="100"/>
      <c r="F91" s="100"/>
      <c r="G91" s="100"/>
      <c r="H91" s="100"/>
      <c r="I91" s="100"/>
      <c r="J91" s="101"/>
      <c r="K91" s="100"/>
      <c r="L91" s="100"/>
      <c r="M91" s="102" t="str">
        <f>IFERROR(VLOOKUP(G91,Reference!$I$2:$J$175,2,FALSE()),"Operations")</f>
        <v>Operations</v>
      </c>
    </row>
    <row r="92" spans="1:13" ht="15" customHeight="1" x14ac:dyDescent="0.25">
      <c r="A92" s="103"/>
      <c r="B92" s="104"/>
      <c r="C92" s="104"/>
      <c r="D92" s="103">
        <f>IF(OR(B92="",C92=""),"",IF(DATEDIF(C92,B92,"y")&gt;=1,DATEDIF(C92,B92,"y")&amp;IF(DATEDIF(C92,B92,"y")=1," year "," years ")&amp;DATEDIF(C92,B92,"ym")&amp;IF(DATEDIF(C92,B92,"ym")=1," month"," months"),IF(DATEDIF(C92,B92,"m")&gt;=1,DATEDIF(C92,B92,"m")&amp;IF(DATEDIF(C92,B92,"m")=1," month"," months"),DATEDIF(C92,B92,"d")&amp;IF(DATEDIF(C92,B92,"d")=1," day"," days"))))</f>
      </c>
      <c r="E92" s="103"/>
      <c r="F92" s="103"/>
      <c r="G92" s="103"/>
      <c r="H92" s="103"/>
      <c r="I92" s="103"/>
      <c r="J92" s="104"/>
      <c r="K92" s="103"/>
      <c r="L92" s="103"/>
      <c r="M92" s="105" t="str">
        <f>IFERROR(VLOOKUP(G92,Reference!$I$2:$J$175,2,FALSE()),"Operations")</f>
        <v>Operations</v>
      </c>
    </row>
    <row r="93" spans="1:13" ht="15" customHeight="1" x14ac:dyDescent="0.25">
      <c r="A93" s="100"/>
      <c r="B93" s="101"/>
      <c r="C93" s="101"/>
      <c r="D93" s="100">
        <f>IF(OR(B93="",C93=""),"",IF(DATEDIF(C93,B93,"y")&gt;=1,DATEDIF(C93,B93,"y")&amp;IF(DATEDIF(C93,B93,"y")=1," year "," years ")&amp;DATEDIF(C93,B93,"ym")&amp;IF(DATEDIF(C93,B93,"ym")=1," month"," months"),IF(DATEDIF(C93,B93,"m")&gt;=1,DATEDIF(C93,B93,"m")&amp;IF(DATEDIF(C93,B93,"m")=1," month"," months"),DATEDIF(C93,B93,"d")&amp;IF(DATEDIF(C93,B93,"d")=1," day"," days"))))</f>
      </c>
      <c r="E93" s="100"/>
      <c r="F93" s="100"/>
      <c r="G93" s="100"/>
      <c r="H93" s="100"/>
      <c r="I93" s="100"/>
      <c r="J93" s="101"/>
      <c r="K93" s="100"/>
      <c r="L93" s="100"/>
      <c r="M93" s="102" t="str">
        <f>IFERROR(VLOOKUP(G93,Reference!$I$2:$J$175,2,FALSE()),"Operations")</f>
        <v>Operations</v>
      </c>
    </row>
    <row r="94" spans="1:13" ht="15" customHeight="1" x14ac:dyDescent="0.25">
      <c r="A94" s="103"/>
      <c r="B94" s="104"/>
      <c r="C94" s="104"/>
      <c r="D94" s="103">
        <f>IF(OR(B94="",C94=""),"",IF(DATEDIF(C94,B94,"y")&gt;=1,DATEDIF(C94,B94,"y")&amp;IF(DATEDIF(C94,B94,"y")=1," year "," years ")&amp;DATEDIF(C94,B94,"ym")&amp;IF(DATEDIF(C94,B94,"ym")=1," month"," months"),IF(DATEDIF(C94,B94,"m")&gt;=1,DATEDIF(C94,B94,"m")&amp;IF(DATEDIF(C94,B94,"m")=1," month"," months"),DATEDIF(C94,B94,"d")&amp;IF(DATEDIF(C94,B94,"d")=1," day"," days"))))</f>
      </c>
      <c r="E94" s="103"/>
      <c r="F94" s="103"/>
      <c r="G94" s="103"/>
      <c r="H94" s="103"/>
      <c r="I94" s="103"/>
      <c r="J94" s="104"/>
      <c r="K94" s="103"/>
      <c r="L94" s="103"/>
      <c r="M94" s="105" t="str">
        <f>IFERROR(VLOOKUP(G94,Reference!$I$2:$J$175,2,FALSE()),"Operations")</f>
        <v>Operations</v>
      </c>
    </row>
    <row r="95" spans="1:13" ht="15" customHeight="1" x14ac:dyDescent="0.25">
      <c r="A95" s="100"/>
      <c r="B95" s="101"/>
      <c r="C95" s="101"/>
      <c r="D95" s="100">
        <f>IF(OR(B95="",C95=""),"",IF(DATEDIF(C95,B95,"y")&gt;=1,DATEDIF(C95,B95,"y")&amp;IF(DATEDIF(C95,B95,"y")=1," year "," years ")&amp;DATEDIF(C95,B95,"ym")&amp;IF(DATEDIF(C95,B95,"ym")=1," month"," months"),IF(DATEDIF(C95,B95,"m")&gt;=1,DATEDIF(C95,B95,"m")&amp;IF(DATEDIF(C95,B95,"m")=1," month"," months"),DATEDIF(C95,B95,"d")&amp;IF(DATEDIF(C95,B95,"d")=1," day"," days"))))</f>
      </c>
      <c r="E95" s="100"/>
      <c r="F95" s="100"/>
      <c r="G95" s="100"/>
      <c r="H95" s="100"/>
      <c r="I95" s="100"/>
      <c r="J95" s="101"/>
      <c r="K95" s="100"/>
      <c r="L95" s="100"/>
      <c r="M95" s="102" t="str">
        <f>IFERROR(VLOOKUP(G95,Reference!$I$2:$J$175,2,FALSE()),"Operations")</f>
        <v>Operations</v>
      </c>
    </row>
    <row r="96" spans="1:13" ht="15" customHeight="1" x14ac:dyDescent="0.25">
      <c r="A96" s="103"/>
      <c r="B96" s="104"/>
      <c r="C96" s="104"/>
      <c r="D96" s="103">
        <f>IF(OR(B96="",C96=""),"",IF(DATEDIF(C96,B96,"y")&gt;=1,DATEDIF(C96,B96,"y")&amp;IF(DATEDIF(C96,B96,"y")=1," year "," years ")&amp;DATEDIF(C96,B96,"ym")&amp;IF(DATEDIF(C96,B96,"ym")=1," month"," months"),IF(DATEDIF(C96,B96,"m")&gt;=1,DATEDIF(C96,B96,"m")&amp;IF(DATEDIF(C96,B96,"m")=1," month"," months"),DATEDIF(C96,B96,"d")&amp;IF(DATEDIF(C96,B96,"d")=1," day"," days"))))</f>
      </c>
      <c r="E96" s="103"/>
      <c r="F96" s="103"/>
      <c r="G96" s="103"/>
      <c r="H96" s="103"/>
      <c r="I96" s="103"/>
      <c r="J96" s="104"/>
      <c r="K96" s="103"/>
      <c r="L96" s="103"/>
      <c r="M96" s="105" t="str">
        <f>IFERROR(VLOOKUP(G96,Reference!$I$2:$J$175,2,FALSE()),"Operations")</f>
        <v>Operations</v>
      </c>
    </row>
    <row r="97" spans="1:13" ht="15" customHeight="1" x14ac:dyDescent="0.25">
      <c r="A97" s="100"/>
      <c r="B97" s="101"/>
      <c r="C97" s="101"/>
      <c r="D97" s="100">
        <f>IF(OR(B97="",C97=""),"",IF(DATEDIF(C97,B97,"y")&gt;=1,DATEDIF(C97,B97,"y")&amp;IF(DATEDIF(C97,B97,"y")=1," year "," years ")&amp;DATEDIF(C97,B97,"ym")&amp;IF(DATEDIF(C97,B97,"ym")=1," month"," months"),IF(DATEDIF(C97,B97,"m")&gt;=1,DATEDIF(C97,B97,"m")&amp;IF(DATEDIF(C97,B97,"m")=1," month"," months"),DATEDIF(C97,B97,"d")&amp;IF(DATEDIF(C97,B97,"d")=1," day"," days"))))</f>
      </c>
      <c r="E97" s="100"/>
      <c r="F97" s="100"/>
      <c r="G97" s="100"/>
      <c r="H97" s="100"/>
      <c r="I97" s="100"/>
      <c r="J97" s="101"/>
      <c r="K97" s="100"/>
      <c r="L97" s="100"/>
      <c r="M97" s="102" t="str">
        <f>IFERROR(VLOOKUP(G97,Reference!$I$2:$J$175,2,FALSE()),"Operations")</f>
        <v>Operations</v>
      </c>
    </row>
    <row r="98" spans="1:13" ht="15" customHeight="1" x14ac:dyDescent="0.25">
      <c r="A98" s="103"/>
      <c r="B98" s="104"/>
      <c r="C98" s="104"/>
      <c r="D98" s="103">
        <f>IF(OR(B98="",C98=""),"",IF(DATEDIF(C98,B98,"y")&gt;=1,DATEDIF(C98,B98,"y")&amp;IF(DATEDIF(C98,B98,"y")=1," year "," years ")&amp;DATEDIF(C98,B98,"ym")&amp;IF(DATEDIF(C98,B98,"ym")=1," month"," months"),IF(DATEDIF(C98,B98,"m")&gt;=1,DATEDIF(C98,B98,"m")&amp;IF(DATEDIF(C98,B98,"m")=1," month"," months"),DATEDIF(C98,B98,"d")&amp;IF(DATEDIF(C98,B98,"d")=1," day"," days"))))</f>
      </c>
      <c r="E98" s="103"/>
      <c r="F98" s="103"/>
      <c r="G98" s="103"/>
      <c r="H98" s="103"/>
      <c r="I98" s="103"/>
      <c r="J98" s="104"/>
      <c r="K98" s="103"/>
      <c r="L98" s="103"/>
      <c r="M98" s="105" t="str">
        <f>IFERROR(VLOOKUP(G98,Reference!$I$2:$J$175,2,FALSE()),"Operations")</f>
        <v>Operations</v>
      </c>
    </row>
    <row r="99" spans="1:13" ht="15" customHeight="1" x14ac:dyDescent="0.25">
      <c r="A99" s="100"/>
      <c r="B99" s="101"/>
      <c r="C99" s="101"/>
      <c r="D99" s="100">
        <f>IF(OR(B99="",C99=""),"",IF(DATEDIF(C99,B99,"y")&gt;=1,DATEDIF(C99,B99,"y")&amp;IF(DATEDIF(C99,B99,"y")=1," year "," years ")&amp;DATEDIF(C99,B99,"ym")&amp;IF(DATEDIF(C99,B99,"ym")=1," month"," months"),IF(DATEDIF(C99,B99,"m")&gt;=1,DATEDIF(C99,B99,"m")&amp;IF(DATEDIF(C99,B99,"m")=1," month"," months"),DATEDIF(C99,B99,"d")&amp;IF(DATEDIF(C99,B99,"d")=1," day"," days"))))</f>
      </c>
      <c r="E99" s="100"/>
      <c r="F99" s="100"/>
      <c r="G99" s="100"/>
      <c r="H99" s="100"/>
      <c r="I99" s="100"/>
      <c r="J99" s="101"/>
      <c r="K99" s="100"/>
      <c r="L99" s="100"/>
      <c r="M99" s="102" t="str">
        <f>IFERROR(VLOOKUP(G99,Reference!$I$2:$J$175,2,FALSE()),"Operations")</f>
        <v>Operations</v>
      </c>
    </row>
    <row r="100" spans="1:13" ht="15" customHeight="1" x14ac:dyDescent="0.25">
      <c r="A100" s="103"/>
      <c r="B100" s="104"/>
      <c r="C100" s="104"/>
      <c r="D100" s="103">
        <f>IF(OR(B100="",C100=""),"",IF(DATEDIF(C100,B100,"y")&gt;=1,DATEDIF(C100,B100,"y")&amp;IF(DATEDIF(C100,B100,"y")=1," year "," years ")&amp;DATEDIF(C100,B100,"ym")&amp;IF(DATEDIF(C100,B100,"ym")=1," month"," months"),IF(DATEDIF(C100,B100,"m")&gt;=1,DATEDIF(C100,B100,"m")&amp;IF(DATEDIF(C100,B100,"m")=1," month"," months"),DATEDIF(C100,B100,"d")&amp;IF(DATEDIF(C100,B100,"d")=1," day"," days"))))</f>
      </c>
      <c r="E100" s="103"/>
      <c r="F100" s="103"/>
      <c r="G100" s="103"/>
      <c r="H100" s="103"/>
      <c r="I100" s="103"/>
      <c r="J100" s="104"/>
      <c r="K100" s="103"/>
      <c r="L100" s="103"/>
      <c r="M100" s="105" t="str">
        <f>IFERROR(VLOOKUP(G100,Reference!$I$2:$J$175,2,FALSE()),"Operations")</f>
        <v>Operations</v>
      </c>
    </row>
    <row r="101" spans="1:13" ht="15" customHeight="1" x14ac:dyDescent="0.25">
      <c r="A101" s="100"/>
      <c r="B101" s="101"/>
      <c r="C101" s="101"/>
      <c r="D101" s="100">
        <f>IF(OR(B101="",C101=""),"",IF(DATEDIF(C101,B101,"y")&gt;=1,DATEDIF(C101,B101,"y")&amp;IF(DATEDIF(C101,B101,"y")=1," year "," years ")&amp;DATEDIF(C101,B101,"ym")&amp;IF(DATEDIF(C101,B101,"ym")=1," month"," months"),IF(DATEDIF(C101,B101,"m")&gt;=1,DATEDIF(C101,B101,"m")&amp;IF(DATEDIF(C101,B101,"m")=1," month"," months"),DATEDIF(C101,B101,"d")&amp;IF(DATEDIF(C101,B101,"d")=1," day"," days"))))</f>
      </c>
      <c r="E101" s="100"/>
      <c r="F101" s="100"/>
      <c r="G101" s="100"/>
      <c r="H101" s="100"/>
      <c r="I101" s="100"/>
      <c r="J101" s="101"/>
      <c r="K101" s="100"/>
      <c r="L101" s="100"/>
      <c r="M101" s="102" t="str">
        <f>IFERROR(VLOOKUP(G101,Reference!$I$2:$J$175,2,FALSE()),"Operations")</f>
        <v>Operations</v>
      </c>
    </row>
    <row r="102" spans="1:13" ht="15" customHeight="1" x14ac:dyDescent="0.25">
      <c r="A102" s="103"/>
      <c r="B102" s="104"/>
      <c r="C102" s="104"/>
      <c r="D102" s="103">
        <f>IF(OR(B102="",C102=""),"",IF(DATEDIF(C102,B102,"y")&gt;=1,DATEDIF(C102,B102,"y")&amp;IF(DATEDIF(C102,B102,"y")=1," year "," years ")&amp;DATEDIF(C102,B102,"ym")&amp;IF(DATEDIF(C102,B102,"ym")=1," month"," months"),IF(DATEDIF(C102,B102,"m")&gt;=1,DATEDIF(C102,B102,"m")&amp;IF(DATEDIF(C102,B102,"m")=1," month"," months"),DATEDIF(C102,B102,"d")&amp;IF(DATEDIF(C102,B102,"d")=1," day"," days"))))</f>
      </c>
      <c r="E102" s="103"/>
      <c r="F102" s="103"/>
      <c r="G102" s="103"/>
      <c r="H102" s="103"/>
      <c r="I102" s="103"/>
      <c r="J102" s="104"/>
      <c r="K102" s="103"/>
      <c r="L102" s="103"/>
      <c r="M102" s="105" t="str">
        <f>IFERROR(VLOOKUP(G102,Reference!$I$2:$J$175,2,FALSE()),"Operations")</f>
        <v>Operations</v>
      </c>
    </row>
    <row r="103" spans="1:13" ht="15" customHeight="1" x14ac:dyDescent="0.25">
      <c r="A103" s="100"/>
      <c r="B103" s="101"/>
      <c r="C103" s="101"/>
      <c r="D103" s="100">
        <f>IF(OR(B103="",C103=""),"",IF(DATEDIF(C103,B103,"y")&gt;=1,DATEDIF(C103,B103,"y")&amp;IF(DATEDIF(C103,B103,"y")=1," year "," years ")&amp;DATEDIF(C103,B103,"ym")&amp;IF(DATEDIF(C103,B103,"ym")=1," month"," months"),IF(DATEDIF(C103,B103,"m")&gt;=1,DATEDIF(C103,B103,"m")&amp;IF(DATEDIF(C103,B103,"m")=1," month"," months"),DATEDIF(C103,B103,"d")&amp;IF(DATEDIF(C103,B103,"d")=1," day"," days"))))</f>
      </c>
      <c r="E103" s="100"/>
      <c r="F103" s="100"/>
      <c r="G103" s="100"/>
      <c r="H103" s="100"/>
      <c r="I103" s="100"/>
      <c r="J103" s="101"/>
      <c r="K103" s="100"/>
      <c r="L103" s="100"/>
      <c r="M103" s="102" t="str">
        <f>IFERROR(VLOOKUP(G103,Reference!$I$2:$J$175,2,FALSE()),"Operations")</f>
        <v>Operations</v>
      </c>
    </row>
    <row r="104" spans="1:13" ht="15" customHeight="1" x14ac:dyDescent="0.25">
      <c r="A104" s="103"/>
      <c r="B104" s="104"/>
      <c r="C104" s="104"/>
      <c r="D104" s="103">
        <f>IF(OR(B104="",C104=""),"",IF(DATEDIF(C104,B104,"y")&gt;=1,DATEDIF(C104,B104,"y")&amp;IF(DATEDIF(C104,B104,"y")=1," year "," years ")&amp;DATEDIF(C104,B104,"ym")&amp;IF(DATEDIF(C104,B104,"ym")=1," month"," months"),IF(DATEDIF(C104,B104,"m")&gt;=1,DATEDIF(C104,B104,"m")&amp;IF(DATEDIF(C104,B104,"m")=1," month"," months"),DATEDIF(C104,B104,"d")&amp;IF(DATEDIF(C104,B104,"d")=1," day"," days"))))</f>
      </c>
      <c r="E104" s="103"/>
      <c r="F104" s="103"/>
      <c r="G104" s="103"/>
      <c r="H104" s="103"/>
      <c r="I104" s="103"/>
      <c r="J104" s="104"/>
      <c r="K104" s="103"/>
      <c r="L104" s="103"/>
      <c r="M104" s="105" t="str">
        <f>IFERROR(VLOOKUP(G104,Reference!$I$2:$J$175,2,FALSE()),"Operations")</f>
        <v>Operations</v>
      </c>
    </row>
    <row r="105" spans="1:13" ht="15" customHeight="1" x14ac:dyDescent="0.25">
      <c r="A105" s="100"/>
      <c r="B105" s="101"/>
      <c r="C105" s="101"/>
      <c r="D105" s="100">
        <f>IF(OR(B105="",C105=""),"",IF(DATEDIF(C105,B105,"y")&gt;=1,DATEDIF(C105,B105,"y")&amp;IF(DATEDIF(C105,B105,"y")=1," year "," years ")&amp;DATEDIF(C105,B105,"ym")&amp;IF(DATEDIF(C105,B105,"ym")=1," month"," months"),IF(DATEDIF(C105,B105,"m")&gt;=1,DATEDIF(C105,B105,"m")&amp;IF(DATEDIF(C105,B105,"m")=1," month"," months"),DATEDIF(C105,B105,"d")&amp;IF(DATEDIF(C105,B105,"d")=1," day"," days"))))</f>
      </c>
      <c r="E105" s="100"/>
      <c r="F105" s="100"/>
      <c r="G105" s="100"/>
      <c r="H105" s="100"/>
      <c r="I105" s="100"/>
      <c r="J105" s="101"/>
      <c r="K105" s="100"/>
      <c r="L105" s="100"/>
      <c r="M105" s="102" t="str">
        <f>IFERROR(VLOOKUP(G105,Reference!$I$2:$J$175,2,FALSE()),"Operations")</f>
        <v>Operations</v>
      </c>
    </row>
    <row r="106" spans="1:13" ht="15" customHeight="1" x14ac:dyDescent="0.25">
      <c r="A106" s="103"/>
      <c r="B106" s="104"/>
      <c r="C106" s="104"/>
      <c r="D106" s="103">
        <f>IF(OR(B106="",C106=""),"",IF(DATEDIF(C106,B106,"y")&gt;=1,DATEDIF(C106,B106,"y")&amp;IF(DATEDIF(C106,B106,"y")=1," year "," years ")&amp;DATEDIF(C106,B106,"ym")&amp;IF(DATEDIF(C106,B106,"ym")=1," month"," months"),IF(DATEDIF(C106,B106,"m")&gt;=1,DATEDIF(C106,B106,"m")&amp;IF(DATEDIF(C106,B106,"m")=1," month"," months"),DATEDIF(C106,B106,"d")&amp;IF(DATEDIF(C106,B106,"d")=1," day"," days"))))</f>
      </c>
      <c r="E106" s="103"/>
      <c r="F106" s="103"/>
      <c r="G106" s="103"/>
      <c r="H106" s="103"/>
      <c r="I106" s="103"/>
      <c r="J106" s="104"/>
      <c r="K106" s="103"/>
      <c r="L106" s="103"/>
      <c r="M106" s="105" t="str">
        <f>IFERROR(VLOOKUP(G106,Reference!$I$2:$J$175,2,FALSE()),"Operations")</f>
        <v>Operations</v>
      </c>
    </row>
    <row r="107" spans="1:13" ht="15" customHeight="1" x14ac:dyDescent="0.25">
      <c r="A107" s="106" t="s">
        <v>163</v>
      </c>
      <c r="B107" s="107">
        <f>COUNTA(A77:A106)</f>
        <v>12</v>
      </c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</row>
    <row r="108" spans="1:13" ht="6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 spans="1:13" ht="21.75" customHeight="1" x14ac:dyDescent="0.25">
      <c r="A109" s="163" t="s">
        <v>391</v>
      </c>
      <c r="B109" s="163"/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</row>
    <row r="110" spans="1:13" ht="19.5" customHeight="1" x14ac:dyDescent="0.25">
      <c r="A110" s="64" t="s">
        <v>151</v>
      </c>
      <c r="B110" s="64" t="s">
        <v>152</v>
      </c>
      <c r="C110" s="64" t="s">
        <v>153</v>
      </c>
      <c r="D110" s="64" t="s">
        <v>154</v>
      </c>
      <c r="E110" s="64" t="s">
        <v>155</v>
      </c>
      <c r="F110" s="64" t="s">
        <v>156</v>
      </c>
      <c r="G110" s="64" t="s">
        <v>157</v>
      </c>
      <c r="H110" s="64" t="s">
        <v>158</v>
      </c>
      <c r="I110" s="64" t="s">
        <v>159</v>
      </c>
      <c r="J110" s="64" t="s">
        <v>160</v>
      </c>
      <c r="K110" s="64" t="s">
        <v>134</v>
      </c>
      <c r="L110" s="64" t="s">
        <v>161</v>
      </c>
      <c r="M110" s="64" t="s">
        <v>162</v>
      </c>
    </row>
    <row r="111" spans="1:13" ht="15" customHeight="1" x14ac:dyDescent="0.25">
      <c r="A111" s="77" t="s">
        <v>392</v>
      </c>
      <c r="B111" s="111">
        <v>45751</v>
      </c>
      <c r="C111" s="77"/>
      <c r="D111" s="77" t="s">
        <v>393</v>
      </c>
      <c r="E111" s="77" t="s">
        <v>179</v>
      </c>
      <c r="F111" s="77" t="s">
        <v>280</v>
      </c>
      <c r="G111" s="77" t="s">
        <v>371</v>
      </c>
      <c r="H111" s="77" t="s">
        <v>75</v>
      </c>
      <c r="I111" s="77" t="s">
        <v>394</v>
      </c>
      <c r="J111" s="77"/>
      <c r="K111" s="77" t="s">
        <v>66</v>
      </c>
      <c r="L111" s="77"/>
      <c r="M111" s="102" t="str">
        <f>IFERROR(VLOOKUP(G111,Reference!$I$2:$J$175,2,FALSE()),"Operations")</f>
        <v>Operations</v>
      </c>
    </row>
    <row r="112" spans="1:13" ht="15" customHeight="1" x14ac:dyDescent="0.25">
      <c r="A112" s="80" t="s">
        <v>395</v>
      </c>
      <c r="B112" s="112">
        <v>45754</v>
      </c>
      <c r="C112" s="80"/>
      <c r="D112" s="80" t="s">
        <v>393</v>
      </c>
      <c r="E112" s="80" t="s">
        <v>179</v>
      </c>
      <c r="F112" s="80" t="s">
        <v>280</v>
      </c>
      <c r="G112" s="80" t="s">
        <v>310</v>
      </c>
      <c r="H112" s="80" t="s">
        <v>77</v>
      </c>
      <c r="I112" s="80" t="s">
        <v>197</v>
      </c>
      <c r="J112" s="80"/>
      <c r="K112" s="80" t="s">
        <v>66</v>
      </c>
      <c r="L112" s="80"/>
      <c r="M112" s="105" t="str">
        <f>IFERROR(VLOOKUP(G112,Reference!$I$2:$J$175,2,FALSE()),"Operations")</f>
        <v>Operations</v>
      </c>
    </row>
    <row r="113" spans="1:13" ht="15" customHeight="1" x14ac:dyDescent="0.25">
      <c r="A113" s="77" t="s">
        <v>396</v>
      </c>
      <c r="B113" s="111">
        <v>45757</v>
      </c>
      <c r="C113" s="77"/>
      <c r="D113" s="77" t="s">
        <v>397</v>
      </c>
      <c r="E113" s="77" t="s">
        <v>179</v>
      </c>
      <c r="F113" s="77" t="s">
        <v>191</v>
      </c>
      <c r="G113" s="77" t="s">
        <v>398</v>
      </c>
      <c r="H113" s="77" t="s">
        <v>58</v>
      </c>
      <c r="I113" s="77" t="s">
        <v>399</v>
      </c>
      <c r="J113" s="77"/>
      <c r="K113" s="77" t="s">
        <v>66</v>
      </c>
      <c r="L113" s="77"/>
      <c r="M113" s="102" t="str">
        <f>IFERROR(VLOOKUP(G113,Reference!$I$2:$J$175,2,FALSE()),"Operations")</f>
        <v>Operations</v>
      </c>
    </row>
    <row r="114" spans="1:13" ht="15" customHeight="1" x14ac:dyDescent="0.25">
      <c r="A114" s="80" t="s">
        <v>400</v>
      </c>
      <c r="B114" s="112">
        <v>45762</v>
      </c>
      <c r="C114" s="80"/>
      <c r="D114" s="80" t="s">
        <v>379</v>
      </c>
      <c r="E114" s="80" t="s">
        <v>179</v>
      </c>
      <c r="F114" s="80" t="s">
        <v>191</v>
      </c>
      <c r="G114" s="80" t="s">
        <v>355</v>
      </c>
      <c r="H114" s="80" t="s">
        <v>69</v>
      </c>
      <c r="I114" s="80" t="s">
        <v>187</v>
      </c>
      <c r="J114" s="80"/>
      <c r="K114" s="80" t="s">
        <v>66</v>
      </c>
      <c r="L114" s="80"/>
      <c r="M114" s="105" t="str">
        <f>IFERROR(VLOOKUP(G114,Reference!$I$2:$J$175,2,FALSE()),"Operations")</f>
        <v>Operations</v>
      </c>
    </row>
    <row r="115" spans="1:13" ht="15" customHeight="1" x14ac:dyDescent="0.25">
      <c r="A115" s="77" t="s">
        <v>401</v>
      </c>
      <c r="B115" s="111">
        <v>45762</v>
      </c>
      <c r="C115" s="77"/>
      <c r="D115" s="77" t="s">
        <v>402</v>
      </c>
      <c r="E115" s="77" t="s">
        <v>184</v>
      </c>
      <c r="F115" s="77" t="s">
        <v>191</v>
      </c>
      <c r="G115" s="77" t="s">
        <v>403</v>
      </c>
      <c r="H115" s="77" t="s">
        <v>53</v>
      </c>
      <c r="I115" s="77" t="s">
        <v>404</v>
      </c>
      <c r="J115" s="77"/>
      <c r="K115" s="77" t="s">
        <v>76</v>
      </c>
      <c r="L115" s="77"/>
      <c r="M115" s="102" t="str">
        <f>IFERROR(VLOOKUP(G115,Reference!$I$2:$J$175,2,FALSE()),"Operations")</f>
        <v>Children Services</v>
      </c>
    </row>
    <row r="116" spans="1:13" ht="15" customHeight="1" x14ac:dyDescent="0.25">
      <c r="A116" s="80" t="s">
        <v>405</v>
      </c>
      <c r="B116" s="112">
        <v>45768</v>
      </c>
      <c r="C116" s="80"/>
      <c r="D116" s="80" t="s">
        <v>335</v>
      </c>
      <c r="E116" s="80" t="s">
        <v>179</v>
      </c>
      <c r="F116" s="80" t="s">
        <v>280</v>
      </c>
      <c r="G116" s="80" t="s">
        <v>406</v>
      </c>
      <c r="H116" s="80" t="s">
        <v>64</v>
      </c>
      <c r="I116" s="80" t="s">
        <v>407</v>
      </c>
      <c r="J116" s="80"/>
      <c r="K116" s="80" t="s">
        <v>89</v>
      </c>
      <c r="L116" s="80"/>
      <c r="M116" s="105" t="str">
        <f>IFERROR(VLOOKUP(G116,Reference!$I$2:$J$175,2,FALSE()),"Operations")</f>
        <v>Human Resources</v>
      </c>
    </row>
    <row r="117" spans="1:13" ht="15" customHeight="1" x14ac:dyDescent="0.25">
      <c r="A117" s="77" t="s">
        <v>408</v>
      </c>
      <c r="B117" s="111">
        <v>45777</v>
      </c>
      <c r="C117" s="77"/>
      <c r="D117" s="77" t="s">
        <v>409</v>
      </c>
      <c r="E117" s="77" t="s">
        <v>179</v>
      </c>
      <c r="F117" s="77" t="s">
        <v>280</v>
      </c>
      <c r="G117" s="77" t="s">
        <v>410</v>
      </c>
      <c r="H117" s="77" t="s">
        <v>53</v>
      </c>
      <c r="I117" s="77" t="s">
        <v>205</v>
      </c>
      <c r="J117" s="77"/>
      <c r="K117" s="77" t="s">
        <v>66</v>
      </c>
      <c r="L117" s="77"/>
      <c r="M117" s="102" t="str">
        <f>IFERROR(VLOOKUP(G117,Reference!$I$2:$J$175,2,FALSE()),"Operations")</f>
        <v>Operations</v>
      </c>
    </row>
    <row r="118" spans="1:13" ht="15" customHeight="1" x14ac:dyDescent="0.25">
      <c r="A118" s="103"/>
      <c r="B118" s="104"/>
      <c r="C118" s="104"/>
      <c r="D118" s="103">
        <f>IF(OR(B118="",C118=""),"",IF(DATEDIF(C118,B118,"y")&gt;=1,DATEDIF(C118,B118,"y")&amp;IF(DATEDIF(C118,B118,"y")=1," year "," years ")&amp;DATEDIF(C118,B118,"ym")&amp;IF(DATEDIF(C118,B118,"ym")=1," month"," months"),IF(DATEDIF(C118,B118,"m")&gt;=1,DATEDIF(C118,B118,"m")&amp;IF(DATEDIF(C118,B118,"m")=1," month"," months"),DATEDIF(C118,B118,"d")&amp;IF(DATEDIF(C118,B118,"d")=1," day"," days"))))</f>
      </c>
      <c r="E118" s="103"/>
      <c r="F118" s="103"/>
      <c r="G118" s="103"/>
      <c r="H118" s="103"/>
      <c r="I118" s="103"/>
      <c r="J118" s="104"/>
      <c r="K118" s="103"/>
      <c r="L118" s="103"/>
      <c r="M118" s="105" t="str">
        <f>IFERROR(VLOOKUP(G118,Reference!$I$2:$J$175,2,FALSE()),"Operations")</f>
        <v>Operations</v>
      </c>
    </row>
    <row r="119" spans="1:13" ht="15" customHeight="1" x14ac:dyDescent="0.25">
      <c r="A119" s="100"/>
      <c r="B119" s="101"/>
      <c r="C119" s="101"/>
      <c r="D119" s="100">
        <f>IF(OR(B119="",C119=""),"",IF(DATEDIF(C119,B119,"y")&gt;=1,DATEDIF(C119,B119,"y")&amp;IF(DATEDIF(C119,B119,"y")=1," year "," years ")&amp;DATEDIF(C119,B119,"ym")&amp;IF(DATEDIF(C119,B119,"ym")=1," month"," months"),IF(DATEDIF(C119,B119,"m")&gt;=1,DATEDIF(C119,B119,"m")&amp;IF(DATEDIF(C119,B119,"m")=1," month"," months"),DATEDIF(C119,B119,"d")&amp;IF(DATEDIF(C119,B119,"d")=1," day"," days"))))</f>
      </c>
      <c r="E119" s="100"/>
      <c r="F119" s="100"/>
      <c r="G119" s="100"/>
      <c r="H119" s="100"/>
      <c r="I119" s="100"/>
      <c r="J119" s="101"/>
      <c r="K119" s="100"/>
      <c r="L119" s="100"/>
      <c r="M119" s="102" t="str">
        <f>IFERROR(VLOOKUP(G119,Reference!$I$2:$J$175,2,FALSE()),"Operations")</f>
        <v>Operations</v>
      </c>
    </row>
    <row r="120" spans="1:13" ht="15" customHeight="1" x14ac:dyDescent="0.25">
      <c r="A120" s="103"/>
      <c r="B120" s="104"/>
      <c r="C120" s="104"/>
      <c r="D120" s="103">
        <f>IF(OR(B120="",C120=""),"",IF(DATEDIF(C120,B120,"y")&gt;=1,DATEDIF(C120,B120,"y")&amp;IF(DATEDIF(C120,B120,"y")=1," year "," years ")&amp;DATEDIF(C120,B120,"ym")&amp;IF(DATEDIF(C120,B120,"ym")=1," month"," months"),IF(DATEDIF(C120,B120,"m")&gt;=1,DATEDIF(C120,B120,"m")&amp;IF(DATEDIF(C120,B120,"m")=1," month"," months"),DATEDIF(C120,B120,"d")&amp;IF(DATEDIF(C120,B120,"d")=1," day"," days"))))</f>
      </c>
      <c r="E120" s="103"/>
      <c r="F120" s="103"/>
      <c r="G120" s="103"/>
      <c r="H120" s="103"/>
      <c r="I120" s="103"/>
      <c r="J120" s="104"/>
      <c r="K120" s="103"/>
      <c r="L120" s="103"/>
      <c r="M120" s="105" t="str">
        <f>IFERROR(VLOOKUP(G120,Reference!$I$2:$J$175,2,FALSE()),"Operations")</f>
        <v>Operations</v>
      </c>
    </row>
    <row r="121" spans="1:13" ht="15" customHeight="1" x14ac:dyDescent="0.25">
      <c r="A121" s="100"/>
      <c r="B121" s="101"/>
      <c r="C121" s="101"/>
      <c r="D121" s="100">
        <f>IF(OR(B121="",C121=""),"",IF(DATEDIF(C121,B121,"y")&gt;=1,DATEDIF(C121,B121,"y")&amp;IF(DATEDIF(C121,B121,"y")=1," year "," years ")&amp;DATEDIF(C121,B121,"ym")&amp;IF(DATEDIF(C121,B121,"ym")=1," month"," months"),IF(DATEDIF(C121,B121,"m")&gt;=1,DATEDIF(C121,B121,"m")&amp;IF(DATEDIF(C121,B121,"m")=1," month"," months"),DATEDIF(C121,B121,"d")&amp;IF(DATEDIF(C121,B121,"d")=1," day"," days"))))</f>
      </c>
      <c r="E121" s="100"/>
      <c r="F121" s="100"/>
      <c r="G121" s="100"/>
      <c r="H121" s="100"/>
      <c r="I121" s="100"/>
      <c r="J121" s="101"/>
      <c r="K121" s="100"/>
      <c r="L121" s="100"/>
      <c r="M121" s="102" t="str">
        <f>IFERROR(VLOOKUP(G121,Reference!$I$2:$J$175,2,FALSE()),"Operations")</f>
        <v>Operations</v>
      </c>
    </row>
    <row r="122" spans="1:13" ht="15" customHeight="1" x14ac:dyDescent="0.25">
      <c r="A122" s="103"/>
      <c r="B122" s="104"/>
      <c r="C122" s="104"/>
      <c r="D122" s="103">
        <f>IF(OR(B122="",C122=""),"",IF(DATEDIF(C122,B122,"y")&gt;=1,DATEDIF(C122,B122,"y")&amp;IF(DATEDIF(C122,B122,"y")=1," year "," years ")&amp;DATEDIF(C122,B122,"ym")&amp;IF(DATEDIF(C122,B122,"ym")=1," month"," months"),IF(DATEDIF(C122,B122,"m")&gt;=1,DATEDIF(C122,B122,"m")&amp;IF(DATEDIF(C122,B122,"m")=1," month"," months"),DATEDIF(C122,B122,"d")&amp;IF(DATEDIF(C122,B122,"d")=1," day"," days"))))</f>
      </c>
      <c r="E122" s="103"/>
      <c r="F122" s="103"/>
      <c r="G122" s="103"/>
      <c r="H122" s="103"/>
      <c r="I122" s="103"/>
      <c r="J122" s="104"/>
      <c r="K122" s="103"/>
      <c r="L122" s="103"/>
      <c r="M122" s="105" t="str">
        <f>IFERROR(VLOOKUP(G122,Reference!$I$2:$J$175,2,FALSE()),"Operations")</f>
        <v>Operations</v>
      </c>
    </row>
    <row r="123" spans="1:13" ht="15" customHeight="1" x14ac:dyDescent="0.25">
      <c r="A123" s="100"/>
      <c r="B123" s="101"/>
      <c r="C123" s="101"/>
      <c r="D123" s="100">
        <f>IF(OR(B123="",C123=""),"",IF(DATEDIF(C123,B123,"y")&gt;=1,DATEDIF(C123,B123,"y")&amp;IF(DATEDIF(C123,B123,"y")=1," year "," years ")&amp;DATEDIF(C123,B123,"ym")&amp;IF(DATEDIF(C123,B123,"ym")=1," month"," months"),IF(DATEDIF(C123,B123,"m")&gt;=1,DATEDIF(C123,B123,"m")&amp;IF(DATEDIF(C123,B123,"m")=1," month"," months"),DATEDIF(C123,B123,"d")&amp;IF(DATEDIF(C123,B123,"d")=1," day"," days"))))</f>
      </c>
      <c r="E123" s="100"/>
      <c r="F123" s="100"/>
      <c r="G123" s="100"/>
      <c r="H123" s="100"/>
      <c r="I123" s="100"/>
      <c r="J123" s="101"/>
      <c r="K123" s="100"/>
      <c r="L123" s="100"/>
      <c r="M123" s="102" t="str">
        <f>IFERROR(VLOOKUP(G123,Reference!$I$2:$J$175,2,FALSE()),"Operations")</f>
        <v>Operations</v>
      </c>
    </row>
    <row r="124" spans="1:13" ht="15" customHeight="1" x14ac:dyDescent="0.25">
      <c r="A124" s="103"/>
      <c r="B124" s="104"/>
      <c r="C124" s="104"/>
      <c r="D124" s="103">
        <f>IF(OR(B124="",C124=""),"",IF(DATEDIF(C124,B124,"y")&gt;=1,DATEDIF(C124,B124,"y")&amp;IF(DATEDIF(C124,B124,"y")=1," year "," years ")&amp;DATEDIF(C124,B124,"ym")&amp;IF(DATEDIF(C124,B124,"ym")=1," month"," months"),IF(DATEDIF(C124,B124,"m")&gt;=1,DATEDIF(C124,B124,"m")&amp;IF(DATEDIF(C124,B124,"m")=1," month"," months"),DATEDIF(C124,B124,"d")&amp;IF(DATEDIF(C124,B124,"d")=1," day"," days"))))</f>
      </c>
      <c r="E124" s="103"/>
      <c r="F124" s="103"/>
      <c r="G124" s="103"/>
      <c r="H124" s="103"/>
      <c r="I124" s="103"/>
      <c r="J124" s="104"/>
      <c r="K124" s="103"/>
      <c r="L124" s="103"/>
      <c r="M124" s="105" t="str">
        <f>IFERROR(VLOOKUP(G124,Reference!$I$2:$J$175,2,FALSE()),"Operations")</f>
        <v>Operations</v>
      </c>
    </row>
    <row r="125" spans="1:13" ht="15" customHeight="1" x14ac:dyDescent="0.25">
      <c r="A125" s="100"/>
      <c r="B125" s="101"/>
      <c r="C125" s="101"/>
      <c r="D125" s="100">
        <f>IF(OR(B125="",C125=""),"",IF(DATEDIF(C125,B125,"y")&gt;=1,DATEDIF(C125,B125,"y")&amp;IF(DATEDIF(C125,B125,"y")=1," year "," years ")&amp;DATEDIF(C125,B125,"ym")&amp;IF(DATEDIF(C125,B125,"ym")=1," month"," months"),IF(DATEDIF(C125,B125,"m")&gt;=1,DATEDIF(C125,B125,"m")&amp;IF(DATEDIF(C125,B125,"m")=1," month"," months"),DATEDIF(C125,B125,"d")&amp;IF(DATEDIF(C125,B125,"d")=1," day"," days"))))</f>
      </c>
      <c r="E125" s="100"/>
      <c r="F125" s="100"/>
      <c r="G125" s="100"/>
      <c r="H125" s="100"/>
      <c r="I125" s="100"/>
      <c r="J125" s="101"/>
      <c r="K125" s="100"/>
      <c r="L125" s="100"/>
      <c r="M125" s="102" t="str">
        <f>IFERROR(VLOOKUP(G125,Reference!$I$2:$J$175,2,FALSE()),"Operations")</f>
        <v>Operations</v>
      </c>
    </row>
    <row r="126" spans="1:13" ht="15" customHeight="1" x14ac:dyDescent="0.25">
      <c r="A126" s="103"/>
      <c r="B126" s="104"/>
      <c r="C126" s="104"/>
      <c r="D126" s="103">
        <f>IF(OR(B126="",C126=""),"",IF(DATEDIF(C126,B126,"y")&gt;=1,DATEDIF(C126,B126,"y")&amp;IF(DATEDIF(C126,B126,"y")=1," year "," years ")&amp;DATEDIF(C126,B126,"ym")&amp;IF(DATEDIF(C126,B126,"ym")=1," month"," months"),IF(DATEDIF(C126,B126,"m")&gt;=1,DATEDIF(C126,B126,"m")&amp;IF(DATEDIF(C126,B126,"m")=1," month"," months"),DATEDIF(C126,B126,"d")&amp;IF(DATEDIF(C126,B126,"d")=1," day"," days"))))</f>
      </c>
      <c r="E126" s="103"/>
      <c r="F126" s="103"/>
      <c r="G126" s="103"/>
      <c r="H126" s="103"/>
      <c r="I126" s="103"/>
      <c r="J126" s="104"/>
      <c r="K126" s="103"/>
      <c r="L126" s="103"/>
      <c r="M126" s="105" t="str">
        <f>IFERROR(VLOOKUP(G126,Reference!$I$2:$J$175,2,FALSE()),"Operations")</f>
        <v>Operations</v>
      </c>
    </row>
    <row r="127" spans="1:13" ht="15" customHeight="1" x14ac:dyDescent="0.25">
      <c r="A127" s="100"/>
      <c r="B127" s="101"/>
      <c r="C127" s="101"/>
      <c r="D127" s="100">
        <f>IF(OR(B127="",C127=""),"",IF(DATEDIF(C127,B127,"y")&gt;=1,DATEDIF(C127,B127,"y")&amp;IF(DATEDIF(C127,B127,"y")=1," year "," years ")&amp;DATEDIF(C127,B127,"ym")&amp;IF(DATEDIF(C127,B127,"ym")=1," month"," months"),IF(DATEDIF(C127,B127,"m")&gt;=1,DATEDIF(C127,B127,"m")&amp;IF(DATEDIF(C127,B127,"m")=1," month"," months"),DATEDIF(C127,B127,"d")&amp;IF(DATEDIF(C127,B127,"d")=1," day"," days"))))</f>
      </c>
      <c r="E127" s="100"/>
      <c r="F127" s="100"/>
      <c r="G127" s="100"/>
      <c r="H127" s="100"/>
      <c r="I127" s="100"/>
      <c r="J127" s="101"/>
      <c r="K127" s="100"/>
      <c r="L127" s="100"/>
      <c r="M127" s="102" t="str">
        <f>IFERROR(VLOOKUP(G127,Reference!$I$2:$J$175,2,FALSE()),"Operations")</f>
        <v>Operations</v>
      </c>
    </row>
    <row r="128" spans="1:13" ht="15" customHeight="1" x14ac:dyDescent="0.25">
      <c r="A128" s="103"/>
      <c r="B128" s="104"/>
      <c r="C128" s="104"/>
      <c r="D128" s="103">
        <f>IF(OR(B128="",C128=""),"",IF(DATEDIF(C128,B128,"y")&gt;=1,DATEDIF(C128,B128,"y")&amp;IF(DATEDIF(C128,B128,"y")=1," year "," years ")&amp;DATEDIF(C128,B128,"ym")&amp;IF(DATEDIF(C128,B128,"ym")=1," month"," months"),IF(DATEDIF(C128,B128,"m")&gt;=1,DATEDIF(C128,B128,"m")&amp;IF(DATEDIF(C128,B128,"m")=1," month"," months"),DATEDIF(C128,B128,"d")&amp;IF(DATEDIF(C128,B128,"d")=1," day"," days"))))</f>
      </c>
      <c r="E128" s="103"/>
      <c r="F128" s="103"/>
      <c r="G128" s="103"/>
      <c r="H128" s="103"/>
      <c r="I128" s="103"/>
      <c r="J128" s="104"/>
      <c r="K128" s="103"/>
      <c r="L128" s="103"/>
      <c r="M128" s="105" t="str">
        <f>IFERROR(VLOOKUP(G128,Reference!$I$2:$J$175,2,FALSE()),"Operations")</f>
        <v>Operations</v>
      </c>
    </row>
    <row r="129" spans="1:13" ht="15" customHeight="1" x14ac:dyDescent="0.25">
      <c r="A129" s="100"/>
      <c r="B129" s="101"/>
      <c r="C129" s="101"/>
      <c r="D129" s="100">
        <f>IF(OR(B129="",C129=""),"",IF(DATEDIF(C129,B129,"y")&gt;=1,DATEDIF(C129,B129,"y")&amp;IF(DATEDIF(C129,B129,"y")=1," year "," years ")&amp;DATEDIF(C129,B129,"ym")&amp;IF(DATEDIF(C129,B129,"ym")=1," month"," months"),IF(DATEDIF(C129,B129,"m")&gt;=1,DATEDIF(C129,B129,"m")&amp;IF(DATEDIF(C129,B129,"m")=1," month"," months"),DATEDIF(C129,B129,"d")&amp;IF(DATEDIF(C129,B129,"d")=1," day"," days"))))</f>
      </c>
      <c r="E129" s="100"/>
      <c r="F129" s="100"/>
      <c r="G129" s="100"/>
      <c r="H129" s="100"/>
      <c r="I129" s="100"/>
      <c r="J129" s="101"/>
      <c r="K129" s="100"/>
      <c r="L129" s="100"/>
      <c r="M129" s="102" t="str">
        <f>IFERROR(VLOOKUP(G129,Reference!$I$2:$J$175,2,FALSE()),"Operations")</f>
        <v>Operations</v>
      </c>
    </row>
    <row r="130" spans="1:13" ht="15" customHeight="1" x14ac:dyDescent="0.25">
      <c r="A130" s="103"/>
      <c r="B130" s="104"/>
      <c r="C130" s="104"/>
      <c r="D130" s="103">
        <f>IF(OR(B130="",C130=""),"",IF(DATEDIF(C130,B130,"y")&gt;=1,DATEDIF(C130,B130,"y")&amp;IF(DATEDIF(C130,B130,"y")=1," year "," years ")&amp;DATEDIF(C130,B130,"ym")&amp;IF(DATEDIF(C130,B130,"ym")=1," month"," months"),IF(DATEDIF(C130,B130,"m")&gt;=1,DATEDIF(C130,B130,"m")&amp;IF(DATEDIF(C130,B130,"m")=1," month"," months"),DATEDIF(C130,B130,"d")&amp;IF(DATEDIF(C130,B130,"d")=1," day"," days"))))</f>
      </c>
      <c r="E130" s="103"/>
      <c r="F130" s="103"/>
      <c r="G130" s="103"/>
      <c r="H130" s="103"/>
      <c r="I130" s="103"/>
      <c r="J130" s="104"/>
      <c r="K130" s="103"/>
      <c r="L130" s="103"/>
      <c r="M130" s="105" t="str">
        <f>IFERROR(VLOOKUP(G130,Reference!$I$2:$J$175,2,FALSE()),"Operations")</f>
        <v>Operations</v>
      </c>
    </row>
    <row r="131" spans="1:13" ht="15" customHeight="1" x14ac:dyDescent="0.25">
      <c r="A131" s="100"/>
      <c r="B131" s="101"/>
      <c r="C131" s="101"/>
      <c r="D131" s="100">
        <f>IF(OR(B131="",C131=""),"",IF(DATEDIF(C131,B131,"y")&gt;=1,DATEDIF(C131,B131,"y")&amp;IF(DATEDIF(C131,B131,"y")=1," year "," years ")&amp;DATEDIF(C131,B131,"ym")&amp;IF(DATEDIF(C131,B131,"ym")=1," month"," months"),IF(DATEDIF(C131,B131,"m")&gt;=1,DATEDIF(C131,B131,"m")&amp;IF(DATEDIF(C131,B131,"m")=1," month"," months"),DATEDIF(C131,B131,"d")&amp;IF(DATEDIF(C131,B131,"d")=1," day"," days"))))</f>
      </c>
      <c r="E131" s="100"/>
      <c r="F131" s="100"/>
      <c r="G131" s="100"/>
      <c r="H131" s="100"/>
      <c r="I131" s="100"/>
      <c r="J131" s="101"/>
      <c r="K131" s="100"/>
      <c r="L131" s="100"/>
      <c r="M131" s="102" t="str">
        <f>IFERROR(VLOOKUP(G131,Reference!$I$2:$J$175,2,FALSE()),"Operations")</f>
        <v>Operations</v>
      </c>
    </row>
    <row r="132" spans="1:13" ht="15" customHeight="1" x14ac:dyDescent="0.25">
      <c r="A132" s="103"/>
      <c r="B132" s="104"/>
      <c r="C132" s="104"/>
      <c r="D132" s="103">
        <f>IF(OR(B132="",C132=""),"",IF(DATEDIF(C132,B132,"y")&gt;=1,DATEDIF(C132,B132,"y")&amp;IF(DATEDIF(C132,B132,"y")=1," year "," years ")&amp;DATEDIF(C132,B132,"ym")&amp;IF(DATEDIF(C132,B132,"ym")=1," month"," months"),IF(DATEDIF(C132,B132,"m")&gt;=1,DATEDIF(C132,B132,"m")&amp;IF(DATEDIF(C132,B132,"m")=1," month"," months"),DATEDIF(C132,B132,"d")&amp;IF(DATEDIF(C132,B132,"d")=1," day"," days"))))</f>
      </c>
      <c r="E132" s="103"/>
      <c r="F132" s="103"/>
      <c r="G132" s="103"/>
      <c r="H132" s="103"/>
      <c r="I132" s="103"/>
      <c r="J132" s="104"/>
      <c r="K132" s="103"/>
      <c r="L132" s="103"/>
      <c r="M132" s="105" t="str">
        <f>IFERROR(VLOOKUP(G132,Reference!$I$2:$J$175,2,FALSE()),"Operations")</f>
        <v>Operations</v>
      </c>
    </row>
    <row r="133" spans="1:13" ht="15" customHeight="1" x14ac:dyDescent="0.25">
      <c r="A133" s="100"/>
      <c r="B133" s="101"/>
      <c r="C133" s="101"/>
      <c r="D133" s="100">
        <f>IF(OR(B133="",C133=""),"",IF(DATEDIF(C133,B133,"y")&gt;=1,DATEDIF(C133,B133,"y")&amp;IF(DATEDIF(C133,B133,"y")=1," year "," years ")&amp;DATEDIF(C133,B133,"ym")&amp;IF(DATEDIF(C133,B133,"ym")=1," month"," months"),IF(DATEDIF(C133,B133,"m")&gt;=1,DATEDIF(C133,B133,"m")&amp;IF(DATEDIF(C133,B133,"m")=1," month"," months"),DATEDIF(C133,B133,"d")&amp;IF(DATEDIF(C133,B133,"d")=1," day"," days"))))</f>
      </c>
      <c r="E133" s="100"/>
      <c r="F133" s="100"/>
      <c r="G133" s="100"/>
      <c r="H133" s="100"/>
      <c r="I133" s="100"/>
      <c r="J133" s="101"/>
      <c r="K133" s="100"/>
      <c r="L133" s="100"/>
      <c r="M133" s="102" t="str">
        <f>IFERROR(VLOOKUP(G133,Reference!$I$2:$J$175,2,FALSE()),"Operations")</f>
        <v>Operations</v>
      </c>
    </row>
    <row r="134" spans="1:13" ht="15" customHeight="1" x14ac:dyDescent="0.25">
      <c r="A134" s="103"/>
      <c r="B134" s="104"/>
      <c r="C134" s="104"/>
      <c r="D134" s="103">
        <f>IF(OR(B134="",C134=""),"",IF(DATEDIF(C134,B134,"y")&gt;=1,DATEDIF(C134,B134,"y")&amp;IF(DATEDIF(C134,B134,"y")=1," year "," years ")&amp;DATEDIF(C134,B134,"ym")&amp;IF(DATEDIF(C134,B134,"ym")=1," month"," months"),IF(DATEDIF(C134,B134,"m")&gt;=1,DATEDIF(C134,B134,"m")&amp;IF(DATEDIF(C134,B134,"m")=1," month"," months"),DATEDIF(C134,B134,"d")&amp;IF(DATEDIF(C134,B134,"d")=1," day"," days"))))</f>
      </c>
      <c r="E134" s="103"/>
      <c r="F134" s="103"/>
      <c r="G134" s="103"/>
      <c r="H134" s="103"/>
      <c r="I134" s="103"/>
      <c r="J134" s="104"/>
      <c r="K134" s="103"/>
      <c r="L134" s="103"/>
      <c r="M134" s="105" t="str">
        <f>IFERROR(VLOOKUP(G134,Reference!$I$2:$J$175,2,FALSE()),"Operations")</f>
        <v>Operations</v>
      </c>
    </row>
    <row r="135" spans="1:13" ht="15" customHeight="1" x14ac:dyDescent="0.25">
      <c r="A135" s="100"/>
      <c r="B135" s="101"/>
      <c r="C135" s="101"/>
      <c r="D135" s="100">
        <f>IF(OR(B135="",C135=""),"",IF(DATEDIF(C135,B135,"y")&gt;=1,DATEDIF(C135,B135,"y")&amp;IF(DATEDIF(C135,B135,"y")=1," year "," years ")&amp;DATEDIF(C135,B135,"ym")&amp;IF(DATEDIF(C135,B135,"ym")=1," month"," months"),IF(DATEDIF(C135,B135,"m")&gt;=1,DATEDIF(C135,B135,"m")&amp;IF(DATEDIF(C135,B135,"m")=1," month"," months"),DATEDIF(C135,B135,"d")&amp;IF(DATEDIF(C135,B135,"d")=1," day"," days"))))</f>
      </c>
      <c r="E135" s="100"/>
      <c r="F135" s="100"/>
      <c r="G135" s="100"/>
      <c r="H135" s="100"/>
      <c r="I135" s="100"/>
      <c r="J135" s="101"/>
      <c r="K135" s="100"/>
      <c r="L135" s="100"/>
      <c r="M135" s="102" t="str">
        <f>IFERROR(VLOOKUP(G135,Reference!$I$2:$J$175,2,FALSE()),"Operations")</f>
        <v>Operations</v>
      </c>
    </row>
    <row r="136" spans="1:13" ht="15" customHeight="1" x14ac:dyDescent="0.25">
      <c r="A136" s="103"/>
      <c r="B136" s="104"/>
      <c r="C136" s="104"/>
      <c r="D136" s="103">
        <f>IF(OR(B136="",C136=""),"",IF(DATEDIF(C136,B136,"y")&gt;=1,DATEDIF(C136,B136,"y")&amp;IF(DATEDIF(C136,B136,"y")=1," year "," years ")&amp;DATEDIF(C136,B136,"ym")&amp;IF(DATEDIF(C136,B136,"ym")=1," month"," months"),IF(DATEDIF(C136,B136,"m")&gt;=1,DATEDIF(C136,B136,"m")&amp;IF(DATEDIF(C136,B136,"m")=1," month"," months"),DATEDIF(C136,B136,"d")&amp;IF(DATEDIF(C136,B136,"d")=1," day"," days"))))</f>
      </c>
      <c r="E136" s="103"/>
      <c r="F136" s="103"/>
      <c r="G136" s="103"/>
      <c r="H136" s="103"/>
      <c r="I136" s="103"/>
      <c r="J136" s="104"/>
      <c r="K136" s="103"/>
      <c r="L136" s="103"/>
      <c r="M136" s="105" t="str">
        <f>IFERROR(VLOOKUP(G136,Reference!$I$2:$J$175,2,FALSE()),"Operations")</f>
        <v>Operations</v>
      </c>
    </row>
    <row r="137" spans="1:13" ht="15" customHeight="1" x14ac:dyDescent="0.25">
      <c r="A137" s="100"/>
      <c r="B137" s="101"/>
      <c r="C137" s="101"/>
      <c r="D137" s="100">
        <f>IF(OR(B137="",C137=""),"",IF(DATEDIF(C137,B137,"y")&gt;=1,DATEDIF(C137,B137,"y")&amp;IF(DATEDIF(C137,B137,"y")=1," year "," years ")&amp;DATEDIF(C137,B137,"ym")&amp;IF(DATEDIF(C137,B137,"ym")=1," month"," months"),IF(DATEDIF(C137,B137,"m")&gt;=1,DATEDIF(C137,B137,"m")&amp;IF(DATEDIF(C137,B137,"m")=1," month"," months"),DATEDIF(C137,B137,"d")&amp;IF(DATEDIF(C137,B137,"d")=1," day"," days"))))</f>
      </c>
      <c r="E137" s="100"/>
      <c r="F137" s="100"/>
      <c r="G137" s="100"/>
      <c r="H137" s="100"/>
      <c r="I137" s="100"/>
      <c r="J137" s="101"/>
      <c r="K137" s="100"/>
      <c r="L137" s="100"/>
      <c r="M137" s="102" t="str">
        <f>IFERROR(VLOOKUP(G137,Reference!$I$2:$J$175,2,FALSE()),"Operations")</f>
        <v>Operations</v>
      </c>
    </row>
    <row r="138" spans="1:13" ht="15" customHeight="1" x14ac:dyDescent="0.25">
      <c r="A138" s="103"/>
      <c r="B138" s="104"/>
      <c r="C138" s="104"/>
      <c r="D138" s="103">
        <f>IF(OR(B138="",C138=""),"",IF(DATEDIF(C138,B138,"y")&gt;=1,DATEDIF(C138,B138,"y")&amp;IF(DATEDIF(C138,B138,"y")=1," year "," years ")&amp;DATEDIF(C138,B138,"ym")&amp;IF(DATEDIF(C138,B138,"ym")=1," month"," months"),IF(DATEDIF(C138,B138,"m")&gt;=1,DATEDIF(C138,B138,"m")&amp;IF(DATEDIF(C138,B138,"m")=1," month"," months"),DATEDIF(C138,B138,"d")&amp;IF(DATEDIF(C138,B138,"d")=1," day"," days"))))</f>
      </c>
      <c r="E138" s="103"/>
      <c r="F138" s="103"/>
      <c r="G138" s="103"/>
      <c r="H138" s="103"/>
      <c r="I138" s="103"/>
      <c r="J138" s="104"/>
      <c r="K138" s="103"/>
      <c r="L138" s="103"/>
      <c r="M138" s="105" t="str">
        <f>IFERROR(VLOOKUP(G138,Reference!$I$2:$J$175,2,FALSE()),"Operations")</f>
        <v>Operations</v>
      </c>
    </row>
    <row r="139" spans="1:13" ht="15" customHeight="1" x14ac:dyDescent="0.25">
      <c r="A139" s="100"/>
      <c r="B139" s="101"/>
      <c r="C139" s="101"/>
      <c r="D139" s="100">
        <f>IF(OR(B139="",C139=""),"",IF(DATEDIF(C139,B139,"y")&gt;=1,DATEDIF(C139,B139,"y")&amp;IF(DATEDIF(C139,B139,"y")=1," year "," years ")&amp;DATEDIF(C139,B139,"ym")&amp;IF(DATEDIF(C139,B139,"ym")=1," month"," months"),IF(DATEDIF(C139,B139,"m")&gt;=1,DATEDIF(C139,B139,"m")&amp;IF(DATEDIF(C139,B139,"m")=1," month"," months"),DATEDIF(C139,B139,"d")&amp;IF(DATEDIF(C139,B139,"d")=1," day"," days"))))</f>
      </c>
      <c r="E139" s="100"/>
      <c r="F139" s="100"/>
      <c r="G139" s="100"/>
      <c r="H139" s="100"/>
      <c r="I139" s="100"/>
      <c r="J139" s="101"/>
      <c r="K139" s="100"/>
      <c r="L139" s="100"/>
      <c r="M139" s="102" t="str">
        <f>IFERROR(VLOOKUP(G139,Reference!$I$2:$J$175,2,FALSE()),"Operations")</f>
        <v>Operations</v>
      </c>
    </row>
    <row r="140" spans="1:13" ht="15" customHeight="1" x14ac:dyDescent="0.25">
      <c r="A140" s="103"/>
      <c r="B140" s="104"/>
      <c r="C140" s="104"/>
      <c r="D140" s="103">
        <f>IF(OR(B140="",C140=""),"",IF(DATEDIF(C140,B140,"y")&gt;=1,DATEDIF(C140,B140,"y")&amp;IF(DATEDIF(C140,B140,"y")=1," year "," years ")&amp;DATEDIF(C140,B140,"ym")&amp;IF(DATEDIF(C140,B140,"ym")=1," month"," months"),IF(DATEDIF(C140,B140,"m")&gt;=1,DATEDIF(C140,B140,"m")&amp;IF(DATEDIF(C140,B140,"m")=1," month"," months"),DATEDIF(C140,B140,"d")&amp;IF(DATEDIF(C140,B140,"d")=1," day"," days"))))</f>
      </c>
      <c r="E140" s="103"/>
      <c r="F140" s="103"/>
      <c r="G140" s="103"/>
      <c r="H140" s="103"/>
      <c r="I140" s="103"/>
      <c r="J140" s="104"/>
      <c r="K140" s="103"/>
      <c r="L140" s="103"/>
      <c r="M140" s="105" t="str">
        <f>IFERROR(VLOOKUP(G140,Reference!$I$2:$J$175,2,FALSE()),"Operations")</f>
        <v>Operations</v>
      </c>
    </row>
    <row r="141" spans="1:13" ht="15" customHeight="1" x14ac:dyDescent="0.25">
      <c r="A141" s="106" t="s">
        <v>163</v>
      </c>
      <c r="B141" s="107">
        <f>COUNTA(A111:A140)</f>
        <v>7</v>
      </c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</row>
    <row r="142" spans="1:13" ht="6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</row>
    <row r="143" spans="1:13" ht="21.75" customHeight="1" x14ac:dyDescent="0.25">
      <c r="A143" s="163" t="s">
        <v>411</v>
      </c>
      <c r="B143" s="163"/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</row>
    <row r="144" spans="1:13" ht="19.5" customHeight="1" x14ac:dyDescent="0.25">
      <c r="A144" s="64" t="s">
        <v>151</v>
      </c>
      <c r="B144" s="64" t="s">
        <v>152</v>
      </c>
      <c r="C144" s="64" t="s">
        <v>153</v>
      </c>
      <c r="D144" s="64" t="s">
        <v>154</v>
      </c>
      <c r="E144" s="64" t="s">
        <v>155</v>
      </c>
      <c r="F144" s="64" t="s">
        <v>156</v>
      </c>
      <c r="G144" s="64" t="s">
        <v>157</v>
      </c>
      <c r="H144" s="64" t="s">
        <v>158</v>
      </c>
      <c r="I144" s="64" t="s">
        <v>159</v>
      </c>
      <c r="J144" s="64" t="s">
        <v>160</v>
      </c>
      <c r="K144" s="64" t="s">
        <v>134</v>
      </c>
      <c r="L144" s="64" t="s">
        <v>161</v>
      </c>
      <c r="M144" s="64" t="s">
        <v>162</v>
      </c>
    </row>
    <row r="145" spans="1:13" ht="15" customHeight="1" x14ac:dyDescent="0.25">
      <c r="A145" s="77" t="s">
        <v>412</v>
      </c>
      <c r="B145" s="111">
        <v>45778</v>
      </c>
      <c r="C145" s="77"/>
      <c r="D145" s="77" t="s">
        <v>373</v>
      </c>
      <c r="E145" s="77" t="s">
        <v>184</v>
      </c>
      <c r="F145" s="77" t="s">
        <v>191</v>
      </c>
      <c r="G145" s="77" t="s">
        <v>303</v>
      </c>
      <c r="H145" s="77" t="s">
        <v>58</v>
      </c>
      <c r="I145" s="77" t="s">
        <v>304</v>
      </c>
      <c r="J145" s="77"/>
      <c r="K145" s="77" t="s">
        <v>83</v>
      </c>
      <c r="L145" s="77"/>
      <c r="M145" s="102" t="str">
        <f>IFERROR(VLOOKUP(G145,Reference!$I$2:$J$175,2,FALSE()),"Operations")</f>
        <v>Children Services</v>
      </c>
    </row>
    <row r="146" spans="1:13" ht="15" customHeight="1" x14ac:dyDescent="0.25">
      <c r="A146" s="80" t="s">
        <v>413</v>
      </c>
      <c r="B146" s="112">
        <v>45780</v>
      </c>
      <c r="C146" s="80"/>
      <c r="D146" s="80" t="s">
        <v>302</v>
      </c>
      <c r="E146" s="80" t="s">
        <v>179</v>
      </c>
      <c r="F146" s="80" t="s">
        <v>280</v>
      </c>
      <c r="G146" s="80" t="s">
        <v>414</v>
      </c>
      <c r="H146" s="80" t="s">
        <v>53</v>
      </c>
      <c r="I146" s="80" t="s">
        <v>394</v>
      </c>
      <c r="J146" s="80"/>
      <c r="K146" s="80" t="s">
        <v>66</v>
      </c>
      <c r="L146" s="80"/>
      <c r="M146" s="105" t="str">
        <f>IFERROR(VLOOKUP(G146,Reference!$I$2:$J$175,2,FALSE()),"Operations")</f>
        <v>Operations</v>
      </c>
    </row>
    <row r="147" spans="1:13" ht="15" customHeight="1" x14ac:dyDescent="0.25">
      <c r="A147" s="77" t="s">
        <v>415</v>
      </c>
      <c r="B147" s="111">
        <v>45785</v>
      </c>
      <c r="C147" s="77"/>
      <c r="D147" s="77" t="s">
        <v>416</v>
      </c>
      <c r="E147" s="77" t="s">
        <v>179</v>
      </c>
      <c r="F147" s="77" t="s">
        <v>280</v>
      </c>
      <c r="G147" s="77" t="s">
        <v>417</v>
      </c>
      <c r="H147" s="77" t="s">
        <v>53</v>
      </c>
      <c r="I147" s="77" t="s">
        <v>418</v>
      </c>
      <c r="J147" s="77"/>
      <c r="K147" s="77" t="s">
        <v>70</v>
      </c>
      <c r="L147" s="77"/>
      <c r="M147" s="102" t="str">
        <f>IFERROR(VLOOKUP(G147,Reference!$I$2:$J$175,2,FALSE()),"Operations")</f>
        <v>Operations</v>
      </c>
    </row>
    <row r="148" spans="1:13" ht="15" customHeight="1" x14ac:dyDescent="0.25">
      <c r="A148" s="80" t="s">
        <v>419</v>
      </c>
      <c r="B148" s="112">
        <v>45787</v>
      </c>
      <c r="C148" s="80"/>
      <c r="D148" s="80" t="s">
        <v>358</v>
      </c>
      <c r="E148" s="80" t="s">
        <v>179</v>
      </c>
      <c r="F148" s="80" t="s">
        <v>280</v>
      </c>
      <c r="G148" s="80" t="s">
        <v>420</v>
      </c>
      <c r="H148" s="80" t="s">
        <v>69</v>
      </c>
      <c r="I148" s="80" t="s">
        <v>421</v>
      </c>
      <c r="J148" s="80"/>
      <c r="K148" s="80" t="s">
        <v>66</v>
      </c>
      <c r="L148" s="80"/>
      <c r="M148" s="105" t="str">
        <f>IFERROR(VLOOKUP(G148,Reference!$I$2:$J$175,2,FALSE()),"Operations")</f>
        <v>Operations</v>
      </c>
    </row>
    <row r="149" spans="1:13" ht="15" customHeight="1" x14ac:dyDescent="0.25">
      <c r="A149" s="77" t="s">
        <v>422</v>
      </c>
      <c r="B149" s="111">
        <v>45789</v>
      </c>
      <c r="C149" s="77"/>
      <c r="D149" s="77" t="s">
        <v>423</v>
      </c>
      <c r="E149" s="77" t="s">
        <v>184</v>
      </c>
      <c r="F149" s="77" t="s">
        <v>191</v>
      </c>
      <c r="G149" s="77" t="s">
        <v>403</v>
      </c>
      <c r="H149" s="77" t="s">
        <v>56</v>
      </c>
      <c r="I149" s="77" t="s">
        <v>404</v>
      </c>
      <c r="J149" s="77"/>
      <c r="K149" s="77" t="s">
        <v>76</v>
      </c>
      <c r="L149" s="77"/>
      <c r="M149" s="102" t="str">
        <f>IFERROR(VLOOKUP(G149,Reference!$I$2:$J$175,2,FALSE()),"Operations")</f>
        <v>Children Services</v>
      </c>
    </row>
    <row r="150" spans="1:13" ht="15" customHeight="1" x14ac:dyDescent="0.25">
      <c r="A150" s="80" t="s">
        <v>424</v>
      </c>
      <c r="B150" s="112">
        <v>45789</v>
      </c>
      <c r="C150" s="80"/>
      <c r="D150" s="80" t="s">
        <v>425</v>
      </c>
      <c r="E150" s="80" t="s">
        <v>184</v>
      </c>
      <c r="F150" s="80" t="s">
        <v>191</v>
      </c>
      <c r="G150" s="80" t="s">
        <v>426</v>
      </c>
      <c r="H150" s="80" t="s">
        <v>70</v>
      </c>
      <c r="I150" s="80" t="s">
        <v>377</v>
      </c>
      <c r="J150" s="80"/>
      <c r="K150" s="80" t="s">
        <v>66</v>
      </c>
      <c r="L150" s="80"/>
      <c r="M150" s="105" t="str">
        <f>IFERROR(VLOOKUP(G150,Reference!$I$2:$J$175,2,FALSE()),"Operations")</f>
        <v>Operations</v>
      </c>
    </row>
    <row r="151" spans="1:13" ht="15" customHeight="1" x14ac:dyDescent="0.25">
      <c r="A151" s="77" t="s">
        <v>427</v>
      </c>
      <c r="B151" s="111">
        <v>45789</v>
      </c>
      <c r="C151" s="77"/>
      <c r="D151" s="77" t="s">
        <v>425</v>
      </c>
      <c r="E151" s="77" t="s">
        <v>179</v>
      </c>
      <c r="F151" s="77" t="s">
        <v>280</v>
      </c>
      <c r="G151" s="77" t="s">
        <v>428</v>
      </c>
      <c r="H151" s="77" t="s">
        <v>69</v>
      </c>
      <c r="I151" s="77" t="s">
        <v>187</v>
      </c>
      <c r="J151" s="77"/>
      <c r="K151" s="77" t="s">
        <v>66</v>
      </c>
      <c r="L151" s="77"/>
      <c r="M151" s="102" t="str">
        <f>IFERROR(VLOOKUP(G151,Reference!$I$2:$J$175,2,FALSE()),"Operations")</f>
        <v>Operations</v>
      </c>
    </row>
    <row r="152" spans="1:13" ht="15" customHeight="1" x14ac:dyDescent="0.25">
      <c r="A152" s="80" t="s">
        <v>429</v>
      </c>
      <c r="B152" s="112">
        <v>45790</v>
      </c>
      <c r="C152" s="80"/>
      <c r="D152" s="80" t="s">
        <v>430</v>
      </c>
      <c r="E152" s="80" t="s">
        <v>179</v>
      </c>
      <c r="F152" s="80" t="s">
        <v>280</v>
      </c>
      <c r="G152" s="80" t="s">
        <v>431</v>
      </c>
      <c r="H152" s="80" t="s">
        <v>69</v>
      </c>
      <c r="I152" s="80" t="s">
        <v>377</v>
      </c>
      <c r="J152" s="80"/>
      <c r="K152" s="80" t="s">
        <v>66</v>
      </c>
      <c r="L152" s="80"/>
      <c r="M152" s="105" t="str">
        <f>IFERROR(VLOOKUP(G152,Reference!$I$2:$J$175,2,FALSE()),"Operations")</f>
        <v>Operations</v>
      </c>
    </row>
    <row r="153" spans="1:13" ht="15" customHeight="1" x14ac:dyDescent="0.25">
      <c r="A153" s="77" t="s">
        <v>432</v>
      </c>
      <c r="B153" s="111">
        <v>45791</v>
      </c>
      <c r="C153" s="77"/>
      <c r="D153" s="77" t="s">
        <v>298</v>
      </c>
      <c r="E153" s="77" t="s">
        <v>184</v>
      </c>
      <c r="F153" s="77" t="s">
        <v>191</v>
      </c>
      <c r="G153" s="77" t="s">
        <v>388</v>
      </c>
      <c r="H153" s="77" t="s">
        <v>56</v>
      </c>
      <c r="I153" s="77" t="s">
        <v>433</v>
      </c>
      <c r="J153" s="77"/>
      <c r="K153" s="77" t="s">
        <v>84</v>
      </c>
      <c r="L153" s="77"/>
      <c r="M153" s="102" t="str">
        <f>IFERROR(VLOOKUP(G153,Reference!$I$2:$J$175,2,FALSE()),"Operations")</f>
        <v>Employment Services</v>
      </c>
    </row>
    <row r="154" spans="1:13" ht="15" customHeight="1" x14ac:dyDescent="0.25">
      <c r="A154" s="80" t="s">
        <v>434</v>
      </c>
      <c r="B154" s="112">
        <v>45792</v>
      </c>
      <c r="C154" s="80"/>
      <c r="D154" s="80" t="s">
        <v>358</v>
      </c>
      <c r="E154" s="80" t="s">
        <v>179</v>
      </c>
      <c r="F154" s="80" t="s">
        <v>280</v>
      </c>
      <c r="G154" s="80" t="s">
        <v>435</v>
      </c>
      <c r="H154" s="80" t="s">
        <v>69</v>
      </c>
      <c r="I154" s="80" t="s">
        <v>205</v>
      </c>
      <c r="J154" s="80"/>
      <c r="K154" s="80" t="s">
        <v>66</v>
      </c>
      <c r="L154" s="80"/>
      <c r="M154" s="105" t="str">
        <f>IFERROR(VLOOKUP(G154,Reference!$I$2:$J$175,2,FALSE()),"Operations")</f>
        <v>Operations</v>
      </c>
    </row>
    <row r="155" spans="1:13" ht="15" customHeight="1" x14ac:dyDescent="0.25">
      <c r="A155" s="77" t="s">
        <v>436</v>
      </c>
      <c r="B155" s="111">
        <v>45792</v>
      </c>
      <c r="C155" s="77"/>
      <c r="D155" s="77" t="s">
        <v>379</v>
      </c>
      <c r="E155" s="77" t="s">
        <v>179</v>
      </c>
      <c r="F155" s="77" t="s">
        <v>280</v>
      </c>
      <c r="G155" s="77" t="s">
        <v>285</v>
      </c>
      <c r="H155" s="77" t="s">
        <v>64</v>
      </c>
      <c r="I155" s="77" t="s">
        <v>437</v>
      </c>
      <c r="J155" s="77"/>
      <c r="K155" s="77" t="s">
        <v>80</v>
      </c>
      <c r="L155" s="77"/>
      <c r="M155" s="102" t="str">
        <f>IFERROR(VLOOKUP(G155,Reference!$I$2:$J$175,2,FALSE()),"Operations")</f>
        <v>Children Services</v>
      </c>
    </row>
    <row r="156" spans="1:13" ht="15" customHeight="1" x14ac:dyDescent="0.25">
      <c r="A156" s="80" t="s">
        <v>438</v>
      </c>
      <c r="B156" s="112">
        <v>45793</v>
      </c>
      <c r="C156" s="80"/>
      <c r="D156" s="80" t="s">
        <v>344</v>
      </c>
      <c r="E156" s="80" t="s">
        <v>184</v>
      </c>
      <c r="F156" s="80" t="s">
        <v>191</v>
      </c>
      <c r="G156" s="80" t="s">
        <v>403</v>
      </c>
      <c r="H156" s="80" t="s">
        <v>53</v>
      </c>
      <c r="I156" s="80" t="s">
        <v>439</v>
      </c>
      <c r="J156" s="80"/>
      <c r="K156" s="80" t="s">
        <v>76</v>
      </c>
      <c r="L156" s="80"/>
      <c r="M156" s="105" t="str">
        <f>IFERROR(VLOOKUP(G156,Reference!$I$2:$J$175,2,FALSE()),"Operations")</f>
        <v>Children Services</v>
      </c>
    </row>
    <row r="157" spans="1:13" ht="15" customHeight="1" x14ac:dyDescent="0.25">
      <c r="A157" s="77" t="s">
        <v>440</v>
      </c>
      <c r="B157" s="111">
        <v>45796</v>
      </c>
      <c r="C157" s="77"/>
      <c r="D157" s="77" t="s">
        <v>302</v>
      </c>
      <c r="E157" s="77" t="s">
        <v>179</v>
      </c>
      <c r="F157" s="77" t="s">
        <v>191</v>
      </c>
      <c r="G157" s="77" t="s">
        <v>417</v>
      </c>
      <c r="H157" s="77" t="s">
        <v>69</v>
      </c>
      <c r="I157" s="77" t="s">
        <v>441</v>
      </c>
      <c r="J157" s="77"/>
      <c r="K157" s="77" t="s">
        <v>70</v>
      </c>
      <c r="L157" s="77"/>
      <c r="M157" s="102" t="str">
        <f>IFERROR(VLOOKUP(G157,Reference!$I$2:$J$175,2,FALSE()),"Operations")</f>
        <v>Operations</v>
      </c>
    </row>
    <row r="158" spans="1:13" ht="15" customHeight="1" x14ac:dyDescent="0.25">
      <c r="A158" s="80" t="s">
        <v>442</v>
      </c>
      <c r="B158" s="112">
        <v>45796</v>
      </c>
      <c r="C158" s="80"/>
      <c r="D158" s="80" t="s">
        <v>443</v>
      </c>
      <c r="E158" s="80" t="s">
        <v>179</v>
      </c>
      <c r="F158" s="80" t="s">
        <v>444</v>
      </c>
      <c r="G158" s="80" t="s">
        <v>445</v>
      </c>
      <c r="H158" s="80" t="s">
        <v>53</v>
      </c>
      <c r="I158" s="80" t="s">
        <v>446</v>
      </c>
      <c r="J158" s="80"/>
      <c r="K158" s="80" t="s">
        <v>80</v>
      </c>
      <c r="L158" s="80"/>
      <c r="M158" s="105" t="str">
        <f>IFERROR(VLOOKUP(G158,Reference!$I$2:$J$175,2,FALSE()),"Operations")</f>
        <v>Children Services</v>
      </c>
    </row>
    <row r="159" spans="1:13" ht="15" customHeight="1" x14ac:dyDescent="0.25">
      <c r="A159" s="77" t="s">
        <v>447</v>
      </c>
      <c r="B159" s="111">
        <v>45799</v>
      </c>
      <c r="C159" s="77"/>
      <c r="D159" s="77" t="s">
        <v>367</v>
      </c>
      <c r="E159" s="77" t="s">
        <v>179</v>
      </c>
      <c r="F159" s="77" t="s">
        <v>280</v>
      </c>
      <c r="G159" s="77" t="s">
        <v>448</v>
      </c>
      <c r="H159" s="77" t="s">
        <v>70</v>
      </c>
      <c r="I159" s="77" t="s">
        <v>421</v>
      </c>
      <c r="J159" s="77"/>
      <c r="K159" s="77" t="s">
        <v>66</v>
      </c>
      <c r="L159" s="77"/>
      <c r="M159" s="102" t="str">
        <f>IFERROR(VLOOKUP(G159,Reference!$I$2:$J$175,2,FALSE()),"Operations")</f>
        <v>Operations</v>
      </c>
    </row>
    <row r="160" spans="1:13" ht="15" customHeight="1" x14ac:dyDescent="0.25">
      <c r="A160" s="80" t="s">
        <v>449</v>
      </c>
      <c r="B160" s="112">
        <v>45805</v>
      </c>
      <c r="C160" s="80"/>
      <c r="D160" s="80" t="s">
        <v>450</v>
      </c>
      <c r="E160" s="80" t="s">
        <v>179</v>
      </c>
      <c r="F160" s="80" t="s">
        <v>280</v>
      </c>
      <c r="G160" s="80" t="s">
        <v>451</v>
      </c>
      <c r="H160" s="80" t="s">
        <v>69</v>
      </c>
      <c r="I160" s="80" t="s">
        <v>187</v>
      </c>
      <c r="J160" s="80"/>
      <c r="K160" s="80" t="s">
        <v>66</v>
      </c>
      <c r="L160" s="80"/>
      <c r="M160" s="105" t="str">
        <f>IFERROR(VLOOKUP(G160,Reference!$I$2:$J$175,2,FALSE()),"Operations")</f>
        <v>Operations</v>
      </c>
    </row>
    <row r="161" spans="1:13" ht="15" customHeight="1" x14ac:dyDescent="0.25">
      <c r="A161" s="77" t="s">
        <v>452</v>
      </c>
      <c r="B161" s="111">
        <v>45806</v>
      </c>
      <c r="C161" s="77"/>
      <c r="D161" s="77" t="s">
        <v>379</v>
      </c>
      <c r="E161" s="77" t="s">
        <v>179</v>
      </c>
      <c r="F161" s="77" t="s">
        <v>280</v>
      </c>
      <c r="G161" s="77" t="s">
        <v>453</v>
      </c>
      <c r="H161" s="77" t="s">
        <v>69</v>
      </c>
      <c r="I161" s="77" t="s">
        <v>454</v>
      </c>
      <c r="J161" s="77"/>
      <c r="K161" s="77" t="s">
        <v>66</v>
      </c>
      <c r="L161" s="77"/>
      <c r="M161" s="102" t="str">
        <f>IFERROR(VLOOKUP(G161,Reference!$I$2:$J$175,2,FALSE()),"Operations")</f>
        <v>Operations</v>
      </c>
    </row>
    <row r="162" spans="1:13" ht="15" customHeight="1" x14ac:dyDescent="0.25">
      <c r="A162" s="80" t="s">
        <v>455</v>
      </c>
      <c r="B162" s="112">
        <v>45808</v>
      </c>
      <c r="C162" s="80"/>
      <c r="D162" s="80" t="s">
        <v>367</v>
      </c>
      <c r="E162" s="80" t="s">
        <v>184</v>
      </c>
      <c r="F162" s="80" t="s">
        <v>191</v>
      </c>
      <c r="G162" s="80" t="s">
        <v>456</v>
      </c>
      <c r="H162" s="80" t="s">
        <v>53</v>
      </c>
      <c r="I162" s="80" t="s">
        <v>457</v>
      </c>
      <c r="J162" s="80"/>
      <c r="K162" s="80" t="s">
        <v>66</v>
      </c>
      <c r="L162" s="80"/>
      <c r="M162" s="105" t="str">
        <f>IFERROR(VLOOKUP(G162,Reference!$I$2:$J$175,2,FALSE()),"Operations")</f>
        <v>Operations</v>
      </c>
    </row>
    <row r="163" spans="1:13" ht="15" customHeight="1" x14ac:dyDescent="0.25">
      <c r="A163" s="100"/>
      <c r="B163" s="101"/>
      <c r="C163" s="101"/>
      <c r="D163" s="100">
        <f>IF(OR(B163="",C163=""),"",IF(DATEDIF(C163,B163,"y")&gt;=1,DATEDIF(C163,B163,"y")&amp;IF(DATEDIF(C163,B163,"y")=1," year "," years ")&amp;DATEDIF(C163,B163,"ym")&amp;IF(DATEDIF(C163,B163,"ym")=1," month"," months"),IF(DATEDIF(C163,B163,"m")&gt;=1,DATEDIF(C163,B163,"m")&amp;IF(DATEDIF(C163,B163,"m")=1," month"," months"),DATEDIF(C163,B163,"d")&amp;IF(DATEDIF(C163,B163,"d")=1," day"," days"))))</f>
      </c>
      <c r="E163" s="100"/>
      <c r="F163" s="100"/>
      <c r="G163" s="100"/>
      <c r="H163" s="100"/>
      <c r="I163" s="100"/>
      <c r="J163" s="101"/>
      <c r="K163" s="100"/>
      <c r="L163" s="100"/>
      <c r="M163" s="102" t="str">
        <f>IFERROR(VLOOKUP(G163,Reference!$I$2:$J$175,2,FALSE()),"Operations")</f>
        <v>Operations</v>
      </c>
    </row>
    <row r="164" spans="1:13" ht="15" customHeight="1" x14ac:dyDescent="0.25">
      <c r="A164" s="103"/>
      <c r="B164" s="104"/>
      <c r="C164" s="104"/>
      <c r="D164" s="103">
        <f>IF(OR(B164="",C164=""),"",IF(DATEDIF(C164,B164,"y")&gt;=1,DATEDIF(C164,B164,"y")&amp;IF(DATEDIF(C164,B164,"y")=1," year "," years ")&amp;DATEDIF(C164,B164,"ym")&amp;IF(DATEDIF(C164,B164,"ym")=1," month"," months"),IF(DATEDIF(C164,B164,"m")&gt;=1,DATEDIF(C164,B164,"m")&amp;IF(DATEDIF(C164,B164,"m")=1," month"," months"),DATEDIF(C164,B164,"d")&amp;IF(DATEDIF(C164,B164,"d")=1," day"," days"))))</f>
      </c>
      <c r="E164" s="103"/>
      <c r="F164" s="103"/>
      <c r="G164" s="103"/>
      <c r="H164" s="103"/>
      <c r="I164" s="103"/>
      <c r="J164" s="104"/>
      <c r="K164" s="103"/>
      <c r="L164" s="103"/>
      <c r="M164" s="105" t="str">
        <f>IFERROR(VLOOKUP(G164,Reference!$I$2:$J$175,2,FALSE()),"Operations")</f>
        <v>Operations</v>
      </c>
    </row>
    <row r="165" spans="1:13" ht="15" customHeight="1" x14ac:dyDescent="0.25">
      <c r="A165" s="100"/>
      <c r="B165" s="101"/>
      <c r="C165" s="101"/>
      <c r="D165" s="100">
        <f>IF(OR(B165="",C165=""),"",IF(DATEDIF(C165,B165,"y")&gt;=1,DATEDIF(C165,B165,"y")&amp;IF(DATEDIF(C165,B165,"y")=1," year "," years ")&amp;DATEDIF(C165,B165,"ym")&amp;IF(DATEDIF(C165,B165,"ym")=1," month"," months"),IF(DATEDIF(C165,B165,"m")&gt;=1,DATEDIF(C165,B165,"m")&amp;IF(DATEDIF(C165,B165,"m")=1," month"," months"),DATEDIF(C165,B165,"d")&amp;IF(DATEDIF(C165,B165,"d")=1," day"," days"))))</f>
      </c>
      <c r="E165" s="100"/>
      <c r="F165" s="100"/>
      <c r="G165" s="100"/>
      <c r="H165" s="100"/>
      <c r="I165" s="100"/>
      <c r="J165" s="101"/>
      <c r="K165" s="100"/>
      <c r="L165" s="100"/>
      <c r="M165" s="102" t="str">
        <f>IFERROR(VLOOKUP(G165,Reference!$I$2:$J$175,2,FALSE()),"Operations")</f>
        <v>Operations</v>
      </c>
    </row>
    <row r="166" spans="1:13" ht="15" customHeight="1" x14ac:dyDescent="0.25">
      <c r="A166" s="103"/>
      <c r="B166" s="104"/>
      <c r="C166" s="104"/>
      <c r="D166" s="103">
        <f>IF(OR(B166="",C166=""),"",IF(DATEDIF(C166,B166,"y")&gt;=1,DATEDIF(C166,B166,"y")&amp;IF(DATEDIF(C166,B166,"y")=1," year "," years ")&amp;DATEDIF(C166,B166,"ym")&amp;IF(DATEDIF(C166,B166,"ym")=1," month"," months"),IF(DATEDIF(C166,B166,"m")&gt;=1,DATEDIF(C166,B166,"m")&amp;IF(DATEDIF(C166,B166,"m")=1," month"," months"),DATEDIF(C166,B166,"d")&amp;IF(DATEDIF(C166,B166,"d")=1," day"," days"))))</f>
      </c>
      <c r="E166" s="103"/>
      <c r="F166" s="103"/>
      <c r="G166" s="103"/>
      <c r="H166" s="103"/>
      <c r="I166" s="103"/>
      <c r="J166" s="104"/>
      <c r="K166" s="103"/>
      <c r="L166" s="103"/>
      <c r="M166" s="105" t="str">
        <f>IFERROR(VLOOKUP(G166,Reference!$I$2:$J$175,2,FALSE()),"Operations")</f>
        <v>Operations</v>
      </c>
    </row>
    <row r="167" spans="1:13" ht="15" customHeight="1" x14ac:dyDescent="0.25">
      <c r="A167" s="100"/>
      <c r="B167" s="101"/>
      <c r="C167" s="101"/>
      <c r="D167" s="100">
        <f>IF(OR(B167="",C167=""),"",IF(DATEDIF(C167,B167,"y")&gt;=1,DATEDIF(C167,B167,"y")&amp;IF(DATEDIF(C167,B167,"y")=1," year "," years ")&amp;DATEDIF(C167,B167,"ym")&amp;IF(DATEDIF(C167,B167,"ym")=1," month"," months"),IF(DATEDIF(C167,B167,"m")&gt;=1,DATEDIF(C167,B167,"m")&amp;IF(DATEDIF(C167,B167,"m")=1," month"," months"),DATEDIF(C167,B167,"d")&amp;IF(DATEDIF(C167,B167,"d")=1," day"," days"))))</f>
      </c>
      <c r="E167" s="100"/>
      <c r="F167" s="100"/>
      <c r="G167" s="100"/>
      <c r="H167" s="100"/>
      <c r="I167" s="100"/>
      <c r="J167" s="101"/>
      <c r="K167" s="100"/>
      <c r="L167" s="100"/>
      <c r="M167" s="102" t="str">
        <f>IFERROR(VLOOKUP(G167,Reference!$I$2:$J$175,2,FALSE()),"Operations")</f>
        <v>Operations</v>
      </c>
    </row>
    <row r="168" spans="1:13" ht="15" customHeight="1" x14ac:dyDescent="0.25">
      <c r="A168" s="103"/>
      <c r="B168" s="104"/>
      <c r="C168" s="104"/>
      <c r="D168" s="103">
        <f>IF(OR(B168="",C168=""),"",IF(DATEDIF(C168,B168,"y")&gt;=1,DATEDIF(C168,B168,"y")&amp;IF(DATEDIF(C168,B168,"y")=1," year "," years ")&amp;DATEDIF(C168,B168,"ym")&amp;IF(DATEDIF(C168,B168,"ym")=1," month"," months"),IF(DATEDIF(C168,B168,"m")&gt;=1,DATEDIF(C168,B168,"m")&amp;IF(DATEDIF(C168,B168,"m")=1," month"," months"),DATEDIF(C168,B168,"d")&amp;IF(DATEDIF(C168,B168,"d")=1," day"," days"))))</f>
      </c>
      <c r="E168" s="103"/>
      <c r="F168" s="103"/>
      <c r="G168" s="103"/>
      <c r="H168" s="103"/>
      <c r="I168" s="103"/>
      <c r="J168" s="104"/>
      <c r="K168" s="103"/>
      <c r="L168" s="103"/>
      <c r="M168" s="105" t="str">
        <f>IFERROR(VLOOKUP(G168,Reference!$I$2:$J$175,2,FALSE()),"Operations")</f>
        <v>Operations</v>
      </c>
    </row>
    <row r="169" spans="1:13" ht="15" customHeight="1" x14ac:dyDescent="0.25">
      <c r="A169" s="100"/>
      <c r="B169" s="101"/>
      <c r="C169" s="101"/>
      <c r="D169" s="100">
        <f>IF(OR(B169="",C169=""),"",IF(DATEDIF(C169,B169,"y")&gt;=1,DATEDIF(C169,B169,"y")&amp;IF(DATEDIF(C169,B169,"y")=1," year "," years ")&amp;DATEDIF(C169,B169,"ym")&amp;IF(DATEDIF(C169,B169,"ym")=1," month"," months"),IF(DATEDIF(C169,B169,"m")&gt;=1,DATEDIF(C169,B169,"m")&amp;IF(DATEDIF(C169,B169,"m")=1," month"," months"),DATEDIF(C169,B169,"d")&amp;IF(DATEDIF(C169,B169,"d")=1," day"," days"))))</f>
      </c>
      <c r="E169" s="100"/>
      <c r="F169" s="100"/>
      <c r="G169" s="100"/>
      <c r="H169" s="100"/>
      <c r="I169" s="100"/>
      <c r="J169" s="101"/>
      <c r="K169" s="100"/>
      <c r="L169" s="100"/>
      <c r="M169" s="102" t="str">
        <f>IFERROR(VLOOKUP(G169,Reference!$I$2:$J$175,2,FALSE()),"Operations")</f>
        <v>Operations</v>
      </c>
    </row>
    <row r="170" spans="1:13" ht="15" customHeight="1" x14ac:dyDescent="0.25">
      <c r="A170" s="103"/>
      <c r="B170" s="104"/>
      <c r="C170" s="104"/>
      <c r="D170" s="103">
        <f>IF(OR(B170="",C170=""),"",IF(DATEDIF(C170,B170,"y")&gt;=1,DATEDIF(C170,B170,"y")&amp;IF(DATEDIF(C170,B170,"y")=1," year "," years ")&amp;DATEDIF(C170,B170,"ym")&amp;IF(DATEDIF(C170,B170,"ym")=1," month"," months"),IF(DATEDIF(C170,B170,"m")&gt;=1,DATEDIF(C170,B170,"m")&amp;IF(DATEDIF(C170,B170,"m")=1," month"," months"),DATEDIF(C170,B170,"d")&amp;IF(DATEDIF(C170,B170,"d")=1," day"," days"))))</f>
      </c>
      <c r="E170" s="103"/>
      <c r="F170" s="103"/>
      <c r="G170" s="103"/>
      <c r="H170" s="103"/>
      <c r="I170" s="103"/>
      <c r="J170" s="104"/>
      <c r="K170" s="103"/>
      <c r="L170" s="103"/>
      <c r="M170" s="105" t="str">
        <f>IFERROR(VLOOKUP(G170,Reference!$I$2:$J$175,2,FALSE()),"Operations")</f>
        <v>Operations</v>
      </c>
    </row>
    <row r="171" spans="1:13" ht="15" customHeight="1" x14ac:dyDescent="0.25">
      <c r="A171" s="100"/>
      <c r="B171" s="101"/>
      <c r="C171" s="101"/>
      <c r="D171" s="100">
        <f>IF(OR(B171="",C171=""),"",IF(DATEDIF(C171,B171,"y")&gt;=1,DATEDIF(C171,B171,"y")&amp;IF(DATEDIF(C171,B171,"y")=1," year "," years ")&amp;DATEDIF(C171,B171,"ym")&amp;IF(DATEDIF(C171,B171,"ym")=1," month"," months"),IF(DATEDIF(C171,B171,"m")&gt;=1,DATEDIF(C171,B171,"m")&amp;IF(DATEDIF(C171,B171,"m")=1," month"," months"),DATEDIF(C171,B171,"d")&amp;IF(DATEDIF(C171,B171,"d")=1," day"," days"))))</f>
      </c>
      <c r="E171" s="100"/>
      <c r="F171" s="100"/>
      <c r="G171" s="100"/>
      <c r="H171" s="100"/>
      <c r="I171" s="100"/>
      <c r="J171" s="101"/>
      <c r="K171" s="100"/>
      <c r="L171" s="100"/>
      <c r="M171" s="102" t="str">
        <f>IFERROR(VLOOKUP(G171,Reference!$I$2:$J$175,2,FALSE()),"Operations")</f>
        <v>Operations</v>
      </c>
    </row>
    <row r="172" spans="1:13" ht="15" customHeight="1" x14ac:dyDescent="0.25">
      <c r="A172" s="103"/>
      <c r="B172" s="104"/>
      <c r="C172" s="104"/>
      <c r="D172" s="103">
        <f>IF(OR(B172="",C172=""),"",IF(DATEDIF(C172,B172,"y")&gt;=1,DATEDIF(C172,B172,"y")&amp;IF(DATEDIF(C172,B172,"y")=1," year "," years ")&amp;DATEDIF(C172,B172,"ym")&amp;IF(DATEDIF(C172,B172,"ym")=1," month"," months"),IF(DATEDIF(C172,B172,"m")&gt;=1,DATEDIF(C172,B172,"m")&amp;IF(DATEDIF(C172,B172,"m")=1," month"," months"),DATEDIF(C172,B172,"d")&amp;IF(DATEDIF(C172,B172,"d")=1," day"," days"))))</f>
      </c>
      <c r="E172" s="103"/>
      <c r="F172" s="103"/>
      <c r="G172" s="103"/>
      <c r="H172" s="103"/>
      <c r="I172" s="103"/>
      <c r="J172" s="104"/>
      <c r="K172" s="103"/>
      <c r="L172" s="103"/>
      <c r="M172" s="105" t="str">
        <f>IFERROR(VLOOKUP(G172,Reference!$I$2:$J$175,2,FALSE()),"Operations")</f>
        <v>Operations</v>
      </c>
    </row>
    <row r="173" spans="1:13" ht="15" customHeight="1" x14ac:dyDescent="0.25">
      <c r="A173" s="100"/>
      <c r="B173" s="101"/>
      <c r="C173" s="101"/>
      <c r="D173" s="100">
        <f>IF(OR(B173="",C173=""),"",IF(DATEDIF(C173,B173,"y")&gt;=1,DATEDIF(C173,B173,"y")&amp;IF(DATEDIF(C173,B173,"y")=1," year "," years ")&amp;DATEDIF(C173,B173,"ym")&amp;IF(DATEDIF(C173,B173,"ym")=1," month"," months"),IF(DATEDIF(C173,B173,"m")&gt;=1,DATEDIF(C173,B173,"m")&amp;IF(DATEDIF(C173,B173,"m")=1," month"," months"),DATEDIF(C173,B173,"d")&amp;IF(DATEDIF(C173,B173,"d")=1," day"," days"))))</f>
      </c>
      <c r="E173" s="100"/>
      <c r="F173" s="100"/>
      <c r="G173" s="100"/>
      <c r="H173" s="100"/>
      <c r="I173" s="100"/>
      <c r="J173" s="101"/>
      <c r="K173" s="100"/>
      <c r="L173" s="100"/>
      <c r="M173" s="102" t="str">
        <f>IFERROR(VLOOKUP(G173,Reference!$I$2:$J$175,2,FALSE()),"Operations")</f>
        <v>Operations</v>
      </c>
    </row>
    <row r="174" spans="1:13" ht="15" customHeight="1" x14ac:dyDescent="0.25">
      <c r="A174" s="103"/>
      <c r="B174" s="104"/>
      <c r="C174" s="104"/>
      <c r="D174" s="103">
        <f>IF(OR(B174="",C174=""),"",IF(DATEDIF(C174,B174,"y")&gt;=1,DATEDIF(C174,B174,"y")&amp;IF(DATEDIF(C174,B174,"y")=1," year "," years ")&amp;DATEDIF(C174,B174,"ym")&amp;IF(DATEDIF(C174,B174,"ym")=1," month"," months"),IF(DATEDIF(C174,B174,"m")&gt;=1,DATEDIF(C174,B174,"m")&amp;IF(DATEDIF(C174,B174,"m")=1," month"," months"),DATEDIF(C174,B174,"d")&amp;IF(DATEDIF(C174,B174,"d")=1," day"," days"))))</f>
      </c>
      <c r="E174" s="103"/>
      <c r="F174" s="103"/>
      <c r="G174" s="103"/>
      <c r="H174" s="103"/>
      <c r="I174" s="103"/>
      <c r="J174" s="104"/>
      <c r="K174" s="103"/>
      <c r="L174" s="103"/>
      <c r="M174" s="105" t="str">
        <f>IFERROR(VLOOKUP(G174,Reference!$I$2:$J$175,2,FALSE()),"Operations")</f>
        <v>Operations</v>
      </c>
    </row>
    <row r="175" spans="1:13" ht="15" customHeight="1" x14ac:dyDescent="0.25">
      <c r="A175" s="106" t="s">
        <v>163</v>
      </c>
      <c r="B175" s="107">
        <f>COUNTA(A145:A174)</f>
        <v>18</v>
      </c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</row>
    <row r="176" spans="1:13" ht="6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</row>
    <row r="177" spans="1:13" ht="21.75" customHeight="1" x14ac:dyDescent="0.25">
      <c r="A177" s="163" t="s">
        <v>458</v>
      </c>
      <c r="B177" s="163"/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</row>
    <row r="178" spans="1:13" ht="19.5" customHeight="1" x14ac:dyDescent="0.25">
      <c r="A178" s="64" t="s">
        <v>151</v>
      </c>
      <c r="B178" s="64" t="s">
        <v>152</v>
      </c>
      <c r="C178" s="64" t="s">
        <v>153</v>
      </c>
      <c r="D178" s="64" t="s">
        <v>154</v>
      </c>
      <c r="E178" s="64" t="s">
        <v>155</v>
      </c>
      <c r="F178" s="64" t="s">
        <v>156</v>
      </c>
      <c r="G178" s="64" t="s">
        <v>157</v>
      </c>
      <c r="H178" s="64" t="s">
        <v>158</v>
      </c>
      <c r="I178" s="64" t="s">
        <v>159</v>
      </c>
      <c r="J178" s="64" t="s">
        <v>160</v>
      </c>
      <c r="K178" s="64" t="s">
        <v>134</v>
      </c>
      <c r="L178" s="64" t="s">
        <v>161</v>
      </c>
      <c r="M178" s="64" t="s">
        <v>162</v>
      </c>
    </row>
    <row r="179" spans="1:13" ht="15" customHeight="1" x14ac:dyDescent="0.25">
      <c r="A179" s="77" t="s">
        <v>459</v>
      </c>
      <c r="B179" s="111">
        <v>45813</v>
      </c>
      <c r="C179" s="77"/>
      <c r="D179" s="77" t="s">
        <v>460</v>
      </c>
      <c r="E179" s="77" t="s">
        <v>179</v>
      </c>
      <c r="F179" s="77" t="s">
        <v>280</v>
      </c>
      <c r="G179" s="77" t="s">
        <v>461</v>
      </c>
      <c r="H179" s="77" t="s">
        <v>56</v>
      </c>
      <c r="I179" s="77" t="s">
        <v>377</v>
      </c>
      <c r="J179" s="77"/>
      <c r="K179" s="77" t="s">
        <v>66</v>
      </c>
      <c r="L179" s="77"/>
      <c r="M179" s="102" t="str">
        <f>IFERROR(VLOOKUP(G179,Reference!$I$2:$J$175,2,FALSE()),"Operations")</f>
        <v>Operations</v>
      </c>
    </row>
    <row r="180" spans="1:13" ht="15" customHeight="1" x14ac:dyDescent="0.25">
      <c r="A180" s="80" t="s">
        <v>462</v>
      </c>
      <c r="B180" s="112">
        <v>45821</v>
      </c>
      <c r="C180" s="80"/>
      <c r="D180" s="80" t="s">
        <v>463</v>
      </c>
      <c r="E180" s="80" t="s">
        <v>464</v>
      </c>
      <c r="F180" s="80" t="s">
        <v>280</v>
      </c>
      <c r="G180" s="80" t="s">
        <v>451</v>
      </c>
      <c r="H180" s="80" t="s">
        <v>69</v>
      </c>
      <c r="I180" s="80" t="s">
        <v>187</v>
      </c>
      <c r="J180" s="80"/>
      <c r="K180" s="80" t="s">
        <v>66</v>
      </c>
      <c r="L180" s="80"/>
      <c r="M180" s="105" t="str">
        <f>IFERROR(VLOOKUP(G180,Reference!$I$2:$J$175,2,FALSE()),"Operations")</f>
        <v>Operations</v>
      </c>
    </row>
    <row r="181" spans="1:13" ht="15" customHeight="1" x14ac:dyDescent="0.25">
      <c r="A181" s="77" t="s">
        <v>465</v>
      </c>
      <c r="B181" s="111">
        <v>45825</v>
      </c>
      <c r="C181" s="77"/>
      <c r="D181" s="77" t="s">
        <v>463</v>
      </c>
      <c r="E181" s="77" t="s">
        <v>464</v>
      </c>
      <c r="F181" s="77" t="s">
        <v>280</v>
      </c>
      <c r="G181" s="77" t="s">
        <v>420</v>
      </c>
      <c r="H181" s="77" t="s">
        <v>69</v>
      </c>
      <c r="I181" s="77" t="s">
        <v>421</v>
      </c>
      <c r="J181" s="77"/>
      <c r="K181" s="77" t="s">
        <v>66</v>
      </c>
      <c r="L181" s="77"/>
      <c r="M181" s="102" t="str">
        <f>IFERROR(VLOOKUP(G181,Reference!$I$2:$J$175,2,FALSE()),"Operations")</f>
        <v>Operations</v>
      </c>
    </row>
    <row r="182" spans="1:13" ht="15" customHeight="1" x14ac:dyDescent="0.25">
      <c r="A182" s="80" t="s">
        <v>466</v>
      </c>
      <c r="B182" s="112">
        <v>45830</v>
      </c>
      <c r="C182" s="80"/>
      <c r="D182" s="80" t="s">
        <v>342</v>
      </c>
      <c r="E182" s="80" t="s">
        <v>184</v>
      </c>
      <c r="F182" s="80" t="s">
        <v>191</v>
      </c>
      <c r="G182" s="80" t="s">
        <v>467</v>
      </c>
      <c r="H182" s="80" t="s">
        <v>60</v>
      </c>
      <c r="I182" s="80" t="s">
        <v>421</v>
      </c>
      <c r="J182" s="80"/>
      <c r="K182" s="80" t="s">
        <v>66</v>
      </c>
      <c r="L182" s="80"/>
      <c r="M182" s="105" t="str">
        <f>IFERROR(VLOOKUP(G182,Reference!$I$2:$J$175,2,FALSE()),"Operations")</f>
        <v>Operations</v>
      </c>
    </row>
    <row r="183" spans="1:13" ht="15" customHeight="1" x14ac:dyDescent="0.25">
      <c r="A183" s="77" t="s">
        <v>468</v>
      </c>
      <c r="B183" s="111">
        <v>45835</v>
      </c>
      <c r="C183" s="77"/>
      <c r="D183" s="77" t="s">
        <v>469</v>
      </c>
      <c r="E183" s="77" t="s">
        <v>464</v>
      </c>
      <c r="F183" s="77" t="s">
        <v>280</v>
      </c>
      <c r="G183" s="77" t="s">
        <v>470</v>
      </c>
      <c r="H183" s="77" t="s">
        <v>53</v>
      </c>
      <c r="I183" s="77" t="s">
        <v>282</v>
      </c>
      <c r="J183" s="77"/>
      <c r="K183" s="77" t="s">
        <v>89</v>
      </c>
      <c r="L183" s="77"/>
      <c r="M183" s="102" t="str">
        <f>IFERROR(VLOOKUP(G183,Reference!$I$2:$J$175,2,FALSE()),"Operations")</f>
        <v>Operations</v>
      </c>
    </row>
    <row r="184" spans="1:13" ht="15" customHeight="1" x14ac:dyDescent="0.25">
      <c r="A184" s="103"/>
      <c r="B184" s="104"/>
      <c r="C184" s="104"/>
      <c r="D184" s="103">
        <f>IF(OR(B184="",C184=""),"",IF(DATEDIF(C184,B184,"y")&gt;=1,DATEDIF(C184,B184,"y")&amp;IF(DATEDIF(C184,B184,"y")=1," year "," years ")&amp;DATEDIF(C184,B184,"ym")&amp;IF(DATEDIF(C184,B184,"ym")=1," month"," months"),IF(DATEDIF(C184,B184,"m")&gt;=1,DATEDIF(C184,B184,"m")&amp;IF(DATEDIF(C184,B184,"m")=1," month"," months"),DATEDIF(C184,B184,"d")&amp;IF(DATEDIF(C184,B184,"d")=1," day"," days"))))</f>
      </c>
      <c r="E184" s="103"/>
      <c r="F184" s="103"/>
      <c r="G184" s="103"/>
      <c r="H184" s="103"/>
      <c r="I184" s="103"/>
      <c r="J184" s="104"/>
      <c r="K184" s="103"/>
      <c r="L184" s="103"/>
      <c r="M184" s="105" t="str">
        <f>IFERROR(VLOOKUP(G184,Reference!$I$2:$J$175,2,FALSE()),"Operations")</f>
        <v>Operations</v>
      </c>
    </row>
    <row r="185" spans="1:13" ht="15" customHeight="1" x14ac:dyDescent="0.25">
      <c r="A185" s="100"/>
      <c r="B185" s="101"/>
      <c r="C185" s="101"/>
      <c r="D185" s="100">
        <f>IF(OR(B185="",C185=""),"",IF(DATEDIF(C185,B185,"y")&gt;=1,DATEDIF(C185,B185,"y")&amp;IF(DATEDIF(C185,B185,"y")=1," year "," years ")&amp;DATEDIF(C185,B185,"ym")&amp;IF(DATEDIF(C185,B185,"ym")=1," month"," months"),IF(DATEDIF(C185,B185,"m")&gt;=1,DATEDIF(C185,B185,"m")&amp;IF(DATEDIF(C185,B185,"m")=1," month"," months"),DATEDIF(C185,B185,"d")&amp;IF(DATEDIF(C185,B185,"d")=1," day"," days"))))</f>
      </c>
      <c r="E185" s="100"/>
      <c r="F185" s="100"/>
      <c r="G185" s="100"/>
      <c r="H185" s="100"/>
      <c r="I185" s="100"/>
      <c r="J185" s="101"/>
      <c r="K185" s="100"/>
      <c r="L185" s="100"/>
      <c r="M185" s="102" t="str">
        <f>IFERROR(VLOOKUP(G185,Reference!$I$2:$J$175,2,FALSE()),"Operations")</f>
        <v>Operations</v>
      </c>
    </row>
    <row r="186" spans="1:13" ht="15" customHeight="1" x14ac:dyDescent="0.25">
      <c r="A186" s="103"/>
      <c r="B186" s="104"/>
      <c r="C186" s="104"/>
      <c r="D186" s="103">
        <f>IF(OR(B186="",C186=""),"",IF(DATEDIF(C186,B186,"y")&gt;=1,DATEDIF(C186,B186,"y")&amp;IF(DATEDIF(C186,B186,"y")=1," year "," years ")&amp;DATEDIF(C186,B186,"ym")&amp;IF(DATEDIF(C186,B186,"ym")=1," month"," months"),IF(DATEDIF(C186,B186,"m")&gt;=1,DATEDIF(C186,B186,"m")&amp;IF(DATEDIF(C186,B186,"m")=1," month"," months"),DATEDIF(C186,B186,"d")&amp;IF(DATEDIF(C186,B186,"d")=1," day"," days"))))</f>
      </c>
      <c r="E186" s="103"/>
      <c r="F186" s="103"/>
      <c r="G186" s="103"/>
      <c r="H186" s="103"/>
      <c r="I186" s="103"/>
      <c r="J186" s="104"/>
      <c r="K186" s="103"/>
      <c r="L186" s="103"/>
      <c r="M186" s="105" t="str">
        <f>IFERROR(VLOOKUP(G186,Reference!$I$2:$J$175,2,FALSE()),"Operations")</f>
        <v>Operations</v>
      </c>
    </row>
    <row r="187" spans="1:13" ht="15" customHeight="1" x14ac:dyDescent="0.25">
      <c r="A187" s="100"/>
      <c r="B187" s="101"/>
      <c r="C187" s="101"/>
      <c r="D187" s="100">
        <f>IF(OR(B187="",C187=""),"",IF(DATEDIF(C187,B187,"y")&gt;=1,DATEDIF(C187,B187,"y")&amp;IF(DATEDIF(C187,B187,"y")=1," year "," years ")&amp;DATEDIF(C187,B187,"ym")&amp;IF(DATEDIF(C187,B187,"ym")=1," month"," months"),IF(DATEDIF(C187,B187,"m")&gt;=1,DATEDIF(C187,B187,"m")&amp;IF(DATEDIF(C187,B187,"m")=1," month"," months"),DATEDIF(C187,B187,"d")&amp;IF(DATEDIF(C187,B187,"d")=1," day"," days"))))</f>
      </c>
      <c r="E187" s="100"/>
      <c r="F187" s="100"/>
      <c r="G187" s="100"/>
      <c r="H187" s="100"/>
      <c r="I187" s="100"/>
      <c r="J187" s="101"/>
      <c r="K187" s="100"/>
      <c r="L187" s="100"/>
      <c r="M187" s="102" t="str">
        <f>IFERROR(VLOOKUP(G187,Reference!$I$2:$J$175,2,FALSE()),"Operations")</f>
        <v>Operations</v>
      </c>
    </row>
    <row r="188" spans="1:13" ht="15" customHeight="1" x14ac:dyDescent="0.25">
      <c r="A188" s="103"/>
      <c r="B188" s="104"/>
      <c r="C188" s="104"/>
      <c r="D188" s="103">
        <f>IF(OR(B188="",C188=""),"",IF(DATEDIF(C188,B188,"y")&gt;=1,DATEDIF(C188,B188,"y")&amp;IF(DATEDIF(C188,B188,"y")=1," year "," years ")&amp;DATEDIF(C188,B188,"ym")&amp;IF(DATEDIF(C188,B188,"ym")=1," month"," months"),IF(DATEDIF(C188,B188,"m")&gt;=1,DATEDIF(C188,B188,"m")&amp;IF(DATEDIF(C188,B188,"m")=1," month"," months"),DATEDIF(C188,B188,"d")&amp;IF(DATEDIF(C188,B188,"d")=1," day"," days"))))</f>
      </c>
      <c r="E188" s="103"/>
      <c r="F188" s="103"/>
      <c r="G188" s="103"/>
      <c r="H188" s="103"/>
      <c r="I188" s="103"/>
      <c r="J188" s="104"/>
      <c r="K188" s="103"/>
      <c r="L188" s="103"/>
      <c r="M188" s="105" t="str">
        <f>IFERROR(VLOOKUP(G188,Reference!$I$2:$J$175,2,FALSE()),"Operations")</f>
        <v>Operations</v>
      </c>
    </row>
    <row r="189" spans="1:13" ht="15" customHeight="1" x14ac:dyDescent="0.25">
      <c r="A189" s="100"/>
      <c r="B189" s="101"/>
      <c r="C189" s="101"/>
      <c r="D189" s="100">
        <f>IF(OR(B189="",C189=""),"",IF(DATEDIF(C189,B189,"y")&gt;=1,DATEDIF(C189,B189,"y")&amp;IF(DATEDIF(C189,B189,"y")=1," year "," years ")&amp;DATEDIF(C189,B189,"ym")&amp;IF(DATEDIF(C189,B189,"ym")=1," month"," months"),IF(DATEDIF(C189,B189,"m")&gt;=1,DATEDIF(C189,B189,"m")&amp;IF(DATEDIF(C189,B189,"m")=1," month"," months"),DATEDIF(C189,B189,"d")&amp;IF(DATEDIF(C189,B189,"d")=1," day"," days"))))</f>
      </c>
      <c r="E189" s="100"/>
      <c r="F189" s="100"/>
      <c r="G189" s="100"/>
      <c r="H189" s="100"/>
      <c r="I189" s="100"/>
      <c r="J189" s="101"/>
      <c r="K189" s="100"/>
      <c r="L189" s="100"/>
      <c r="M189" s="102" t="str">
        <f>IFERROR(VLOOKUP(G189,Reference!$I$2:$J$175,2,FALSE()),"Operations")</f>
        <v>Operations</v>
      </c>
    </row>
    <row r="190" spans="1:13" ht="15" customHeight="1" x14ac:dyDescent="0.25">
      <c r="A190" s="103"/>
      <c r="B190" s="104"/>
      <c r="C190" s="104"/>
      <c r="D190" s="103">
        <f>IF(OR(B190="",C190=""),"",IF(DATEDIF(C190,B190,"y")&gt;=1,DATEDIF(C190,B190,"y")&amp;IF(DATEDIF(C190,B190,"y")=1," year "," years ")&amp;DATEDIF(C190,B190,"ym")&amp;IF(DATEDIF(C190,B190,"ym")=1," month"," months"),IF(DATEDIF(C190,B190,"m")&gt;=1,DATEDIF(C190,B190,"m")&amp;IF(DATEDIF(C190,B190,"m")=1," month"," months"),DATEDIF(C190,B190,"d")&amp;IF(DATEDIF(C190,B190,"d")=1," day"," days"))))</f>
      </c>
      <c r="E190" s="103"/>
      <c r="F190" s="103"/>
      <c r="G190" s="103"/>
      <c r="H190" s="103"/>
      <c r="I190" s="103"/>
      <c r="J190" s="104"/>
      <c r="K190" s="103"/>
      <c r="L190" s="103"/>
      <c r="M190" s="105" t="str">
        <f>IFERROR(VLOOKUP(G190,Reference!$I$2:$J$175,2,FALSE()),"Operations")</f>
        <v>Operations</v>
      </c>
    </row>
    <row r="191" spans="1:13" ht="15" customHeight="1" x14ac:dyDescent="0.25">
      <c r="A191" s="100"/>
      <c r="B191" s="101"/>
      <c r="C191" s="101"/>
      <c r="D191" s="100">
        <f>IF(OR(B191="",C191=""),"",IF(DATEDIF(C191,B191,"y")&gt;=1,DATEDIF(C191,B191,"y")&amp;IF(DATEDIF(C191,B191,"y")=1," year "," years ")&amp;DATEDIF(C191,B191,"ym")&amp;IF(DATEDIF(C191,B191,"ym")=1," month"," months"),IF(DATEDIF(C191,B191,"m")&gt;=1,DATEDIF(C191,B191,"m")&amp;IF(DATEDIF(C191,B191,"m")=1," month"," months"),DATEDIF(C191,B191,"d")&amp;IF(DATEDIF(C191,B191,"d")=1," day"," days"))))</f>
      </c>
      <c r="E191" s="100"/>
      <c r="F191" s="100"/>
      <c r="G191" s="100"/>
      <c r="H191" s="100"/>
      <c r="I191" s="100"/>
      <c r="J191" s="101"/>
      <c r="K191" s="100"/>
      <c r="L191" s="100"/>
      <c r="M191" s="102" t="str">
        <f>IFERROR(VLOOKUP(G191,Reference!$I$2:$J$175,2,FALSE()),"Operations")</f>
        <v>Operations</v>
      </c>
    </row>
    <row r="192" spans="1:13" ht="15" customHeight="1" x14ac:dyDescent="0.25">
      <c r="A192" s="103"/>
      <c r="B192" s="104"/>
      <c r="C192" s="104"/>
      <c r="D192" s="103">
        <f>IF(OR(B192="",C192=""),"",IF(DATEDIF(C192,B192,"y")&gt;=1,DATEDIF(C192,B192,"y")&amp;IF(DATEDIF(C192,B192,"y")=1," year "," years ")&amp;DATEDIF(C192,B192,"ym")&amp;IF(DATEDIF(C192,B192,"ym")=1," month"," months"),IF(DATEDIF(C192,B192,"m")&gt;=1,DATEDIF(C192,B192,"m")&amp;IF(DATEDIF(C192,B192,"m")=1," month"," months"),DATEDIF(C192,B192,"d")&amp;IF(DATEDIF(C192,B192,"d")=1," day"," days"))))</f>
      </c>
      <c r="E192" s="103"/>
      <c r="F192" s="103"/>
      <c r="G192" s="103"/>
      <c r="H192" s="103"/>
      <c r="I192" s="103"/>
      <c r="J192" s="104"/>
      <c r="K192" s="103"/>
      <c r="L192" s="103"/>
      <c r="M192" s="105" t="str">
        <f>IFERROR(VLOOKUP(G192,Reference!$I$2:$J$175,2,FALSE()),"Operations")</f>
        <v>Operations</v>
      </c>
    </row>
    <row r="193" spans="1:13" ht="15" customHeight="1" x14ac:dyDescent="0.25">
      <c r="A193" s="100"/>
      <c r="B193" s="101"/>
      <c r="C193" s="101"/>
      <c r="D193" s="100">
        <f>IF(OR(B193="",C193=""),"",IF(DATEDIF(C193,B193,"y")&gt;=1,DATEDIF(C193,B193,"y")&amp;IF(DATEDIF(C193,B193,"y")=1," year "," years ")&amp;DATEDIF(C193,B193,"ym")&amp;IF(DATEDIF(C193,B193,"ym")=1," month"," months"),IF(DATEDIF(C193,B193,"m")&gt;=1,DATEDIF(C193,B193,"m")&amp;IF(DATEDIF(C193,B193,"m")=1," month"," months"),DATEDIF(C193,B193,"d")&amp;IF(DATEDIF(C193,B193,"d")=1," day"," days"))))</f>
      </c>
      <c r="E193" s="100"/>
      <c r="F193" s="100"/>
      <c r="G193" s="100"/>
      <c r="H193" s="100"/>
      <c r="I193" s="100"/>
      <c r="J193" s="101"/>
      <c r="K193" s="100"/>
      <c r="L193" s="100"/>
      <c r="M193" s="102" t="str">
        <f>IFERROR(VLOOKUP(G193,Reference!$I$2:$J$175,2,FALSE()),"Operations")</f>
        <v>Operations</v>
      </c>
    </row>
    <row r="194" spans="1:13" ht="15" customHeight="1" x14ac:dyDescent="0.25">
      <c r="A194" s="103"/>
      <c r="B194" s="104"/>
      <c r="C194" s="104"/>
      <c r="D194" s="103">
        <f>IF(OR(B194="",C194=""),"",IF(DATEDIF(C194,B194,"y")&gt;=1,DATEDIF(C194,B194,"y")&amp;IF(DATEDIF(C194,B194,"y")=1," year "," years ")&amp;DATEDIF(C194,B194,"ym")&amp;IF(DATEDIF(C194,B194,"ym")=1," month"," months"),IF(DATEDIF(C194,B194,"m")&gt;=1,DATEDIF(C194,B194,"m")&amp;IF(DATEDIF(C194,B194,"m")=1," month"," months"),DATEDIF(C194,B194,"d")&amp;IF(DATEDIF(C194,B194,"d")=1," day"," days"))))</f>
      </c>
      <c r="E194" s="103"/>
      <c r="F194" s="103"/>
      <c r="G194" s="103"/>
      <c r="H194" s="103"/>
      <c r="I194" s="103"/>
      <c r="J194" s="104"/>
      <c r="K194" s="103"/>
      <c r="L194" s="103"/>
      <c r="M194" s="105" t="str">
        <f>IFERROR(VLOOKUP(G194,Reference!$I$2:$J$175,2,FALSE()),"Operations")</f>
        <v>Operations</v>
      </c>
    </row>
    <row r="195" spans="1:13" ht="15" customHeight="1" x14ac:dyDescent="0.25">
      <c r="A195" s="100"/>
      <c r="B195" s="101"/>
      <c r="C195" s="101"/>
      <c r="D195" s="100">
        <f>IF(OR(B195="",C195=""),"",IF(DATEDIF(C195,B195,"y")&gt;=1,DATEDIF(C195,B195,"y")&amp;IF(DATEDIF(C195,B195,"y")=1," year "," years ")&amp;DATEDIF(C195,B195,"ym")&amp;IF(DATEDIF(C195,B195,"ym")=1," month"," months"),IF(DATEDIF(C195,B195,"m")&gt;=1,DATEDIF(C195,B195,"m")&amp;IF(DATEDIF(C195,B195,"m")=1," month"," months"),DATEDIF(C195,B195,"d")&amp;IF(DATEDIF(C195,B195,"d")=1," day"," days"))))</f>
      </c>
      <c r="E195" s="100"/>
      <c r="F195" s="100"/>
      <c r="G195" s="100"/>
      <c r="H195" s="100"/>
      <c r="I195" s="100"/>
      <c r="J195" s="101"/>
      <c r="K195" s="100"/>
      <c r="L195" s="100"/>
      <c r="M195" s="102" t="str">
        <f>IFERROR(VLOOKUP(G195,Reference!$I$2:$J$175,2,FALSE()),"Operations")</f>
        <v>Operations</v>
      </c>
    </row>
    <row r="196" spans="1:13" ht="15" customHeight="1" x14ac:dyDescent="0.25">
      <c r="A196" s="103"/>
      <c r="B196" s="104"/>
      <c r="C196" s="104"/>
      <c r="D196" s="103">
        <f>IF(OR(B196="",C196=""),"",IF(DATEDIF(C196,B196,"y")&gt;=1,DATEDIF(C196,B196,"y")&amp;IF(DATEDIF(C196,B196,"y")=1," year "," years ")&amp;DATEDIF(C196,B196,"ym")&amp;IF(DATEDIF(C196,B196,"ym")=1," month"," months"),IF(DATEDIF(C196,B196,"m")&gt;=1,DATEDIF(C196,B196,"m")&amp;IF(DATEDIF(C196,B196,"m")=1," month"," months"),DATEDIF(C196,B196,"d")&amp;IF(DATEDIF(C196,B196,"d")=1," day"," days"))))</f>
      </c>
      <c r="E196" s="103"/>
      <c r="F196" s="103"/>
      <c r="G196" s="103"/>
      <c r="H196" s="103"/>
      <c r="I196" s="103"/>
      <c r="J196" s="104"/>
      <c r="K196" s="103"/>
      <c r="L196" s="103"/>
      <c r="M196" s="105" t="str">
        <f>IFERROR(VLOOKUP(G196,Reference!$I$2:$J$175,2,FALSE()),"Operations")</f>
        <v>Operations</v>
      </c>
    </row>
    <row r="197" spans="1:13" ht="15" customHeight="1" x14ac:dyDescent="0.25">
      <c r="A197" s="100"/>
      <c r="B197" s="101"/>
      <c r="C197" s="101"/>
      <c r="D197" s="100">
        <f>IF(OR(B197="",C197=""),"",IF(DATEDIF(C197,B197,"y")&gt;=1,DATEDIF(C197,B197,"y")&amp;IF(DATEDIF(C197,B197,"y")=1," year "," years ")&amp;DATEDIF(C197,B197,"ym")&amp;IF(DATEDIF(C197,B197,"ym")=1," month"," months"),IF(DATEDIF(C197,B197,"m")&gt;=1,DATEDIF(C197,B197,"m")&amp;IF(DATEDIF(C197,B197,"m")=1," month"," months"),DATEDIF(C197,B197,"d")&amp;IF(DATEDIF(C197,B197,"d")=1," day"," days"))))</f>
      </c>
      <c r="E197" s="100"/>
      <c r="F197" s="100"/>
      <c r="G197" s="100"/>
      <c r="H197" s="100"/>
      <c r="I197" s="100"/>
      <c r="J197" s="101"/>
      <c r="K197" s="100"/>
      <c r="L197" s="100"/>
      <c r="M197" s="102" t="str">
        <f>IFERROR(VLOOKUP(G197,Reference!$I$2:$J$175,2,FALSE()),"Operations")</f>
        <v>Operations</v>
      </c>
    </row>
    <row r="198" spans="1:13" ht="15" customHeight="1" x14ac:dyDescent="0.25">
      <c r="A198" s="103"/>
      <c r="B198" s="104"/>
      <c r="C198" s="104"/>
      <c r="D198" s="103">
        <f>IF(OR(B198="",C198=""),"",IF(DATEDIF(C198,B198,"y")&gt;=1,DATEDIF(C198,B198,"y")&amp;IF(DATEDIF(C198,B198,"y")=1," year "," years ")&amp;DATEDIF(C198,B198,"ym")&amp;IF(DATEDIF(C198,B198,"ym")=1," month"," months"),IF(DATEDIF(C198,B198,"m")&gt;=1,DATEDIF(C198,B198,"m")&amp;IF(DATEDIF(C198,B198,"m")=1," month"," months"),DATEDIF(C198,B198,"d")&amp;IF(DATEDIF(C198,B198,"d")=1," day"," days"))))</f>
      </c>
      <c r="E198" s="103"/>
      <c r="F198" s="103"/>
      <c r="G198" s="103"/>
      <c r="H198" s="103"/>
      <c r="I198" s="103"/>
      <c r="J198" s="104"/>
      <c r="K198" s="103"/>
      <c r="L198" s="103"/>
      <c r="M198" s="105" t="str">
        <f>IFERROR(VLOOKUP(G198,Reference!$I$2:$J$175,2,FALSE()),"Operations")</f>
        <v>Operations</v>
      </c>
    </row>
    <row r="199" spans="1:13" ht="15" customHeight="1" x14ac:dyDescent="0.25">
      <c r="A199" s="100"/>
      <c r="B199" s="101"/>
      <c r="C199" s="101"/>
      <c r="D199" s="100">
        <f>IF(OR(B199="",C199=""),"",IF(DATEDIF(C199,B199,"y")&gt;=1,DATEDIF(C199,B199,"y")&amp;IF(DATEDIF(C199,B199,"y")=1," year "," years ")&amp;DATEDIF(C199,B199,"ym")&amp;IF(DATEDIF(C199,B199,"ym")=1," month"," months"),IF(DATEDIF(C199,B199,"m")&gt;=1,DATEDIF(C199,B199,"m")&amp;IF(DATEDIF(C199,B199,"m")=1," month"," months"),DATEDIF(C199,B199,"d")&amp;IF(DATEDIF(C199,B199,"d")=1," day"," days"))))</f>
      </c>
      <c r="E199" s="100"/>
      <c r="F199" s="100"/>
      <c r="G199" s="100"/>
      <c r="H199" s="100"/>
      <c r="I199" s="100"/>
      <c r="J199" s="101"/>
      <c r="K199" s="100"/>
      <c r="L199" s="100"/>
      <c r="M199" s="102" t="str">
        <f>IFERROR(VLOOKUP(G199,Reference!$I$2:$J$175,2,FALSE()),"Operations")</f>
        <v>Operations</v>
      </c>
    </row>
    <row r="200" spans="1:13" ht="15" customHeight="1" x14ac:dyDescent="0.25">
      <c r="A200" s="103"/>
      <c r="B200" s="104"/>
      <c r="C200" s="104"/>
      <c r="D200" s="103">
        <f>IF(OR(B200="",C200=""),"",IF(DATEDIF(C200,B200,"y")&gt;=1,DATEDIF(C200,B200,"y")&amp;IF(DATEDIF(C200,B200,"y")=1," year "," years ")&amp;DATEDIF(C200,B200,"ym")&amp;IF(DATEDIF(C200,B200,"ym")=1," month"," months"),IF(DATEDIF(C200,B200,"m")&gt;=1,DATEDIF(C200,B200,"m")&amp;IF(DATEDIF(C200,B200,"m")=1," month"," months"),DATEDIF(C200,B200,"d")&amp;IF(DATEDIF(C200,B200,"d")=1," day"," days"))))</f>
      </c>
      <c r="E200" s="103"/>
      <c r="F200" s="103"/>
      <c r="G200" s="103"/>
      <c r="H200" s="103"/>
      <c r="I200" s="103"/>
      <c r="J200" s="104"/>
      <c r="K200" s="103"/>
      <c r="L200" s="103"/>
      <c r="M200" s="105" t="str">
        <f>IFERROR(VLOOKUP(G200,Reference!$I$2:$J$175,2,FALSE()),"Operations")</f>
        <v>Operations</v>
      </c>
    </row>
    <row r="201" spans="1:13" ht="15" customHeight="1" x14ac:dyDescent="0.25">
      <c r="A201" s="100"/>
      <c r="B201" s="101"/>
      <c r="C201" s="101"/>
      <c r="D201" s="100">
        <f>IF(OR(B201="",C201=""),"",IF(DATEDIF(C201,B201,"y")&gt;=1,DATEDIF(C201,B201,"y")&amp;IF(DATEDIF(C201,B201,"y")=1," year "," years ")&amp;DATEDIF(C201,B201,"ym")&amp;IF(DATEDIF(C201,B201,"ym")=1," month"," months"),IF(DATEDIF(C201,B201,"m")&gt;=1,DATEDIF(C201,B201,"m")&amp;IF(DATEDIF(C201,B201,"m")=1," month"," months"),DATEDIF(C201,B201,"d")&amp;IF(DATEDIF(C201,B201,"d")=1," day"," days"))))</f>
      </c>
      <c r="E201" s="100"/>
      <c r="F201" s="100"/>
      <c r="G201" s="100"/>
      <c r="H201" s="100"/>
      <c r="I201" s="100"/>
      <c r="J201" s="101"/>
      <c r="K201" s="100"/>
      <c r="L201" s="100"/>
      <c r="M201" s="102" t="str">
        <f>IFERROR(VLOOKUP(G201,Reference!$I$2:$J$175,2,FALSE()),"Operations")</f>
        <v>Operations</v>
      </c>
    </row>
    <row r="202" spans="1:13" ht="15" customHeight="1" x14ac:dyDescent="0.25">
      <c r="A202" s="103"/>
      <c r="B202" s="104"/>
      <c r="C202" s="104"/>
      <c r="D202" s="103">
        <f>IF(OR(B202="",C202=""),"",IF(DATEDIF(C202,B202,"y")&gt;=1,DATEDIF(C202,B202,"y")&amp;IF(DATEDIF(C202,B202,"y")=1," year "," years ")&amp;DATEDIF(C202,B202,"ym")&amp;IF(DATEDIF(C202,B202,"ym")=1," month"," months"),IF(DATEDIF(C202,B202,"m")&gt;=1,DATEDIF(C202,B202,"m")&amp;IF(DATEDIF(C202,B202,"m")=1," month"," months"),DATEDIF(C202,B202,"d")&amp;IF(DATEDIF(C202,B202,"d")=1," day"," days"))))</f>
      </c>
      <c r="E202" s="103"/>
      <c r="F202" s="103"/>
      <c r="G202" s="103"/>
      <c r="H202" s="103"/>
      <c r="I202" s="103"/>
      <c r="J202" s="104"/>
      <c r="K202" s="103"/>
      <c r="L202" s="103"/>
      <c r="M202" s="105" t="str">
        <f>IFERROR(VLOOKUP(G202,Reference!$I$2:$J$175,2,FALSE()),"Operations")</f>
        <v>Operations</v>
      </c>
    </row>
    <row r="203" spans="1:13" ht="15" customHeight="1" x14ac:dyDescent="0.25">
      <c r="A203" s="100"/>
      <c r="B203" s="101"/>
      <c r="C203" s="101"/>
      <c r="D203" s="100">
        <f>IF(OR(B203="",C203=""),"",IF(DATEDIF(C203,B203,"y")&gt;=1,DATEDIF(C203,B203,"y")&amp;IF(DATEDIF(C203,B203,"y")=1," year "," years ")&amp;DATEDIF(C203,B203,"ym")&amp;IF(DATEDIF(C203,B203,"ym")=1," month"," months"),IF(DATEDIF(C203,B203,"m")&gt;=1,DATEDIF(C203,B203,"m")&amp;IF(DATEDIF(C203,B203,"m")=1," month"," months"),DATEDIF(C203,B203,"d")&amp;IF(DATEDIF(C203,B203,"d")=1," day"," days"))))</f>
      </c>
      <c r="E203" s="100"/>
      <c r="F203" s="100"/>
      <c r="G203" s="100"/>
      <c r="H203" s="100"/>
      <c r="I203" s="100"/>
      <c r="J203" s="101"/>
      <c r="K203" s="100"/>
      <c r="L203" s="100"/>
      <c r="M203" s="102" t="str">
        <f>IFERROR(VLOOKUP(G203,Reference!$I$2:$J$175,2,FALSE()),"Operations")</f>
        <v>Operations</v>
      </c>
    </row>
    <row r="204" spans="1:13" ht="15" customHeight="1" x14ac:dyDescent="0.25">
      <c r="A204" s="103"/>
      <c r="B204" s="104"/>
      <c r="C204" s="104"/>
      <c r="D204" s="103">
        <f>IF(OR(B204="",C204=""),"",IF(DATEDIF(C204,B204,"y")&gt;=1,DATEDIF(C204,B204,"y")&amp;IF(DATEDIF(C204,B204,"y")=1," year "," years ")&amp;DATEDIF(C204,B204,"ym")&amp;IF(DATEDIF(C204,B204,"ym")=1," month"," months"),IF(DATEDIF(C204,B204,"m")&gt;=1,DATEDIF(C204,B204,"m")&amp;IF(DATEDIF(C204,B204,"m")=1," month"," months"),DATEDIF(C204,B204,"d")&amp;IF(DATEDIF(C204,B204,"d")=1," day"," days"))))</f>
      </c>
      <c r="E204" s="103"/>
      <c r="F204" s="103"/>
      <c r="G204" s="103"/>
      <c r="H204" s="103"/>
      <c r="I204" s="103"/>
      <c r="J204" s="104"/>
      <c r="K204" s="103"/>
      <c r="L204" s="103"/>
      <c r="M204" s="105" t="str">
        <f>IFERROR(VLOOKUP(G204,Reference!$I$2:$J$175,2,FALSE()),"Operations")</f>
        <v>Operations</v>
      </c>
    </row>
    <row r="205" spans="1:13" ht="15" customHeight="1" x14ac:dyDescent="0.25">
      <c r="A205" s="100"/>
      <c r="B205" s="101"/>
      <c r="C205" s="101"/>
      <c r="D205" s="100">
        <f>IF(OR(B205="",C205=""),"",IF(DATEDIF(C205,B205,"y")&gt;=1,DATEDIF(C205,B205,"y")&amp;IF(DATEDIF(C205,B205,"y")=1," year "," years ")&amp;DATEDIF(C205,B205,"ym")&amp;IF(DATEDIF(C205,B205,"ym")=1," month"," months"),IF(DATEDIF(C205,B205,"m")&gt;=1,DATEDIF(C205,B205,"m")&amp;IF(DATEDIF(C205,B205,"m")=1," month"," months"),DATEDIF(C205,B205,"d")&amp;IF(DATEDIF(C205,B205,"d")=1," day"," days"))))</f>
      </c>
      <c r="E205" s="100"/>
      <c r="F205" s="100"/>
      <c r="G205" s="100"/>
      <c r="H205" s="100"/>
      <c r="I205" s="100"/>
      <c r="J205" s="101"/>
      <c r="K205" s="100"/>
      <c r="L205" s="100"/>
      <c r="M205" s="102" t="str">
        <f>IFERROR(VLOOKUP(G205,Reference!$I$2:$J$175,2,FALSE()),"Operations")</f>
        <v>Operations</v>
      </c>
    </row>
    <row r="206" spans="1:13" ht="15" customHeight="1" x14ac:dyDescent="0.25">
      <c r="A206" s="103"/>
      <c r="B206" s="104"/>
      <c r="C206" s="104"/>
      <c r="D206" s="103">
        <f>IF(OR(B206="",C206=""),"",IF(DATEDIF(C206,B206,"y")&gt;=1,DATEDIF(C206,B206,"y")&amp;IF(DATEDIF(C206,B206,"y")=1," year "," years ")&amp;DATEDIF(C206,B206,"ym")&amp;IF(DATEDIF(C206,B206,"ym")=1," month"," months"),IF(DATEDIF(C206,B206,"m")&gt;=1,DATEDIF(C206,B206,"m")&amp;IF(DATEDIF(C206,B206,"m")=1," month"," months"),DATEDIF(C206,B206,"d")&amp;IF(DATEDIF(C206,B206,"d")=1," day"," days"))))</f>
      </c>
      <c r="E206" s="103"/>
      <c r="F206" s="103"/>
      <c r="G206" s="103"/>
      <c r="H206" s="103"/>
      <c r="I206" s="103"/>
      <c r="J206" s="104"/>
      <c r="K206" s="103"/>
      <c r="L206" s="103"/>
      <c r="M206" s="105" t="str">
        <f>IFERROR(VLOOKUP(G206,Reference!$I$2:$J$175,2,FALSE()),"Operations")</f>
        <v>Operations</v>
      </c>
    </row>
    <row r="207" spans="1:13" ht="15" customHeight="1" x14ac:dyDescent="0.25">
      <c r="A207" s="100"/>
      <c r="B207" s="101"/>
      <c r="C207" s="101"/>
      <c r="D207" s="100">
        <f>IF(OR(B207="",C207=""),"",IF(DATEDIF(C207,B207,"y")&gt;=1,DATEDIF(C207,B207,"y")&amp;IF(DATEDIF(C207,B207,"y")=1," year "," years ")&amp;DATEDIF(C207,B207,"ym")&amp;IF(DATEDIF(C207,B207,"ym")=1," month"," months"),IF(DATEDIF(C207,B207,"m")&gt;=1,DATEDIF(C207,B207,"m")&amp;IF(DATEDIF(C207,B207,"m")=1," month"," months"),DATEDIF(C207,B207,"d")&amp;IF(DATEDIF(C207,B207,"d")=1," day"," days"))))</f>
      </c>
      <c r="E207" s="100"/>
      <c r="F207" s="100"/>
      <c r="G207" s="100"/>
      <c r="H207" s="100"/>
      <c r="I207" s="100"/>
      <c r="J207" s="101"/>
      <c r="K207" s="100"/>
      <c r="L207" s="100"/>
      <c r="M207" s="102" t="str">
        <f>IFERROR(VLOOKUP(G207,Reference!$I$2:$J$175,2,FALSE()),"Operations")</f>
        <v>Operations</v>
      </c>
    </row>
    <row r="208" spans="1:13" ht="15" customHeight="1" x14ac:dyDescent="0.25">
      <c r="A208" s="103"/>
      <c r="B208" s="104"/>
      <c r="C208" s="104"/>
      <c r="D208" s="103">
        <f>IF(OR(B208="",C208=""),"",IF(DATEDIF(C208,B208,"y")&gt;=1,DATEDIF(C208,B208,"y")&amp;IF(DATEDIF(C208,B208,"y")=1," year "," years ")&amp;DATEDIF(C208,B208,"ym")&amp;IF(DATEDIF(C208,B208,"ym")=1," month"," months"),IF(DATEDIF(C208,B208,"m")&gt;=1,DATEDIF(C208,B208,"m")&amp;IF(DATEDIF(C208,B208,"m")=1," month"," months"),DATEDIF(C208,B208,"d")&amp;IF(DATEDIF(C208,B208,"d")=1," day"," days"))))</f>
      </c>
      <c r="E208" s="103"/>
      <c r="F208" s="103"/>
      <c r="G208" s="103"/>
      <c r="H208" s="103"/>
      <c r="I208" s="103"/>
      <c r="J208" s="104"/>
      <c r="K208" s="103"/>
      <c r="L208" s="103"/>
      <c r="M208" s="105" t="str">
        <f>IFERROR(VLOOKUP(G208,Reference!$I$2:$J$175,2,FALSE()),"Operations")</f>
        <v>Operations</v>
      </c>
    </row>
    <row r="209" spans="1:13" ht="15" customHeight="1" x14ac:dyDescent="0.25">
      <c r="A209" s="106" t="s">
        <v>163</v>
      </c>
      <c r="B209" s="107">
        <f>COUNTA(A179:A208)</f>
        <v>5</v>
      </c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</row>
    <row r="210" spans="1:13" ht="6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</row>
    <row r="211" spans="1:13" ht="21.75" customHeight="1" x14ac:dyDescent="0.25">
      <c r="A211" s="163" t="s">
        <v>471</v>
      </c>
      <c r="B211" s="163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</row>
    <row r="212" spans="1:13" ht="19.5" customHeight="1" x14ac:dyDescent="0.25">
      <c r="A212" s="64" t="s">
        <v>151</v>
      </c>
      <c r="B212" s="64" t="s">
        <v>152</v>
      </c>
      <c r="C212" s="64" t="s">
        <v>153</v>
      </c>
      <c r="D212" s="64" t="s">
        <v>154</v>
      </c>
      <c r="E212" s="64" t="s">
        <v>155</v>
      </c>
      <c r="F212" s="64" t="s">
        <v>156</v>
      </c>
      <c r="G212" s="64" t="s">
        <v>157</v>
      </c>
      <c r="H212" s="64" t="s">
        <v>158</v>
      </c>
      <c r="I212" s="64" t="s">
        <v>159</v>
      </c>
      <c r="J212" s="64" t="s">
        <v>160</v>
      </c>
      <c r="K212" s="64" t="s">
        <v>134</v>
      </c>
      <c r="L212" s="64" t="s">
        <v>161</v>
      </c>
      <c r="M212" s="64" t="s">
        <v>162</v>
      </c>
    </row>
    <row r="213" spans="1:13" ht="15" customHeight="1" x14ac:dyDescent="0.25">
      <c r="A213" s="77" t="s">
        <v>472</v>
      </c>
      <c r="B213" s="111">
        <v>45841</v>
      </c>
      <c r="C213" s="111">
        <v>42552</v>
      </c>
      <c r="D213" s="77" t="str">
        <f t="shared" ref="D213:D228" si="0">IF(OR(B213="",C213=""),"",IF(DATEDIF(C213,B213,"y")&gt;=1,DATEDIF(C213,B213,"y")&amp;IF(DATEDIF(C213,B213,"y")=1," year "," years ")&amp;DATEDIF(C213,B213,"ym")&amp;IF(DATEDIF(C213,B213,"ym")=1," month"," months"),IF(DATEDIF(C213,B213,"m")&gt;=1,DATEDIF(C213,B213,"m")&amp;IF(DATEDIF(C213,B213,"m")=1," month"," months"),DATEDIF(C213,B213,"d")&amp;IF(DATEDIF(C213,B213,"d")=1," day"," days"))))</f>
        <v>9 years 0 months</v>
      </c>
      <c r="E213" s="77" t="s">
        <v>179</v>
      </c>
      <c r="F213" s="77" t="s">
        <v>191</v>
      </c>
      <c r="G213" s="77" t="s">
        <v>473</v>
      </c>
      <c r="H213" s="77" t="s">
        <v>53</v>
      </c>
      <c r="I213" s="77" t="s">
        <v>404</v>
      </c>
      <c r="J213" s="111">
        <v>45840</v>
      </c>
      <c r="K213" s="77" t="s">
        <v>76</v>
      </c>
      <c r="L213" s="77"/>
      <c r="M213" s="102" t="str">
        <f>IFERROR(VLOOKUP(G213,Reference!$I$2:$J$175,2,FALSE()),"Operations")</f>
        <v>Children Services</v>
      </c>
    </row>
    <row r="214" spans="1:13" ht="15" customHeight="1" x14ac:dyDescent="0.25">
      <c r="A214" s="80" t="s">
        <v>474</v>
      </c>
      <c r="B214" s="112">
        <v>45846</v>
      </c>
      <c r="C214" s="112">
        <v>45778</v>
      </c>
      <c r="D214" s="80" t="str">
        <f t="shared" si="0"/>
        <v>2 months</v>
      </c>
      <c r="E214" s="80" t="s">
        <v>179</v>
      </c>
      <c r="F214" s="80" t="s">
        <v>180</v>
      </c>
      <c r="G214" s="80" t="s">
        <v>475</v>
      </c>
      <c r="H214" s="80" t="s">
        <v>53</v>
      </c>
      <c r="I214" s="80" t="s">
        <v>476</v>
      </c>
      <c r="J214" s="80" t="s">
        <v>194</v>
      </c>
      <c r="K214" s="80" t="s">
        <v>66</v>
      </c>
      <c r="L214" s="80"/>
      <c r="M214" s="105" t="str">
        <f>IFERROR(VLOOKUP(G214,Reference!$I$2:$J$175,2,FALSE()),"Operations")</f>
        <v>Operations</v>
      </c>
    </row>
    <row r="215" spans="1:13" ht="15" customHeight="1" x14ac:dyDescent="0.25">
      <c r="A215" s="77" t="s">
        <v>477</v>
      </c>
      <c r="B215" s="111">
        <v>45846</v>
      </c>
      <c r="C215" s="111">
        <v>45082</v>
      </c>
      <c r="D215" s="77" t="str">
        <f t="shared" si="0"/>
        <v>2 years 1 month</v>
      </c>
      <c r="E215" s="77" t="s">
        <v>184</v>
      </c>
      <c r="F215" s="77" t="s">
        <v>191</v>
      </c>
      <c r="G215" s="77" t="s">
        <v>403</v>
      </c>
      <c r="H215" s="77" t="s">
        <v>53</v>
      </c>
      <c r="I215" s="77" t="s">
        <v>404</v>
      </c>
      <c r="J215" s="77" t="s">
        <v>194</v>
      </c>
      <c r="K215" s="77" t="s">
        <v>76</v>
      </c>
      <c r="L215" s="77"/>
      <c r="M215" s="102" t="str">
        <f>IFERROR(VLOOKUP(G215,Reference!$I$2:$J$175,2,FALSE()),"Operations")</f>
        <v>Children Services</v>
      </c>
    </row>
    <row r="216" spans="1:13" ht="15" customHeight="1" x14ac:dyDescent="0.25">
      <c r="A216" s="80" t="s">
        <v>478</v>
      </c>
      <c r="B216" s="112">
        <v>45846</v>
      </c>
      <c r="C216" s="112">
        <v>44655</v>
      </c>
      <c r="D216" s="80" t="str">
        <f t="shared" si="0"/>
        <v>3 years 3 months</v>
      </c>
      <c r="E216" s="80" t="s">
        <v>179</v>
      </c>
      <c r="F216" s="80" t="s">
        <v>180</v>
      </c>
      <c r="G216" s="80" t="s">
        <v>479</v>
      </c>
      <c r="H216" s="80" t="s">
        <v>53</v>
      </c>
      <c r="I216" s="80" t="s">
        <v>224</v>
      </c>
      <c r="J216" s="80" t="s">
        <v>110</v>
      </c>
      <c r="K216" s="80" t="s">
        <v>87</v>
      </c>
      <c r="L216" s="80"/>
      <c r="M216" s="105" t="str">
        <f>IFERROR(VLOOKUP(G216,Reference!$I$2:$J$175,2,FALSE()),"Operations")</f>
        <v>Operations</v>
      </c>
    </row>
    <row r="217" spans="1:13" ht="15" customHeight="1" x14ac:dyDescent="0.25">
      <c r="A217" s="77" t="s">
        <v>480</v>
      </c>
      <c r="B217" s="111">
        <v>45847</v>
      </c>
      <c r="C217" s="111">
        <v>45516</v>
      </c>
      <c r="D217" s="77" t="str">
        <f t="shared" si="0"/>
        <v>10 months</v>
      </c>
      <c r="E217" s="77" t="s">
        <v>184</v>
      </c>
      <c r="F217" s="77" t="s">
        <v>180</v>
      </c>
      <c r="G217" s="77" t="s">
        <v>481</v>
      </c>
      <c r="H217" s="77" t="s">
        <v>53</v>
      </c>
      <c r="I217" s="77" t="s">
        <v>482</v>
      </c>
      <c r="J217" s="77" t="s">
        <v>110</v>
      </c>
      <c r="K217" s="77" t="s">
        <v>74</v>
      </c>
      <c r="L217" s="77"/>
      <c r="M217" s="102" t="str">
        <f>IFERROR(VLOOKUP(G217,Reference!$I$2:$J$175,2,FALSE()),"Operations")</f>
        <v>Professional Services</v>
      </c>
    </row>
    <row r="218" spans="1:13" ht="15" customHeight="1" x14ac:dyDescent="0.25">
      <c r="A218" s="80" t="s">
        <v>437</v>
      </c>
      <c r="B218" s="112">
        <v>45850</v>
      </c>
      <c r="C218" s="112">
        <v>45536</v>
      </c>
      <c r="D218" s="80" t="str">
        <f t="shared" si="0"/>
        <v>10 months</v>
      </c>
      <c r="E218" s="80" t="s">
        <v>179</v>
      </c>
      <c r="F218" s="80" t="s">
        <v>180</v>
      </c>
      <c r="G218" s="80" t="s">
        <v>445</v>
      </c>
      <c r="H218" s="80" t="s">
        <v>53</v>
      </c>
      <c r="I218" s="80" t="s">
        <v>404</v>
      </c>
      <c r="J218" s="80" t="s">
        <v>110</v>
      </c>
      <c r="K218" s="80" t="s">
        <v>483</v>
      </c>
      <c r="L218" s="80"/>
      <c r="M218" s="105" t="str">
        <f>IFERROR(VLOOKUP(G218,Reference!$I$2:$J$175,2,FALSE()),"Operations")</f>
        <v>Children Services</v>
      </c>
    </row>
    <row r="219" spans="1:13" ht="15" customHeight="1" x14ac:dyDescent="0.25">
      <c r="A219" s="77" t="s">
        <v>484</v>
      </c>
      <c r="B219" s="111">
        <v>45850</v>
      </c>
      <c r="C219" s="111">
        <v>45593</v>
      </c>
      <c r="D219" s="77" t="str">
        <f t="shared" si="0"/>
        <v>8 months</v>
      </c>
      <c r="E219" s="77" t="s">
        <v>184</v>
      </c>
      <c r="F219" s="77" t="s">
        <v>191</v>
      </c>
      <c r="G219" s="77" t="s">
        <v>303</v>
      </c>
      <c r="H219" s="77" t="s">
        <v>53</v>
      </c>
      <c r="I219" s="77" t="s">
        <v>304</v>
      </c>
      <c r="J219" s="111">
        <v>45860</v>
      </c>
      <c r="K219" s="77" t="s">
        <v>83</v>
      </c>
      <c r="L219" s="77"/>
      <c r="M219" s="102" t="str">
        <f>IFERROR(VLOOKUP(G219,Reference!$I$2:$J$175,2,FALSE()),"Operations")</f>
        <v>Children Services</v>
      </c>
    </row>
    <row r="220" spans="1:13" ht="15" customHeight="1" x14ac:dyDescent="0.25">
      <c r="A220" s="80" t="s">
        <v>485</v>
      </c>
      <c r="B220" s="112">
        <v>45850</v>
      </c>
      <c r="C220" s="112">
        <v>45824</v>
      </c>
      <c r="D220" s="80" t="str">
        <f t="shared" si="0"/>
        <v>26 days</v>
      </c>
      <c r="E220" s="80" t="s">
        <v>179</v>
      </c>
      <c r="F220" s="80" t="s">
        <v>180</v>
      </c>
      <c r="G220" s="80" t="s">
        <v>486</v>
      </c>
      <c r="H220" s="80" t="s">
        <v>53</v>
      </c>
      <c r="I220" s="80" t="s">
        <v>487</v>
      </c>
      <c r="J220" s="80" t="s">
        <v>194</v>
      </c>
      <c r="K220" s="80" t="s">
        <v>66</v>
      </c>
      <c r="L220" s="80"/>
      <c r="M220" s="105" t="str">
        <f>IFERROR(VLOOKUP(G220,Reference!$I$2:$J$175,2,FALSE()),"Operations")</f>
        <v>Operations</v>
      </c>
    </row>
    <row r="221" spans="1:13" ht="15" customHeight="1" x14ac:dyDescent="0.25">
      <c r="A221" s="77" t="s">
        <v>488</v>
      </c>
      <c r="B221" s="111">
        <v>45856</v>
      </c>
      <c r="C221" s="111">
        <v>45709</v>
      </c>
      <c r="D221" s="77" t="str">
        <f t="shared" si="0"/>
        <v>4 months</v>
      </c>
      <c r="E221" s="77" t="s">
        <v>179</v>
      </c>
      <c r="F221" s="77" t="s">
        <v>180</v>
      </c>
      <c r="G221" s="77" t="s">
        <v>199</v>
      </c>
      <c r="H221" s="77" t="s">
        <v>53</v>
      </c>
      <c r="I221" s="77" t="s">
        <v>377</v>
      </c>
      <c r="J221" s="111">
        <v>45863</v>
      </c>
      <c r="K221" s="77" t="s">
        <v>66</v>
      </c>
      <c r="L221" s="77"/>
      <c r="M221" s="102" t="str">
        <f>IFERROR(VLOOKUP(G221,Reference!$I$2:$J$175,2,FALSE()),"Operations")</f>
        <v>Operations</v>
      </c>
    </row>
    <row r="222" spans="1:13" ht="15" customHeight="1" x14ac:dyDescent="0.25">
      <c r="A222" s="80" t="s">
        <v>489</v>
      </c>
      <c r="B222" s="112">
        <v>45860</v>
      </c>
      <c r="C222" s="112">
        <v>45726</v>
      </c>
      <c r="D222" s="80" t="str">
        <f t="shared" si="0"/>
        <v>4 months</v>
      </c>
      <c r="E222" s="80" t="s">
        <v>179</v>
      </c>
      <c r="F222" s="80" t="s">
        <v>180</v>
      </c>
      <c r="G222" s="80" t="s">
        <v>490</v>
      </c>
      <c r="H222" s="80" t="s">
        <v>53</v>
      </c>
      <c r="I222" s="80" t="s">
        <v>491</v>
      </c>
      <c r="J222" s="80" t="s">
        <v>110</v>
      </c>
      <c r="K222" s="80" t="s">
        <v>66</v>
      </c>
      <c r="L222" s="80"/>
      <c r="M222" s="105" t="str">
        <f>IFERROR(VLOOKUP(G222,Reference!$I$2:$J$175,2,FALSE()),"Operations")</f>
        <v>Operations</v>
      </c>
    </row>
    <row r="223" spans="1:13" ht="15" customHeight="1" x14ac:dyDescent="0.25">
      <c r="A223" s="77" t="s">
        <v>492</v>
      </c>
      <c r="B223" s="111">
        <v>45860</v>
      </c>
      <c r="C223" s="111">
        <v>45689</v>
      </c>
      <c r="D223" s="77" t="str">
        <f t="shared" si="0"/>
        <v>5 months</v>
      </c>
      <c r="E223" s="77" t="s">
        <v>184</v>
      </c>
      <c r="F223" s="77" t="s">
        <v>191</v>
      </c>
      <c r="G223" s="77" t="s">
        <v>493</v>
      </c>
      <c r="H223" s="77" t="s">
        <v>53</v>
      </c>
      <c r="I223" s="77" t="s">
        <v>494</v>
      </c>
      <c r="J223" s="111">
        <v>45862</v>
      </c>
      <c r="K223" s="77" t="s">
        <v>66</v>
      </c>
      <c r="L223" s="77"/>
      <c r="M223" s="102" t="str">
        <f>IFERROR(VLOOKUP(G223,Reference!$I$2:$J$175,2,FALSE()),"Operations")</f>
        <v>Operations</v>
      </c>
    </row>
    <row r="224" spans="1:13" ht="15" customHeight="1" x14ac:dyDescent="0.25">
      <c r="A224" s="80" t="s">
        <v>495</v>
      </c>
      <c r="B224" s="112">
        <v>45861</v>
      </c>
      <c r="C224" s="112">
        <v>45704</v>
      </c>
      <c r="D224" s="80" t="str">
        <f t="shared" si="0"/>
        <v>5 months</v>
      </c>
      <c r="E224" s="80" t="s">
        <v>179</v>
      </c>
      <c r="F224" s="80" t="s">
        <v>180</v>
      </c>
      <c r="G224" s="80" t="s">
        <v>293</v>
      </c>
      <c r="H224" s="80" t="s">
        <v>53</v>
      </c>
      <c r="I224" s="80" t="s">
        <v>496</v>
      </c>
      <c r="J224" s="80" t="s">
        <v>194</v>
      </c>
      <c r="K224" s="80" t="s">
        <v>66</v>
      </c>
      <c r="L224" s="80"/>
      <c r="M224" s="105" t="str">
        <f>IFERROR(VLOOKUP(G224,Reference!$I$2:$J$175,2,FALSE()),"Operations")</f>
        <v>Operations</v>
      </c>
    </row>
    <row r="225" spans="1:13" ht="15" customHeight="1" x14ac:dyDescent="0.25">
      <c r="A225" s="77" t="s">
        <v>497</v>
      </c>
      <c r="B225" s="111">
        <v>45862</v>
      </c>
      <c r="C225" s="111">
        <v>45778</v>
      </c>
      <c r="D225" s="77" t="str">
        <f t="shared" si="0"/>
        <v>2 months</v>
      </c>
      <c r="E225" s="77" t="s">
        <v>179</v>
      </c>
      <c r="F225" s="77" t="s">
        <v>180</v>
      </c>
      <c r="G225" s="77" t="s">
        <v>234</v>
      </c>
      <c r="H225" s="77" t="s">
        <v>53</v>
      </c>
      <c r="I225" s="77" t="s">
        <v>394</v>
      </c>
      <c r="J225" s="77" t="s">
        <v>194</v>
      </c>
      <c r="K225" s="77" t="s">
        <v>66</v>
      </c>
      <c r="L225" s="77"/>
      <c r="M225" s="102" t="str">
        <f>IFERROR(VLOOKUP(G225,Reference!$I$2:$J$175,2,FALSE()),"Operations")</f>
        <v>Operations</v>
      </c>
    </row>
    <row r="226" spans="1:13" ht="15" customHeight="1" x14ac:dyDescent="0.25">
      <c r="A226" s="80" t="s">
        <v>498</v>
      </c>
      <c r="B226" s="112">
        <v>45862</v>
      </c>
      <c r="C226" s="112">
        <v>45852</v>
      </c>
      <c r="D226" s="80" t="str">
        <f t="shared" si="0"/>
        <v>10 days</v>
      </c>
      <c r="E226" s="80" t="s">
        <v>179</v>
      </c>
      <c r="F226" s="80" t="s">
        <v>180</v>
      </c>
      <c r="G226" s="80" t="s">
        <v>499</v>
      </c>
      <c r="H226" s="80" t="s">
        <v>53</v>
      </c>
      <c r="I226" s="80" t="s">
        <v>189</v>
      </c>
      <c r="J226" s="80" t="s">
        <v>194</v>
      </c>
      <c r="K226" s="80" t="s">
        <v>66</v>
      </c>
      <c r="L226" s="80"/>
      <c r="M226" s="105" t="str">
        <f>IFERROR(VLOOKUP(G226,Reference!$I$2:$J$175,2,FALSE()),"Operations")</f>
        <v>Operations</v>
      </c>
    </row>
    <row r="227" spans="1:13" ht="15" customHeight="1" x14ac:dyDescent="0.25">
      <c r="A227" s="77" t="s">
        <v>500</v>
      </c>
      <c r="B227" s="111">
        <v>45863</v>
      </c>
      <c r="C227" s="111">
        <v>43857</v>
      </c>
      <c r="D227" s="77" t="str">
        <f t="shared" si="0"/>
        <v>5 years 5 months</v>
      </c>
      <c r="E227" s="77" t="s">
        <v>184</v>
      </c>
      <c r="F227" s="77" t="s">
        <v>191</v>
      </c>
      <c r="G227" s="77" t="s">
        <v>403</v>
      </c>
      <c r="H227" s="77" t="s">
        <v>53</v>
      </c>
      <c r="I227" s="77" t="s">
        <v>404</v>
      </c>
      <c r="J227" s="111">
        <v>45863</v>
      </c>
      <c r="K227" s="77" t="s">
        <v>76</v>
      </c>
      <c r="L227" s="77"/>
      <c r="M227" s="102" t="str">
        <f>IFERROR(VLOOKUP(G227,Reference!$I$2:$J$175,2,FALSE()),"Operations")</f>
        <v>Children Services</v>
      </c>
    </row>
    <row r="228" spans="1:13" ht="15" customHeight="1" x14ac:dyDescent="0.25">
      <c r="A228" s="80" t="s">
        <v>501</v>
      </c>
      <c r="B228" s="112">
        <v>45869</v>
      </c>
      <c r="C228" s="112">
        <v>44652</v>
      </c>
      <c r="D228" s="80" t="str">
        <f t="shared" si="0"/>
        <v>3 years 3 months</v>
      </c>
      <c r="E228" s="80" t="s">
        <v>184</v>
      </c>
      <c r="F228" s="80" t="s">
        <v>180</v>
      </c>
      <c r="G228" s="80" t="s">
        <v>481</v>
      </c>
      <c r="H228" s="80" t="s">
        <v>53</v>
      </c>
      <c r="I228" s="80" t="s">
        <v>186</v>
      </c>
      <c r="J228" s="112">
        <v>45868</v>
      </c>
      <c r="K228" s="80" t="s">
        <v>483</v>
      </c>
      <c r="L228" s="80"/>
      <c r="M228" s="105" t="str">
        <f>IFERROR(VLOOKUP(G228,Reference!$I$2:$J$175,2,FALSE()),"Operations")</f>
        <v>Professional Services</v>
      </c>
    </row>
    <row r="229" spans="1:13" ht="15" customHeight="1" x14ac:dyDescent="0.25">
      <c r="A229" s="100"/>
      <c r="B229" s="101"/>
      <c r="C229" s="101"/>
      <c r="D229" s="100">
        <f>IF(OR(B229="",C229=""),"",IF(DATEDIF(C229,B229,"y")&gt;=1,DATEDIF(C229,B229,"y")&amp;IF(DATEDIF(C229,B229,"y")=1," year "," years ")&amp;DATEDIF(C229,B229,"ym")&amp;IF(DATEDIF(C229,B229,"ym")=1," month"," months"),IF(DATEDIF(C229,B229,"m")&gt;=1,DATEDIF(C229,B229,"m")&amp;IF(DATEDIF(C229,B229,"m")=1," month"," months"),DATEDIF(C229,B229,"d")&amp;IF(DATEDIF(C229,B229,"d")=1," day"," days"))))</f>
      </c>
      <c r="E229" s="100"/>
      <c r="F229" s="100"/>
      <c r="G229" s="100"/>
      <c r="H229" s="100"/>
      <c r="I229" s="100"/>
      <c r="J229" s="101"/>
      <c r="K229" s="100"/>
      <c r="L229" s="100"/>
      <c r="M229" s="102" t="str">
        <f>IFERROR(VLOOKUP(G229,Reference!$I$2:$J$175,2,FALSE()),"Operations")</f>
        <v>Operations</v>
      </c>
    </row>
    <row r="230" spans="1:13" ht="15" customHeight="1" x14ac:dyDescent="0.25">
      <c r="A230" s="103"/>
      <c r="B230" s="104"/>
      <c r="C230" s="104"/>
      <c r="D230" s="103">
        <f>IF(OR(B230="",C230=""),"",IF(DATEDIF(C230,B230,"y")&gt;=1,DATEDIF(C230,B230,"y")&amp;IF(DATEDIF(C230,B230,"y")=1," year "," years ")&amp;DATEDIF(C230,B230,"ym")&amp;IF(DATEDIF(C230,B230,"ym")=1," month"," months"),IF(DATEDIF(C230,B230,"m")&gt;=1,DATEDIF(C230,B230,"m")&amp;IF(DATEDIF(C230,B230,"m")=1," month"," months"),DATEDIF(C230,B230,"d")&amp;IF(DATEDIF(C230,B230,"d")=1," day"," days"))))</f>
      </c>
      <c r="E230" s="103"/>
      <c r="F230" s="103"/>
      <c r="G230" s="103"/>
      <c r="H230" s="103"/>
      <c r="I230" s="103"/>
      <c r="J230" s="104"/>
      <c r="K230" s="103"/>
      <c r="L230" s="103"/>
      <c r="M230" s="105" t="str">
        <f>IFERROR(VLOOKUP(G230,Reference!$I$2:$J$175,2,FALSE()),"Operations")</f>
        <v>Operations</v>
      </c>
    </row>
    <row r="231" spans="1:13" ht="15" customHeight="1" x14ac:dyDescent="0.25">
      <c r="A231" s="100"/>
      <c r="B231" s="101"/>
      <c r="C231" s="101"/>
      <c r="D231" s="100">
        <f>IF(OR(B231="",C231=""),"",IF(DATEDIF(C231,B231,"y")&gt;=1,DATEDIF(C231,B231,"y")&amp;IF(DATEDIF(C231,B231,"y")=1," year "," years ")&amp;DATEDIF(C231,B231,"ym")&amp;IF(DATEDIF(C231,B231,"ym")=1," month"," months"),IF(DATEDIF(C231,B231,"m")&gt;=1,DATEDIF(C231,B231,"m")&amp;IF(DATEDIF(C231,B231,"m")=1," month"," months"),DATEDIF(C231,B231,"d")&amp;IF(DATEDIF(C231,B231,"d")=1," day"," days"))))</f>
      </c>
      <c r="E231" s="100"/>
      <c r="F231" s="100"/>
      <c r="G231" s="100"/>
      <c r="H231" s="100"/>
      <c r="I231" s="100"/>
      <c r="J231" s="101"/>
      <c r="K231" s="100"/>
      <c r="L231" s="100"/>
      <c r="M231" s="102" t="str">
        <f>IFERROR(VLOOKUP(G231,Reference!$I$2:$J$175,2,FALSE()),"Operations")</f>
        <v>Operations</v>
      </c>
    </row>
    <row r="232" spans="1:13" ht="15" customHeight="1" x14ac:dyDescent="0.25">
      <c r="A232" s="103"/>
      <c r="B232" s="104"/>
      <c r="C232" s="104"/>
      <c r="D232" s="103">
        <f>IF(OR(B232="",C232=""),"",IF(DATEDIF(C232,B232,"y")&gt;=1,DATEDIF(C232,B232,"y")&amp;IF(DATEDIF(C232,B232,"y")=1," year "," years ")&amp;DATEDIF(C232,B232,"ym")&amp;IF(DATEDIF(C232,B232,"ym")=1," month"," months"),IF(DATEDIF(C232,B232,"m")&gt;=1,DATEDIF(C232,B232,"m")&amp;IF(DATEDIF(C232,B232,"m")=1," month"," months"),DATEDIF(C232,B232,"d")&amp;IF(DATEDIF(C232,B232,"d")=1," day"," days"))))</f>
      </c>
      <c r="E232" s="103"/>
      <c r="F232" s="103"/>
      <c r="G232" s="103"/>
      <c r="H232" s="103"/>
      <c r="I232" s="103"/>
      <c r="J232" s="104"/>
      <c r="K232" s="103"/>
      <c r="L232" s="103"/>
      <c r="M232" s="105" t="str">
        <f>IFERROR(VLOOKUP(G232,Reference!$I$2:$J$175,2,FALSE()),"Operations")</f>
        <v>Operations</v>
      </c>
    </row>
    <row r="233" spans="1:13" ht="15" customHeight="1" x14ac:dyDescent="0.25">
      <c r="A233" s="100"/>
      <c r="B233" s="101"/>
      <c r="C233" s="101"/>
      <c r="D233" s="100">
        <f>IF(OR(B233="",C233=""),"",IF(DATEDIF(C233,B233,"y")&gt;=1,DATEDIF(C233,B233,"y")&amp;IF(DATEDIF(C233,B233,"y")=1," year "," years ")&amp;DATEDIF(C233,B233,"ym")&amp;IF(DATEDIF(C233,B233,"ym")=1," month"," months"),IF(DATEDIF(C233,B233,"m")&gt;=1,DATEDIF(C233,B233,"m")&amp;IF(DATEDIF(C233,B233,"m")=1," month"," months"),DATEDIF(C233,B233,"d")&amp;IF(DATEDIF(C233,B233,"d")=1," day"," days"))))</f>
      </c>
      <c r="E233" s="100"/>
      <c r="F233" s="100"/>
      <c r="G233" s="100"/>
      <c r="H233" s="100"/>
      <c r="I233" s="100"/>
      <c r="J233" s="101"/>
      <c r="K233" s="100"/>
      <c r="L233" s="100"/>
      <c r="M233" s="102" t="str">
        <f>IFERROR(VLOOKUP(G233,Reference!$I$2:$J$175,2,FALSE()),"Operations")</f>
        <v>Operations</v>
      </c>
    </row>
    <row r="234" spans="1:13" ht="15" customHeight="1" x14ac:dyDescent="0.25">
      <c r="A234" s="103"/>
      <c r="B234" s="104"/>
      <c r="C234" s="104"/>
      <c r="D234" s="103">
        <f>IF(OR(B234="",C234=""),"",IF(DATEDIF(C234,B234,"y")&gt;=1,DATEDIF(C234,B234,"y")&amp;IF(DATEDIF(C234,B234,"y")=1," year "," years ")&amp;DATEDIF(C234,B234,"ym")&amp;IF(DATEDIF(C234,B234,"ym")=1," month"," months"),IF(DATEDIF(C234,B234,"m")&gt;=1,DATEDIF(C234,B234,"m")&amp;IF(DATEDIF(C234,B234,"m")=1," month"," months"),DATEDIF(C234,B234,"d")&amp;IF(DATEDIF(C234,B234,"d")=1," day"," days"))))</f>
      </c>
      <c r="E234" s="103"/>
      <c r="F234" s="103"/>
      <c r="G234" s="103"/>
      <c r="H234" s="103"/>
      <c r="I234" s="103"/>
      <c r="J234" s="104"/>
      <c r="K234" s="103"/>
      <c r="L234" s="103"/>
      <c r="M234" s="105" t="str">
        <f>IFERROR(VLOOKUP(G234,Reference!$I$2:$J$175,2,FALSE()),"Operations")</f>
        <v>Operations</v>
      </c>
    </row>
    <row r="235" spans="1:13" ht="15" customHeight="1" x14ac:dyDescent="0.25">
      <c r="A235" s="100"/>
      <c r="B235" s="101"/>
      <c r="C235" s="101"/>
      <c r="D235" s="100">
        <f>IF(OR(B235="",C235=""),"",IF(DATEDIF(C235,B235,"y")&gt;=1,DATEDIF(C235,B235,"y")&amp;IF(DATEDIF(C235,B235,"y")=1," year "," years ")&amp;DATEDIF(C235,B235,"ym")&amp;IF(DATEDIF(C235,B235,"ym")=1," month"," months"),IF(DATEDIF(C235,B235,"m")&gt;=1,DATEDIF(C235,B235,"m")&amp;IF(DATEDIF(C235,B235,"m")=1," month"," months"),DATEDIF(C235,B235,"d")&amp;IF(DATEDIF(C235,B235,"d")=1," day"," days"))))</f>
      </c>
      <c r="E235" s="100"/>
      <c r="F235" s="100"/>
      <c r="G235" s="100"/>
      <c r="H235" s="100"/>
      <c r="I235" s="100"/>
      <c r="J235" s="101"/>
      <c r="K235" s="100"/>
      <c r="L235" s="100"/>
      <c r="M235" s="102" t="str">
        <f>IFERROR(VLOOKUP(G235,Reference!$I$2:$J$175,2,FALSE()),"Operations")</f>
        <v>Operations</v>
      </c>
    </row>
    <row r="236" spans="1:13" ht="15" customHeight="1" x14ac:dyDescent="0.25">
      <c r="A236" s="103"/>
      <c r="B236" s="104"/>
      <c r="C236" s="104"/>
      <c r="D236" s="103">
        <f>IF(OR(B236="",C236=""),"",IF(DATEDIF(C236,B236,"y")&gt;=1,DATEDIF(C236,B236,"y")&amp;IF(DATEDIF(C236,B236,"y")=1," year "," years ")&amp;DATEDIF(C236,B236,"ym")&amp;IF(DATEDIF(C236,B236,"ym")=1," month"," months"),IF(DATEDIF(C236,B236,"m")&gt;=1,DATEDIF(C236,B236,"m")&amp;IF(DATEDIF(C236,B236,"m")=1," month"," months"),DATEDIF(C236,B236,"d")&amp;IF(DATEDIF(C236,B236,"d")=1," day"," days"))))</f>
      </c>
      <c r="E236" s="103"/>
      <c r="F236" s="103"/>
      <c r="G236" s="103"/>
      <c r="H236" s="103"/>
      <c r="I236" s="103"/>
      <c r="J236" s="104"/>
      <c r="K236" s="103"/>
      <c r="L236" s="103"/>
      <c r="M236" s="105" t="str">
        <f>IFERROR(VLOOKUP(G236,Reference!$I$2:$J$175,2,FALSE()),"Operations")</f>
        <v>Operations</v>
      </c>
    </row>
    <row r="237" spans="1:13" ht="15" customHeight="1" x14ac:dyDescent="0.25">
      <c r="A237" s="100"/>
      <c r="B237" s="101"/>
      <c r="C237" s="101"/>
      <c r="D237" s="100">
        <f>IF(OR(B237="",C237=""),"",IF(DATEDIF(C237,B237,"y")&gt;=1,DATEDIF(C237,B237,"y")&amp;IF(DATEDIF(C237,B237,"y")=1," year "," years ")&amp;DATEDIF(C237,B237,"ym")&amp;IF(DATEDIF(C237,B237,"ym")=1," month"," months"),IF(DATEDIF(C237,B237,"m")&gt;=1,DATEDIF(C237,B237,"m")&amp;IF(DATEDIF(C237,B237,"m")=1," month"," months"),DATEDIF(C237,B237,"d")&amp;IF(DATEDIF(C237,B237,"d")=1," day"," days"))))</f>
      </c>
      <c r="E237" s="100"/>
      <c r="F237" s="100"/>
      <c r="G237" s="100"/>
      <c r="H237" s="100"/>
      <c r="I237" s="100"/>
      <c r="J237" s="101"/>
      <c r="K237" s="100"/>
      <c r="L237" s="100"/>
      <c r="M237" s="102" t="str">
        <f>IFERROR(VLOOKUP(G237,Reference!$I$2:$J$175,2,FALSE()),"Operations")</f>
        <v>Operations</v>
      </c>
    </row>
    <row r="238" spans="1:13" ht="15" customHeight="1" x14ac:dyDescent="0.25">
      <c r="A238" s="103"/>
      <c r="B238" s="104"/>
      <c r="C238" s="104"/>
      <c r="D238" s="103">
        <f>IF(OR(B238="",C238=""),"",IF(DATEDIF(C238,B238,"y")&gt;=1,DATEDIF(C238,B238,"y")&amp;IF(DATEDIF(C238,B238,"y")=1," year "," years ")&amp;DATEDIF(C238,B238,"ym")&amp;IF(DATEDIF(C238,B238,"ym")=1," month"," months"),IF(DATEDIF(C238,B238,"m")&gt;=1,DATEDIF(C238,B238,"m")&amp;IF(DATEDIF(C238,B238,"m")=1," month"," months"),DATEDIF(C238,B238,"d")&amp;IF(DATEDIF(C238,B238,"d")=1," day"," days"))))</f>
      </c>
      <c r="E238" s="103"/>
      <c r="F238" s="103"/>
      <c r="G238" s="103"/>
      <c r="H238" s="103"/>
      <c r="I238" s="103"/>
      <c r="J238" s="104"/>
      <c r="K238" s="103"/>
      <c r="L238" s="103"/>
      <c r="M238" s="105" t="str">
        <f>IFERROR(VLOOKUP(G238,Reference!$I$2:$J$175,2,FALSE()),"Operations")</f>
        <v>Operations</v>
      </c>
    </row>
    <row r="239" spans="1:13" ht="15" customHeight="1" x14ac:dyDescent="0.25">
      <c r="A239" s="100"/>
      <c r="B239" s="101"/>
      <c r="C239" s="101"/>
      <c r="D239" s="100">
        <f>IF(OR(B239="",C239=""),"",IF(DATEDIF(C239,B239,"y")&gt;=1,DATEDIF(C239,B239,"y")&amp;IF(DATEDIF(C239,B239,"y")=1," year "," years ")&amp;DATEDIF(C239,B239,"ym")&amp;IF(DATEDIF(C239,B239,"ym")=1," month"," months"),IF(DATEDIF(C239,B239,"m")&gt;=1,DATEDIF(C239,B239,"m")&amp;IF(DATEDIF(C239,B239,"m")=1," month"," months"),DATEDIF(C239,B239,"d")&amp;IF(DATEDIF(C239,B239,"d")=1," day"," days"))))</f>
      </c>
      <c r="E239" s="100"/>
      <c r="F239" s="100"/>
      <c r="G239" s="100"/>
      <c r="H239" s="100"/>
      <c r="I239" s="100"/>
      <c r="J239" s="101"/>
      <c r="K239" s="100"/>
      <c r="L239" s="100"/>
      <c r="M239" s="102" t="str">
        <f>IFERROR(VLOOKUP(G239,Reference!$I$2:$J$175,2,FALSE()),"Operations")</f>
        <v>Operations</v>
      </c>
    </row>
    <row r="240" spans="1:13" ht="15" customHeight="1" x14ac:dyDescent="0.25">
      <c r="A240" s="103"/>
      <c r="B240" s="104"/>
      <c r="C240" s="104"/>
      <c r="D240" s="103">
        <f>IF(OR(B240="",C240=""),"",IF(DATEDIF(C240,B240,"y")&gt;=1,DATEDIF(C240,B240,"y")&amp;IF(DATEDIF(C240,B240,"y")=1," year "," years ")&amp;DATEDIF(C240,B240,"ym")&amp;IF(DATEDIF(C240,B240,"ym")=1," month"," months"),IF(DATEDIF(C240,B240,"m")&gt;=1,DATEDIF(C240,B240,"m")&amp;IF(DATEDIF(C240,B240,"m")=1," month"," months"),DATEDIF(C240,B240,"d")&amp;IF(DATEDIF(C240,B240,"d")=1," day"," days"))))</f>
      </c>
      <c r="E240" s="103"/>
      <c r="F240" s="103"/>
      <c r="G240" s="103"/>
      <c r="H240" s="103"/>
      <c r="I240" s="103"/>
      <c r="J240" s="104"/>
      <c r="K240" s="103"/>
      <c r="L240" s="103"/>
      <c r="M240" s="105" t="str">
        <f>IFERROR(VLOOKUP(G240,Reference!$I$2:$J$175,2,FALSE()),"Operations")</f>
        <v>Operations</v>
      </c>
    </row>
    <row r="241" spans="1:13" ht="15" customHeight="1" x14ac:dyDescent="0.25">
      <c r="A241" s="100"/>
      <c r="B241" s="101"/>
      <c r="C241" s="101"/>
      <c r="D241" s="100">
        <f>IF(OR(B241="",C241=""),"",IF(DATEDIF(C241,B241,"y")&gt;=1,DATEDIF(C241,B241,"y")&amp;IF(DATEDIF(C241,B241,"y")=1," year "," years ")&amp;DATEDIF(C241,B241,"ym")&amp;IF(DATEDIF(C241,B241,"ym")=1," month"," months"),IF(DATEDIF(C241,B241,"m")&gt;=1,DATEDIF(C241,B241,"m")&amp;IF(DATEDIF(C241,B241,"m")=1," month"," months"),DATEDIF(C241,B241,"d")&amp;IF(DATEDIF(C241,B241,"d")=1," day"," days"))))</f>
      </c>
      <c r="E241" s="100"/>
      <c r="F241" s="100"/>
      <c r="G241" s="100"/>
      <c r="H241" s="100"/>
      <c r="I241" s="100"/>
      <c r="J241" s="101"/>
      <c r="K241" s="100"/>
      <c r="L241" s="100"/>
      <c r="M241" s="102" t="str">
        <f>IFERROR(VLOOKUP(G241,Reference!$I$2:$J$175,2,FALSE()),"Operations")</f>
        <v>Operations</v>
      </c>
    </row>
    <row r="242" spans="1:13" ht="15" customHeight="1" x14ac:dyDescent="0.25">
      <c r="A242" s="103"/>
      <c r="B242" s="104"/>
      <c r="C242" s="104"/>
      <c r="D242" s="103">
        <f>IF(OR(B242="",C242=""),"",IF(DATEDIF(C242,B242,"y")&gt;=1,DATEDIF(C242,B242,"y")&amp;IF(DATEDIF(C242,B242,"y")=1," year "," years ")&amp;DATEDIF(C242,B242,"ym")&amp;IF(DATEDIF(C242,B242,"ym")=1," month"," months"),IF(DATEDIF(C242,B242,"m")&gt;=1,DATEDIF(C242,B242,"m")&amp;IF(DATEDIF(C242,B242,"m")=1," month"," months"),DATEDIF(C242,B242,"d")&amp;IF(DATEDIF(C242,B242,"d")=1," day"," days"))))</f>
      </c>
      <c r="E242" s="103"/>
      <c r="F242" s="103"/>
      <c r="G242" s="103"/>
      <c r="H242" s="103"/>
      <c r="I242" s="103"/>
      <c r="J242" s="104"/>
      <c r="K242" s="103"/>
      <c r="L242" s="103"/>
      <c r="M242" s="105" t="str">
        <f>IFERROR(VLOOKUP(G242,Reference!$I$2:$J$175,2,FALSE()),"Operations")</f>
        <v>Operations</v>
      </c>
    </row>
    <row r="243" spans="1:13" ht="15" customHeight="1" x14ac:dyDescent="0.25">
      <c r="A243" s="106" t="s">
        <v>163</v>
      </c>
      <c r="B243" s="107">
        <f>COUNTA(A213:A242)</f>
        <v>16</v>
      </c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</row>
    <row r="244" spans="1:13" ht="6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</row>
    <row r="245" spans="1:13" ht="21.75" customHeight="1" x14ac:dyDescent="0.25">
      <c r="A245" s="163" t="s">
        <v>502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</row>
    <row r="246" spans="1:13" ht="19.5" customHeight="1" x14ac:dyDescent="0.25">
      <c r="A246" s="64" t="s">
        <v>151</v>
      </c>
      <c r="B246" s="64" t="s">
        <v>152</v>
      </c>
      <c r="C246" s="64" t="s">
        <v>153</v>
      </c>
      <c r="D246" s="64" t="s">
        <v>154</v>
      </c>
      <c r="E246" s="64" t="s">
        <v>155</v>
      </c>
      <c r="F246" s="64" t="s">
        <v>156</v>
      </c>
      <c r="G246" s="64" t="s">
        <v>157</v>
      </c>
      <c r="H246" s="64" t="s">
        <v>158</v>
      </c>
      <c r="I246" s="64" t="s">
        <v>159</v>
      </c>
      <c r="J246" s="64" t="s">
        <v>160</v>
      </c>
      <c r="K246" s="64" t="s">
        <v>134</v>
      </c>
      <c r="L246" s="64" t="s">
        <v>161</v>
      </c>
      <c r="M246" s="64" t="s">
        <v>162</v>
      </c>
    </row>
    <row r="247" spans="1:13" ht="15" customHeight="1" x14ac:dyDescent="0.25">
      <c r="A247" s="77" t="s">
        <v>503</v>
      </c>
      <c r="B247" s="111">
        <v>45877</v>
      </c>
      <c r="C247" s="111">
        <v>44652</v>
      </c>
      <c r="D247" s="77" t="str">
        <f t="shared" ref="D247:D260" si="1">IF(OR(B247="",C247=""),"",IF(DATEDIF(C247,B247,"y")&gt;=1,DATEDIF(C247,B247,"y")&amp;IF(DATEDIF(C247,B247,"y")=1," year "," years ")&amp;DATEDIF(C247,B247,"ym")&amp;IF(DATEDIF(C247,B247,"ym")=1," month"," months"),IF(DATEDIF(C247,B247,"m")&gt;=1,DATEDIF(C247,B247,"m")&amp;IF(DATEDIF(C247,B247,"m")=1," month"," months"),DATEDIF(C247,B247,"d")&amp;IF(DATEDIF(C247,B247,"d")=1," day"," days"))))</f>
        <v>3 years 4 months</v>
      </c>
      <c r="E247" s="77" t="s">
        <v>179</v>
      </c>
      <c r="F247" s="77" t="s">
        <v>180</v>
      </c>
      <c r="G247" s="77" t="s">
        <v>481</v>
      </c>
      <c r="H247" s="77" t="s">
        <v>53</v>
      </c>
      <c r="I247" s="77" t="s">
        <v>193</v>
      </c>
      <c r="J247" s="77" t="s">
        <v>69</v>
      </c>
      <c r="K247" s="77" t="s">
        <v>74</v>
      </c>
      <c r="L247" s="77"/>
      <c r="M247" s="102" t="str">
        <f>IFERROR(VLOOKUP(G247,Reference!$I$2:$J$175,2,FALSE()),"Operations")</f>
        <v>Professional Services</v>
      </c>
    </row>
    <row r="248" spans="1:13" ht="15" customHeight="1" x14ac:dyDescent="0.25">
      <c r="A248" s="80" t="s">
        <v>504</v>
      </c>
      <c r="B248" s="112">
        <v>45870</v>
      </c>
      <c r="C248" s="112">
        <v>45852</v>
      </c>
      <c r="D248" s="80" t="str">
        <f t="shared" si="1"/>
        <v>18 days</v>
      </c>
      <c r="E248" s="80" t="s">
        <v>179</v>
      </c>
      <c r="F248" s="80" t="s">
        <v>180</v>
      </c>
      <c r="G248" s="80" t="s">
        <v>451</v>
      </c>
      <c r="H248" s="80" t="s">
        <v>53</v>
      </c>
      <c r="I248" s="80" t="s">
        <v>505</v>
      </c>
      <c r="J248" s="80" t="s">
        <v>376</v>
      </c>
      <c r="K248" s="80" t="s">
        <v>66</v>
      </c>
      <c r="L248" s="80"/>
      <c r="M248" s="105" t="str">
        <f>IFERROR(VLOOKUP(G248,Reference!$I$2:$J$175,2,FALSE()),"Operations")</f>
        <v>Operations</v>
      </c>
    </row>
    <row r="249" spans="1:13" ht="15" customHeight="1" x14ac:dyDescent="0.25">
      <c r="A249" s="77" t="s">
        <v>506</v>
      </c>
      <c r="B249" s="111">
        <v>45873</v>
      </c>
      <c r="C249" s="111">
        <v>45870</v>
      </c>
      <c r="D249" s="77" t="str">
        <f t="shared" si="1"/>
        <v>3 days</v>
      </c>
      <c r="E249" s="77" t="s">
        <v>179</v>
      </c>
      <c r="F249" s="77" t="s">
        <v>180</v>
      </c>
      <c r="G249" s="77" t="s">
        <v>507</v>
      </c>
      <c r="H249" s="77" t="s">
        <v>53</v>
      </c>
      <c r="I249" s="77" t="s">
        <v>394</v>
      </c>
      <c r="J249" s="77" t="s">
        <v>376</v>
      </c>
      <c r="K249" s="77" t="s">
        <v>66</v>
      </c>
      <c r="L249" s="77"/>
      <c r="M249" s="102" t="str">
        <f>IFERROR(VLOOKUP(G249,Reference!$I$2:$J$175,2,FALSE()),"Operations")</f>
        <v>Operations</v>
      </c>
    </row>
    <row r="250" spans="1:13" ht="15" customHeight="1" x14ac:dyDescent="0.25">
      <c r="A250" s="80" t="s">
        <v>508</v>
      </c>
      <c r="B250" s="112">
        <v>45870</v>
      </c>
      <c r="C250" s="112">
        <v>45860</v>
      </c>
      <c r="D250" s="80" t="str">
        <f t="shared" si="1"/>
        <v>10 days</v>
      </c>
      <c r="E250" s="80" t="s">
        <v>179</v>
      </c>
      <c r="F250" s="80" t="s">
        <v>180</v>
      </c>
      <c r="G250" s="80" t="s">
        <v>507</v>
      </c>
      <c r="H250" s="80" t="s">
        <v>53</v>
      </c>
      <c r="I250" s="80" t="s">
        <v>394</v>
      </c>
      <c r="J250" s="80" t="s">
        <v>376</v>
      </c>
      <c r="K250" s="80" t="s">
        <v>66</v>
      </c>
      <c r="L250" s="80"/>
      <c r="M250" s="105" t="str">
        <f>IFERROR(VLOOKUP(G250,Reference!$I$2:$J$175,2,FALSE()),"Operations")</f>
        <v>Operations</v>
      </c>
    </row>
    <row r="251" spans="1:13" ht="15" customHeight="1" x14ac:dyDescent="0.25">
      <c r="A251" s="77" t="s">
        <v>509</v>
      </c>
      <c r="B251" s="111">
        <v>45877</v>
      </c>
      <c r="C251" s="111">
        <v>45778</v>
      </c>
      <c r="D251" s="77" t="str">
        <f t="shared" si="1"/>
        <v>3 months</v>
      </c>
      <c r="E251" s="77" t="s">
        <v>179</v>
      </c>
      <c r="F251" s="77" t="s">
        <v>191</v>
      </c>
      <c r="G251" s="77" t="s">
        <v>510</v>
      </c>
      <c r="H251" s="77" t="s">
        <v>53</v>
      </c>
      <c r="I251" s="77" t="s">
        <v>421</v>
      </c>
      <c r="J251" s="111">
        <v>45881</v>
      </c>
      <c r="K251" s="77" t="s">
        <v>68</v>
      </c>
      <c r="L251" s="77"/>
      <c r="M251" s="102" t="str">
        <f>IFERROR(VLOOKUP(G251,Reference!$I$2:$J$175,2,FALSE()),"Operations")</f>
        <v>Operations</v>
      </c>
    </row>
    <row r="252" spans="1:13" ht="15" customHeight="1" x14ac:dyDescent="0.25">
      <c r="A252" s="80" t="s">
        <v>511</v>
      </c>
      <c r="B252" s="112">
        <v>45875</v>
      </c>
      <c r="C252" s="112">
        <v>45817</v>
      </c>
      <c r="D252" s="80" t="str">
        <f t="shared" si="1"/>
        <v>1 month</v>
      </c>
      <c r="E252" s="80" t="s">
        <v>179</v>
      </c>
      <c r="F252" s="80" t="s">
        <v>191</v>
      </c>
      <c r="G252" s="80" t="s">
        <v>512</v>
      </c>
      <c r="H252" s="80" t="s">
        <v>53</v>
      </c>
      <c r="I252" s="80" t="s">
        <v>491</v>
      </c>
      <c r="J252" s="80" t="s">
        <v>194</v>
      </c>
      <c r="K252" s="80" t="s">
        <v>66</v>
      </c>
      <c r="L252" s="80"/>
      <c r="M252" s="105" t="str">
        <f>IFERROR(VLOOKUP(G252,Reference!$I$2:$J$175,2,FALSE()),"Operations")</f>
        <v>Operations</v>
      </c>
    </row>
    <row r="253" spans="1:13" ht="15" customHeight="1" x14ac:dyDescent="0.25">
      <c r="A253" s="77" t="s">
        <v>513</v>
      </c>
      <c r="B253" s="111">
        <v>45884</v>
      </c>
      <c r="C253" s="111">
        <v>45874</v>
      </c>
      <c r="D253" s="77" t="str">
        <f t="shared" si="1"/>
        <v>10 days</v>
      </c>
      <c r="E253" s="77" t="s">
        <v>179</v>
      </c>
      <c r="F253" s="77" t="s">
        <v>191</v>
      </c>
      <c r="G253" s="77" t="s">
        <v>490</v>
      </c>
      <c r="H253" s="77" t="s">
        <v>56</v>
      </c>
      <c r="I253" s="77" t="s">
        <v>421</v>
      </c>
      <c r="J253" s="77" t="s">
        <v>194</v>
      </c>
      <c r="K253" s="77" t="s">
        <v>66</v>
      </c>
      <c r="L253" s="77"/>
      <c r="M253" s="102" t="str">
        <f>IFERROR(VLOOKUP(G253,Reference!$I$2:$J$175,2,FALSE()),"Operations")</f>
        <v>Operations</v>
      </c>
    </row>
    <row r="254" spans="1:13" ht="15" customHeight="1" x14ac:dyDescent="0.25">
      <c r="A254" s="80" t="s">
        <v>514</v>
      </c>
      <c r="B254" s="112">
        <v>45885</v>
      </c>
      <c r="C254" s="112">
        <v>45566</v>
      </c>
      <c r="D254" s="80" t="str">
        <f t="shared" si="1"/>
        <v>10 months</v>
      </c>
      <c r="E254" s="80" t="s">
        <v>184</v>
      </c>
      <c r="F254" s="80" t="s">
        <v>180</v>
      </c>
      <c r="G254" s="80" t="s">
        <v>515</v>
      </c>
      <c r="H254" s="80" t="s">
        <v>72</v>
      </c>
      <c r="I254" s="80" t="s">
        <v>516</v>
      </c>
      <c r="J254" s="112">
        <v>45895</v>
      </c>
      <c r="K254" s="80" t="s">
        <v>78</v>
      </c>
      <c r="L254" s="80"/>
      <c r="M254" s="105" t="str">
        <f>IFERROR(VLOOKUP(G254,Reference!$I$2:$J$175,2,FALSE()),"Operations")</f>
        <v>Operations</v>
      </c>
    </row>
    <row r="255" spans="1:13" ht="15" customHeight="1" x14ac:dyDescent="0.25">
      <c r="A255" s="77" t="s">
        <v>517</v>
      </c>
      <c r="B255" s="111">
        <v>45886</v>
      </c>
      <c r="C255" s="111">
        <v>45876</v>
      </c>
      <c r="D255" s="77" t="str">
        <f t="shared" si="1"/>
        <v>10 days</v>
      </c>
      <c r="E255" s="77" t="s">
        <v>184</v>
      </c>
      <c r="F255" s="77" t="s">
        <v>191</v>
      </c>
      <c r="G255" s="77" t="s">
        <v>234</v>
      </c>
      <c r="H255" s="77" t="s">
        <v>60</v>
      </c>
      <c r="I255" s="77" t="s">
        <v>394</v>
      </c>
      <c r="J255" s="77" t="s">
        <v>194</v>
      </c>
      <c r="K255" s="77" t="s">
        <v>66</v>
      </c>
      <c r="L255" s="77"/>
      <c r="M255" s="102" t="str">
        <f>IFERROR(VLOOKUP(G255,Reference!$I$2:$J$175,2,FALSE()),"Operations")</f>
        <v>Operations</v>
      </c>
    </row>
    <row r="256" spans="1:13" ht="15" customHeight="1" x14ac:dyDescent="0.25">
      <c r="A256" s="80" t="s">
        <v>518</v>
      </c>
      <c r="B256" s="112">
        <v>45887</v>
      </c>
      <c r="C256" s="112">
        <v>45083</v>
      </c>
      <c r="D256" s="80" t="str">
        <f t="shared" si="1"/>
        <v>2 years 2 months</v>
      </c>
      <c r="E256" s="80" t="s">
        <v>184</v>
      </c>
      <c r="F256" s="80" t="s">
        <v>180</v>
      </c>
      <c r="G256" s="80" t="s">
        <v>285</v>
      </c>
      <c r="H256" s="80" t="s">
        <v>58</v>
      </c>
      <c r="I256" s="80" t="s">
        <v>519</v>
      </c>
      <c r="J256" s="80" t="s">
        <v>69</v>
      </c>
      <c r="K256" s="80" t="s">
        <v>83</v>
      </c>
      <c r="L256" s="80"/>
      <c r="M256" s="105" t="str">
        <f>IFERROR(VLOOKUP(G256,Reference!$I$2:$J$175,2,FALSE()),"Operations")</f>
        <v>Children Services</v>
      </c>
    </row>
    <row r="257" spans="1:13" ht="15" customHeight="1" x14ac:dyDescent="0.25">
      <c r="A257" s="77" t="s">
        <v>520</v>
      </c>
      <c r="B257" s="111">
        <v>45894</v>
      </c>
      <c r="C257" s="111">
        <v>45856</v>
      </c>
      <c r="D257" s="77" t="str">
        <f t="shared" si="1"/>
        <v>1 month</v>
      </c>
      <c r="E257" s="77" t="s">
        <v>179</v>
      </c>
      <c r="F257" s="77" t="s">
        <v>191</v>
      </c>
      <c r="G257" s="77" t="s">
        <v>507</v>
      </c>
      <c r="H257" s="77" t="s">
        <v>53</v>
      </c>
      <c r="I257" s="77" t="s">
        <v>521</v>
      </c>
      <c r="J257" s="77" t="s">
        <v>194</v>
      </c>
      <c r="K257" s="77" t="s">
        <v>66</v>
      </c>
      <c r="L257" s="77"/>
      <c r="M257" s="102" t="str">
        <f>IFERROR(VLOOKUP(G257,Reference!$I$2:$J$175,2,FALSE()),"Operations")</f>
        <v>Operations</v>
      </c>
    </row>
    <row r="258" spans="1:13" ht="15" customHeight="1" x14ac:dyDescent="0.25">
      <c r="A258" s="80" t="s">
        <v>522</v>
      </c>
      <c r="B258" s="112">
        <v>45880</v>
      </c>
      <c r="C258" s="112">
        <v>45860</v>
      </c>
      <c r="D258" s="80" t="str">
        <f t="shared" si="1"/>
        <v>20 days</v>
      </c>
      <c r="E258" s="80" t="s">
        <v>179</v>
      </c>
      <c r="F258" s="80" t="s">
        <v>180</v>
      </c>
      <c r="G258" s="80" t="s">
        <v>285</v>
      </c>
      <c r="H258" s="80" t="s">
        <v>53</v>
      </c>
      <c r="I258" s="80" t="s">
        <v>523</v>
      </c>
      <c r="J258" s="80" t="s">
        <v>376</v>
      </c>
      <c r="K258" s="80" t="s">
        <v>81</v>
      </c>
      <c r="L258" s="80"/>
      <c r="M258" s="105" t="str">
        <f>IFERROR(VLOOKUP(G258,Reference!$I$2:$J$175,2,FALSE()),"Operations")</f>
        <v>Children Services</v>
      </c>
    </row>
    <row r="259" spans="1:13" ht="15" customHeight="1" x14ac:dyDescent="0.25">
      <c r="A259" s="77" t="s">
        <v>524</v>
      </c>
      <c r="B259" s="111">
        <v>45898</v>
      </c>
      <c r="C259" s="111">
        <v>45152</v>
      </c>
      <c r="D259" s="77" t="str">
        <f t="shared" si="1"/>
        <v>2 years 0 months</v>
      </c>
      <c r="E259" s="77" t="s">
        <v>179</v>
      </c>
      <c r="F259" s="77" t="s">
        <v>191</v>
      </c>
      <c r="G259" s="77" t="s">
        <v>481</v>
      </c>
      <c r="H259" s="77" t="s">
        <v>53</v>
      </c>
      <c r="I259" s="77" t="s">
        <v>193</v>
      </c>
      <c r="J259" s="111">
        <v>45897</v>
      </c>
      <c r="K259" s="77" t="s">
        <v>74</v>
      </c>
      <c r="L259" s="77"/>
      <c r="M259" s="102" t="str">
        <f>IFERROR(VLOOKUP(G259,Reference!$I$2:$J$175,2,FALSE()),"Operations")</f>
        <v>Professional Services</v>
      </c>
    </row>
    <row r="260" spans="1:13" ht="15" customHeight="1" x14ac:dyDescent="0.25">
      <c r="A260" s="80" t="s">
        <v>525</v>
      </c>
      <c r="B260" s="112">
        <v>45898</v>
      </c>
      <c r="C260" s="112">
        <v>45123</v>
      </c>
      <c r="D260" s="80" t="str">
        <f t="shared" si="1"/>
        <v>2 years 1 month</v>
      </c>
      <c r="E260" s="80" t="s">
        <v>179</v>
      </c>
      <c r="F260" s="80" t="s">
        <v>191</v>
      </c>
      <c r="G260" s="80" t="s">
        <v>481</v>
      </c>
      <c r="H260" s="80" t="s">
        <v>53</v>
      </c>
      <c r="I260" s="80" t="s">
        <v>193</v>
      </c>
      <c r="J260" s="112">
        <v>45898</v>
      </c>
      <c r="K260" s="80" t="s">
        <v>74</v>
      </c>
      <c r="L260" s="80"/>
      <c r="M260" s="105" t="str">
        <f>IFERROR(VLOOKUP(G260,Reference!$I$2:$J$175,2,FALSE()),"Operations")</f>
        <v>Professional Services</v>
      </c>
    </row>
    <row r="261" spans="1:13" ht="15" customHeight="1" x14ac:dyDescent="0.25">
      <c r="A261" s="100"/>
      <c r="B261" s="101"/>
      <c r="C261" s="101"/>
      <c r="D261" s="100">
        <f>IF(OR(B261="",C261=""),"",IF(DATEDIF(C261,B261,"y")&gt;=1,DATEDIF(C261,B261,"y")&amp;IF(DATEDIF(C261,B261,"y")=1," year "," years ")&amp;DATEDIF(C261,B261,"ym")&amp;IF(DATEDIF(C261,B261,"ym")=1," month"," months"),IF(DATEDIF(C261,B261,"m")&gt;=1,DATEDIF(C261,B261,"m")&amp;IF(DATEDIF(C261,B261,"m")=1," month"," months"),DATEDIF(C261,B261,"d")&amp;IF(DATEDIF(C261,B261,"d")=1," day"," days"))))</f>
      </c>
      <c r="E261" s="100"/>
      <c r="F261" s="100"/>
      <c r="G261" s="100"/>
      <c r="H261" s="100"/>
      <c r="I261" s="100"/>
      <c r="J261" s="101"/>
      <c r="K261" s="100"/>
      <c r="L261" s="100"/>
      <c r="M261" s="102" t="str">
        <f>IFERROR(VLOOKUP(G261,Reference!$I$2:$J$175,2,FALSE()),"Operations")</f>
        <v>Operations</v>
      </c>
    </row>
    <row r="262" spans="1:13" ht="15" customHeight="1" x14ac:dyDescent="0.25">
      <c r="A262" s="103"/>
      <c r="B262" s="104"/>
      <c r="C262" s="104"/>
      <c r="D262" s="103">
        <f>IF(OR(B262="",C262=""),"",IF(DATEDIF(C262,B262,"y")&gt;=1,DATEDIF(C262,B262,"y")&amp;IF(DATEDIF(C262,B262,"y")=1," year "," years ")&amp;DATEDIF(C262,B262,"ym")&amp;IF(DATEDIF(C262,B262,"ym")=1," month"," months"),IF(DATEDIF(C262,B262,"m")&gt;=1,DATEDIF(C262,B262,"m")&amp;IF(DATEDIF(C262,B262,"m")=1," month"," months"),DATEDIF(C262,B262,"d")&amp;IF(DATEDIF(C262,B262,"d")=1," day"," days"))))</f>
      </c>
      <c r="E262" s="103"/>
      <c r="F262" s="103"/>
      <c r="G262" s="103"/>
      <c r="H262" s="103"/>
      <c r="I262" s="103"/>
      <c r="J262" s="104"/>
      <c r="K262" s="103"/>
      <c r="L262" s="103"/>
      <c r="M262" s="105" t="str">
        <f>IFERROR(VLOOKUP(G262,Reference!$I$2:$J$175,2,FALSE()),"Operations")</f>
        <v>Operations</v>
      </c>
    </row>
    <row r="263" spans="1:13" ht="15" customHeight="1" x14ac:dyDescent="0.25">
      <c r="A263" s="100"/>
      <c r="B263" s="101"/>
      <c r="C263" s="101"/>
      <c r="D263" s="100">
        <f>IF(OR(B263="",C263=""),"",IF(DATEDIF(C263,B263,"y")&gt;=1,DATEDIF(C263,B263,"y")&amp;IF(DATEDIF(C263,B263,"y")=1," year "," years ")&amp;DATEDIF(C263,B263,"ym")&amp;IF(DATEDIF(C263,B263,"ym")=1," month"," months"),IF(DATEDIF(C263,B263,"m")&gt;=1,DATEDIF(C263,B263,"m")&amp;IF(DATEDIF(C263,B263,"m")=1," month"," months"),DATEDIF(C263,B263,"d")&amp;IF(DATEDIF(C263,B263,"d")=1," day"," days"))))</f>
      </c>
      <c r="E263" s="100"/>
      <c r="F263" s="100"/>
      <c r="G263" s="100"/>
      <c r="H263" s="100"/>
      <c r="I263" s="100"/>
      <c r="J263" s="101"/>
      <c r="K263" s="100"/>
      <c r="L263" s="100"/>
      <c r="M263" s="102" t="str">
        <f>IFERROR(VLOOKUP(G263,Reference!$I$2:$J$175,2,FALSE()),"Operations")</f>
        <v>Operations</v>
      </c>
    </row>
    <row r="264" spans="1:13" ht="15" customHeight="1" x14ac:dyDescent="0.25">
      <c r="A264" s="103"/>
      <c r="B264" s="104"/>
      <c r="C264" s="104"/>
      <c r="D264" s="103">
        <f>IF(OR(B264="",C264=""),"",IF(DATEDIF(C264,B264,"y")&gt;=1,DATEDIF(C264,B264,"y")&amp;IF(DATEDIF(C264,B264,"y")=1," year "," years ")&amp;DATEDIF(C264,B264,"ym")&amp;IF(DATEDIF(C264,B264,"ym")=1," month"," months"),IF(DATEDIF(C264,B264,"m")&gt;=1,DATEDIF(C264,B264,"m")&amp;IF(DATEDIF(C264,B264,"m")=1," month"," months"),DATEDIF(C264,B264,"d")&amp;IF(DATEDIF(C264,B264,"d")=1," day"," days"))))</f>
      </c>
      <c r="E264" s="103"/>
      <c r="F264" s="103"/>
      <c r="G264" s="103"/>
      <c r="H264" s="103"/>
      <c r="I264" s="103"/>
      <c r="J264" s="104"/>
      <c r="K264" s="103"/>
      <c r="L264" s="103"/>
      <c r="M264" s="105" t="str">
        <f>IFERROR(VLOOKUP(G264,Reference!$I$2:$J$175,2,FALSE()),"Operations")</f>
        <v>Operations</v>
      </c>
    </row>
    <row r="265" spans="1:13" ht="15" customHeight="1" x14ac:dyDescent="0.25">
      <c r="A265" s="100"/>
      <c r="B265" s="101"/>
      <c r="C265" s="101"/>
      <c r="D265" s="100">
        <f>IF(OR(B265="",C265=""),"",IF(DATEDIF(C265,B265,"y")&gt;=1,DATEDIF(C265,B265,"y")&amp;IF(DATEDIF(C265,B265,"y")=1," year "," years ")&amp;DATEDIF(C265,B265,"ym")&amp;IF(DATEDIF(C265,B265,"ym")=1," month"," months"),IF(DATEDIF(C265,B265,"m")&gt;=1,DATEDIF(C265,B265,"m")&amp;IF(DATEDIF(C265,B265,"m")=1," month"," months"),DATEDIF(C265,B265,"d")&amp;IF(DATEDIF(C265,B265,"d")=1," day"," days"))))</f>
      </c>
      <c r="E265" s="100"/>
      <c r="F265" s="100"/>
      <c r="G265" s="100"/>
      <c r="H265" s="100"/>
      <c r="I265" s="100"/>
      <c r="J265" s="101"/>
      <c r="K265" s="100"/>
      <c r="L265" s="100"/>
      <c r="M265" s="102" t="str">
        <f>IFERROR(VLOOKUP(G265,Reference!$I$2:$J$175,2,FALSE()),"Operations")</f>
        <v>Operations</v>
      </c>
    </row>
    <row r="266" spans="1:13" ht="15" customHeight="1" x14ac:dyDescent="0.25">
      <c r="A266" s="103"/>
      <c r="B266" s="104"/>
      <c r="C266" s="104"/>
      <c r="D266" s="103">
        <f>IF(OR(B266="",C266=""),"",IF(DATEDIF(C266,B266,"y")&gt;=1,DATEDIF(C266,B266,"y")&amp;IF(DATEDIF(C266,B266,"y")=1," year "," years ")&amp;DATEDIF(C266,B266,"ym")&amp;IF(DATEDIF(C266,B266,"ym")=1," month"," months"),IF(DATEDIF(C266,B266,"m")&gt;=1,DATEDIF(C266,B266,"m")&amp;IF(DATEDIF(C266,B266,"m")=1," month"," months"),DATEDIF(C266,B266,"d")&amp;IF(DATEDIF(C266,B266,"d")=1," day"," days"))))</f>
      </c>
      <c r="E266" s="103"/>
      <c r="F266" s="103"/>
      <c r="G266" s="103"/>
      <c r="H266" s="103"/>
      <c r="I266" s="103"/>
      <c r="J266" s="104"/>
      <c r="K266" s="103"/>
      <c r="L266" s="103"/>
      <c r="M266" s="105" t="str">
        <f>IFERROR(VLOOKUP(G266,Reference!$I$2:$J$175,2,FALSE()),"Operations")</f>
        <v>Operations</v>
      </c>
    </row>
    <row r="267" spans="1:13" ht="15" customHeight="1" x14ac:dyDescent="0.25">
      <c r="A267" s="100"/>
      <c r="B267" s="101"/>
      <c r="C267" s="101"/>
      <c r="D267" s="100">
        <f>IF(OR(B267="",C267=""),"",IF(DATEDIF(C267,B267,"y")&gt;=1,DATEDIF(C267,B267,"y")&amp;IF(DATEDIF(C267,B267,"y")=1," year "," years ")&amp;DATEDIF(C267,B267,"ym")&amp;IF(DATEDIF(C267,B267,"ym")=1," month"," months"),IF(DATEDIF(C267,B267,"m")&gt;=1,DATEDIF(C267,B267,"m")&amp;IF(DATEDIF(C267,B267,"m")=1," month"," months"),DATEDIF(C267,B267,"d")&amp;IF(DATEDIF(C267,B267,"d")=1," day"," days"))))</f>
      </c>
      <c r="E267" s="100"/>
      <c r="F267" s="100"/>
      <c r="G267" s="100"/>
      <c r="H267" s="100"/>
      <c r="I267" s="100"/>
      <c r="J267" s="101"/>
      <c r="K267" s="100"/>
      <c r="L267" s="100"/>
      <c r="M267" s="102" t="str">
        <f>IFERROR(VLOOKUP(G267,Reference!$I$2:$J$175,2,FALSE()),"Operations")</f>
        <v>Operations</v>
      </c>
    </row>
    <row r="268" spans="1:13" ht="15" customHeight="1" x14ac:dyDescent="0.25">
      <c r="A268" s="103"/>
      <c r="B268" s="104"/>
      <c r="C268" s="104"/>
      <c r="D268" s="103">
        <f>IF(OR(B268="",C268=""),"",IF(DATEDIF(C268,B268,"y")&gt;=1,DATEDIF(C268,B268,"y")&amp;IF(DATEDIF(C268,B268,"y")=1," year "," years ")&amp;DATEDIF(C268,B268,"ym")&amp;IF(DATEDIF(C268,B268,"ym")=1," month"," months"),IF(DATEDIF(C268,B268,"m")&gt;=1,DATEDIF(C268,B268,"m")&amp;IF(DATEDIF(C268,B268,"m")=1," month"," months"),DATEDIF(C268,B268,"d")&amp;IF(DATEDIF(C268,B268,"d")=1," day"," days"))))</f>
      </c>
      <c r="E268" s="103"/>
      <c r="F268" s="103"/>
      <c r="G268" s="103"/>
      <c r="H268" s="103"/>
      <c r="I268" s="103"/>
      <c r="J268" s="104"/>
      <c r="K268" s="103"/>
      <c r="L268" s="103"/>
      <c r="M268" s="105" t="str">
        <f>IFERROR(VLOOKUP(G268,Reference!$I$2:$J$175,2,FALSE()),"Operations")</f>
        <v>Operations</v>
      </c>
    </row>
    <row r="269" spans="1:13" ht="15" customHeight="1" x14ac:dyDescent="0.25">
      <c r="A269" s="100"/>
      <c r="B269" s="101"/>
      <c r="C269" s="101"/>
      <c r="D269" s="100">
        <f>IF(OR(B269="",C269=""),"",IF(DATEDIF(C269,B269,"y")&gt;=1,DATEDIF(C269,B269,"y")&amp;IF(DATEDIF(C269,B269,"y")=1," year "," years ")&amp;DATEDIF(C269,B269,"ym")&amp;IF(DATEDIF(C269,B269,"ym")=1," month"," months"),IF(DATEDIF(C269,B269,"m")&gt;=1,DATEDIF(C269,B269,"m")&amp;IF(DATEDIF(C269,B269,"m")=1," month"," months"),DATEDIF(C269,B269,"d")&amp;IF(DATEDIF(C269,B269,"d")=1," day"," days"))))</f>
      </c>
      <c r="E269" s="100"/>
      <c r="F269" s="100"/>
      <c r="G269" s="100"/>
      <c r="H269" s="100"/>
      <c r="I269" s="100"/>
      <c r="J269" s="101"/>
      <c r="K269" s="100"/>
      <c r="L269" s="100"/>
      <c r="M269" s="102" t="str">
        <f>IFERROR(VLOOKUP(G269,Reference!$I$2:$J$175,2,FALSE()),"Operations")</f>
        <v>Operations</v>
      </c>
    </row>
    <row r="270" spans="1:13" ht="15" customHeight="1" x14ac:dyDescent="0.25">
      <c r="A270" s="103"/>
      <c r="B270" s="104"/>
      <c r="C270" s="104"/>
      <c r="D270" s="103">
        <f>IF(OR(B270="",C270=""),"",IF(DATEDIF(C270,B270,"y")&gt;=1,DATEDIF(C270,B270,"y")&amp;IF(DATEDIF(C270,B270,"y")=1," year "," years ")&amp;DATEDIF(C270,B270,"ym")&amp;IF(DATEDIF(C270,B270,"ym")=1," month"," months"),IF(DATEDIF(C270,B270,"m")&gt;=1,DATEDIF(C270,B270,"m")&amp;IF(DATEDIF(C270,B270,"m")=1," month"," months"),DATEDIF(C270,B270,"d")&amp;IF(DATEDIF(C270,B270,"d")=1," day"," days"))))</f>
      </c>
      <c r="E270" s="103"/>
      <c r="F270" s="103"/>
      <c r="G270" s="103"/>
      <c r="H270" s="103"/>
      <c r="I270" s="103"/>
      <c r="J270" s="104"/>
      <c r="K270" s="103"/>
      <c r="L270" s="103"/>
      <c r="M270" s="105" t="str">
        <f>IFERROR(VLOOKUP(G270,Reference!$I$2:$J$175,2,FALSE()),"Operations")</f>
        <v>Operations</v>
      </c>
    </row>
    <row r="271" spans="1:13" ht="15" customHeight="1" x14ac:dyDescent="0.25">
      <c r="A271" s="100"/>
      <c r="B271" s="101"/>
      <c r="C271" s="101"/>
      <c r="D271" s="100">
        <f>IF(OR(B271="",C271=""),"",IF(DATEDIF(C271,B271,"y")&gt;=1,DATEDIF(C271,B271,"y")&amp;IF(DATEDIF(C271,B271,"y")=1," year "," years ")&amp;DATEDIF(C271,B271,"ym")&amp;IF(DATEDIF(C271,B271,"ym")=1," month"," months"),IF(DATEDIF(C271,B271,"m")&gt;=1,DATEDIF(C271,B271,"m")&amp;IF(DATEDIF(C271,B271,"m")=1," month"," months"),DATEDIF(C271,B271,"d")&amp;IF(DATEDIF(C271,B271,"d")=1," day"," days"))))</f>
      </c>
      <c r="E271" s="100"/>
      <c r="F271" s="100"/>
      <c r="G271" s="100"/>
      <c r="H271" s="100"/>
      <c r="I271" s="100"/>
      <c r="J271" s="101"/>
      <c r="K271" s="100"/>
      <c r="L271" s="100"/>
      <c r="M271" s="102" t="str">
        <f>IFERROR(VLOOKUP(G271,Reference!$I$2:$J$175,2,FALSE()),"Operations")</f>
        <v>Operations</v>
      </c>
    </row>
    <row r="272" spans="1:13" ht="15" customHeight="1" x14ac:dyDescent="0.25">
      <c r="A272" s="103"/>
      <c r="B272" s="104"/>
      <c r="C272" s="104"/>
      <c r="D272" s="103">
        <f>IF(OR(B272="",C272=""),"",IF(DATEDIF(C272,B272,"y")&gt;=1,DATEDIF(C272,B272,"y")&amp;IF(DATEDIF(C272,B272,"y")=1," year "," years ")&amp;DATEDIF(C272,B272,"ym")&amp;IF(DATEDIF(C272,B272,"ym")=1," month"," months"),IF(DATEDIF(C272,B272,"m")&gt;=1,DATEDIF(C272,B272,"m")&amp;IF(DATEDIF(C272,B272,"m")=1," month"," months"),DATEDIF(C272,B272,"d")&amp;IF(DATEDIF(C272,B272,"d")=1," day"," days"))))</f>
      </c>
      <c r="E272" s="103"/>
      <c r="F272" s="103"/>
      <c r="G272" s="103"/>
      <c r="H272" s="103"/>
      <c r="I272" s="103"/>
      <c r="J272" s="104"/>
      <c r="K272" s="103"/>
      <c r="L272" s="103"/>
      <c r="M272" s="105" t="str">
        <f>IFERROR(VLOOKUP(G272,Reference!$I$2:$J$175,2,FALSE()),"Operations")</f>
        <v>Operations</v>
      </c>
    </row>
    <row r="273" spans="1:13" ht="15" customHeight="1" x14ac:dyDescent="0.25">
      <c r="A273" s="100"/>
      <c r="B273" s="101"/>
      <c r="C273" s="101"/>
      <c r="D273" s="100">
        <f>IF(OR(B273="",C273=""),"",IF(DATEDIF(C273,B273,"y")&gt;=1,DATEDIF(C273,B273,"y")&amp;IF(DATEDIF(C273,B273,"y")=1," year "," years ")&amp;DATEDIF(C273,B273,"ym")&amp;IF(DATEDIF(C273,B273,"ym")=1," month"," months"),IF(DATEDIF(C273,B273,"m")&gt;=1,DATEDIF(C273,B273,"m")&amp;IF(DATEDIF(C273,B273,"m")=1," month"," months"),DATEDIF(C273,B273,"d")&amp;IF(DATEDIF(C273,B273,"d")=1," day"," days"))))</f>
      </c>
      <c r="E273" s="100"/>
      <c r="F273" s="100"/>
      <c r="G273" s="100"/>
      <c r="H273" s="100"/>
      <c r="I273" s="100"/>
      <c r="J273" s="101"/>
      <c r="K273" s="100"/>
      <c r="L273" s="100"/>
      <c r="M273" s="102" t="str">
        <f>IFERROR(VLOOKUP(G273,Reference!$I$2:$J$175,2,FALSE()),"Operations")</f>
        <v>Operations</v>
      </c>
    </row>
    <row r="274" spans="1:13" ht="15" customHeight="1" x14ac:dyDescent="0.25">
      <c r="A274" s="103"/>
      <c r="B274" s="104"/>
      <c r="C274" s="104"/>
      <c r="D274" s="103">
        <f>IF(OR(B274="",C274=""),"",IF(DATEDIF(C274,B274,"y")&gt;=1,DATEDIF(C274,B274,"y")&amp;IF(DATEDIF(C274,B274,"y")=1," year "," years ")&amp;DATEDIF(C274,B274,"ym")&amp;IF(DATEDIF(C274,B274,"ym")=1," month"," months"),IF(DATEDIF(C274,B274,"m")&gt;=1,DATEDIF(C274,B274,"m")&amp;IF(DATEDIF(C274,B274,"m")=1," month"," months"),DATEDIF(C274,B274,"d")&amp;IF(DATEDIF(C274,B274,"d")=1," day"," days"))))</f>
      </c>
      <c r="E274" s="103"/>
      <c r="F274" s="103"/>
      <c r="G274" s="103"/>
      <c r="H274" s="103"/>
      <c r="I274" s="103"/>
      <c r="J274" s="104"/>
      <c r="K274" s="103"/>
      <c r="L274" s="103"/>
      <c r="M274" s="105" t="str">
        <f>IFERROR(VLOOKUP(G274,Reference!$I$2:$J$175,2,FALSE()),"Operations")</f>
        <v>Operations</v>
      </c>
    </row>
    <row r="275" spans="1:13" ht="15" customHeight="1" x14ac:dyDescent="0.25">
      <c r="A275" s="100"/>
      <c r="B275" s="101"/>
      <c r="C275" s="101"/>
      <c r="D275" s="100">
        <f>IF(OR(B275="",C275=""),"",IF(DATEDIF(C275,B275,"y")&gt;=1,DATEDIF(C275,B275,"y")&amp;IF(DATEDIF(C275,B275,"y")=1," year "," years ")&amp;DATEDIF(C275,B275,"ym")&amp;IF(DATEDIF(C275,B275,"ym")=1," month"," months"),IF(DATEDIF(C275,B275,"m")&gt;=1,DATEDIF(C275,B275,"m")&amp;IF(DATEDIF(C275,B275,"m")=1," month"," months"),DATEDIF(C275,B275,"d")&amp;IF(DATEDIF(C275,B275,"d")=1," day"," days"))))</f>
      </c>
      <c r="E275" s="100"/>
      <c r="F275" s="100"/>
      <c r="G275" s="100"/>
      <c r="H275" s="100"/>
      <c r="I275" s="100"/>
      <c r="J275" s="101"/>
      <c r="K275" s="100"/>
      <c r="L275" s="100"/>
      <c r="M275" s="102" t="str">
        <f>IFERROR(VLOOKUP(G275,Reference!$I$2:$J$175,2,FALSE()),"Operations")</f>
        <v>Operations</v>
      </c>
    </row>
    <row r="276" spans="1:13" ht="15" customHeight="1" x14ac:dyDescent="0.25">
      <c r="A276" s="103"/>
      <c r="B276" s="104"/>
      <c r="C276" s="104"/>
      <c r="D276" s="103">
        <f>IF(OR(B276="",C276=""),"",IF(DATEDIF(C276,B276,"y")&gt;=1,DATEDIF(C276,B276,"y")&amp;IF(DATEDIF(C276,B276,"y")=1," year "," years ")&amp;DATEDIF(C276,B276,"ym")&amp;IF(DATEDIF(C276,B276,"ym")=1," month"," months"),IF(DATEDIF(C276,B276,"m")&gt;=1,DATEDIF(C276,B276,"m")&amp;IF(DATEDIF(C276,B276,"m")=1," month"," months"),DATEDIF(C276,B276,"d")&amp;IF(DATEDIF(C276,B276,"d")=1," day"," days"))))</f>
      </c>
      <c r="E276" s="103"/>
      <c r="F276" s="103"/>
      <c r="G276" s="103"/>
      <c r="H276" s="103"/>
      <c r="I276" s="103"/>
      <c r="J276" s="104"/>
      <c r="K276" s="103"/>
      <c r="L276" s="103"/>
      <c r="M276" s="105" t="str">
        <f>IFERROR(VLOOKUP(G276,Reference!$I$2:$J$175,2,FALSE()),"Operations")</f>
        <v>Operations</v>
      </c>
    </row>
    <row r="277" spans="1:13" ht="15" customHeight="1" x14ac:dyDescent="0.25">
      <c r="A277" s="106" t="s">
        <v>163</v>
      </c>
      <c r="B277" s="107">
        <f>COUNTA(A247:A276)</f>
        <v>14</v>
      </c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</row>
    <row r="278" spans="1:13" ht="6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</row>
    <row r="279" spans="1:13" ht="21.75" customHeight="1" x14ac:dyDescent="0.25">
      <c r="A279" s="163" t="s">
        <v>526</v>
      </c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</row>
    <row r="280" spans="1:13" ht="19.5" customHeight="1" x14ac:dyDescent="0.25">
      <c r="A280" s="64" t="s">
        <v>151</v>
      </c>
      <c r="B280" s="64" t="s">
        <v>152</v>
      </c>
      <c r="C280" s="64" t="s">
        <v>153</v>
      </c>
      <c r="D280" s="64" t="s">
        <v>154</v>
      </c>
      <c r="E280" s="64" t="s">
        <v>155</v>
      </c>
      <c r="F280" s="64" t="s">
        <v>156</v>
      </c>
      <c r="G280" s="64" t="s">
        <v>157</v>
      </c>
      <c r="H280" s="64" t="s">
        <v>158</v>
      </c>
      <c r="I280" s="64" t="s">
        <v>159</v>
      </c>
      <c r="J280" s="64" t="s">
        <v>160</v>
      </c>
      <c r="K280" s="64" t="s">
        <v>134</v>
      </c>
      <c r="L280" s="64" t="s">
        <v>161</v>
      </c>
      <c r="M280" s="64" t="s">
        <v>162</v>
      </c>
    </row>
    <row r="281" spans="1:13" ht="15" customHeight="1" x14ac:dyDescent="0.25">
      <c r="A281" s="77" t="s">
        <v>527</v>
      </c>
      <c r="B281" s="111">
        <v>45903</v>
      </c>
      <c r="C281" s="111">
        <v>44977</v>
      </c>
      <c r="D281" s="77" t="str">
        <f t="shared" ref="D281:D292" si="2">IF(OR(B281="",C281=""),"",IF(DATEDIF(C281,B281,"y")&gt;=1,DATEDIF(C281,B281,"y")&amp;IF(DATEDIF(C281,B281,"y")=1," year "," years ")&amp;DATEDIF(C281,B281,"ym")&amp;IF(DATEDIF(C281,B281,"ym")=1," month"," months"),IF(DATEDIF(C281,B281,"m")&gt;=1,DATEDIF(C281,B281,"m")&amp;IF(DATEDIF(C281,B281,"m")=1," month"," months"),DATEDIF(C281,B281,"d")&amp;IF(DATEDIF(C281,B281,"d")=1," day"," days"))))</f>
        <v>2 years 6 months</v>
      </c>
      <c r="E281" s="77" t="s">
        <v>184</v>
      </c>
      <c r="F281" s="77" t="s">
        <v>191</v>
      </c>
      <c r="G281" s="77" t="s">
        <v>481</v>
      </c>
      <c r="H281" s="77" t="s">
        <v>53</v>
      </c>
      <c r="I281" s="77" t="s">
        <v>193</v>
      </c>
      <c r="J281" s="111">
        <v>45902</v>
      </c>
      <c r="K281" s="77" t="s">
        <v>74</v>
      </c>
      <c r="L281" s="77"/>
      <c r="M281" s="102" t="str">
        <f>IFERROR(VLOOKUP(G281,Reference!$I$2:$J$175,2,FALSE()),"Operations")</f>
        <v>Professional Services</v>
      </c>
    </row>
    <row r="282" spans="1:13" ht="15" customHeight="1" x14ac:dyDescent="0.25">
      <c r="A282" s="80" t="s">
        <v>528</v>
      </c>
      <c r="B282" s="112">
        <v>45905</v>
      </c>
      <c r="C282" s="112">
        <v>45792</v>
      </c>
      <c r="D282" s="80" t="str">
        <f t="shared" si="2"/>
        <v>3 months</v>
      </c>
      <c r="E282" s="80" t="s">
        <v>179</v>
      </c>
      <c r="F282" s="80" t="s">
        <v>191</v>
      </c>
      <c r="G282" s="80" t="s">
        <v>285</v>
      </c>
      <c r="H282" s="80" t="s">
        <v>53</v>
      </c>
      <c r="I282" s="80" t="s">
        <v>529</v>
      </c>
      <c r="J282" s="80" t="s">
        <v>376</v>
      </c>
      <c r="K282" s="80" t="s">
        <v>81</v>
      </c>
      <c r="L282" s="80"/>
      <c r="M282" s="105" t="str">
        <f>IFERROR(VLOOKUP(G282,Reference!$I$2:$J$175,2,FALSE()),"Operations")</f>
        <v>Children Services</v>
      </c>
    </row>
    <row r="283" spans="1:13" ht="15" customHeight="1" x14ac:dyDescent="0.25">
      <c r="A283" s="77" t="s">
        <v>530</v>
      </c>
      <c r="B283" s="111">
        <v>45920</v>
      </c>
      <c r="C283" s="111">
        <v>45679</v>
      </c>
      <c r="D283" s="77" t="str">
        <f t="shared" si="2"/>
        <v>7 months</v>
      </c>
      <c r="E283" s="77" t="s">
        <v>184</v>
      </c>
      <c r="F283" s="77" t="s">
        <v>191</v>
      </c>
      <c r="G283" s="77" t="s">
        <v>456</v>
      </c>
      <c r="H283" s="77" t="s">
        <v>53</v>
      </c>
      <c r="I283" s="77" t="s">
        <v>457</v>
      </c>
      <c r="J283" s="77" t="s">
        <v>531</v>
      </c>
      <c r="K283" s="77" t="s">
        <v>66</v>
      </c>
      <c r="L283" s="77"/>
      <c r="M283" s="102" t="str">
        <f>IFERROR(VLOOKUP(G283,Reference!$I$2:$J$175,2,FALSE()),"Operations")</f>
        <v>Operations</v>
      </c>
    </row>
    <row r="284" spans="1:13" ht="15" customHeight="1" x14ac:dyDescent="0.25">
      <c r="A284" s="80" t="s">
        <v>532</v>
      </c>
      <c r="B284" s="112">
        <v>45912</v>
      </c>
      <c r="C284" s="112">
        <v>45400</v>
      </c>
      <c r="D284" s="80" t="str">
        <f t="shared" si="2"/>
        <v>1 year 4 months</v>
      </c>
      <c r="E284" s="80" t="s">
        <v>179</v>
      </c>
      <c r="F284" s="80" t="s">
        <v>191</v>
      </c>
      <c r="G284" s="80" t="s">
        <v>533</v>
      </c>
      <c r="H284" s="80" t="s">
        <v>53</v>
      </c>
      <c r="I284" s="80" t="s">
        <v>457</v>
      </c>
      <c r="J284" s="112">
        <v>45917</v>
      </c>
      <c r="K284" s="80" t="s">
        <v>66</v>
      </c>
      <c r="L284" s="80"/>
      <c r="M284" s="105" t="str">
        <f>IFERROR(VLOOKUP(G284,Reference!$I$2:$J$175,2,FALSE()),"Operations")</f>
        <v>Operations</v>
      </c>
    </row>
    <row r="285" spans="1:13" ht="15" customHeight="1" x14ac:dyDescent="0.25">
      <c r="A285" s="77" t="s">
        <v>534</v>
      </c>
      <c r="B285" s="111">
        <v>45917</v>
      </c>
      <c r="C285" s="111">
        <v>45866</v>
      </c>
      <c r="D285" s="77" t="str">
        <f t="shared" si="2"/>
        <v>1 month</v>
      </c>
      <c r="E285" s="77" t="s">
        <v>179</v>
      </c>
      <c r="F285" s="77" t="s">
        <v>180</v>
      </c>
      <c r="G285" s="77" t="s">
        <v>535</v>
      </c>
      <c r="H285" s="77" t="s">
        <v>69</v>
      </c>
      <c r="I285" s="77" t="s">
        <v>476</v>
      </c>
      <c r="J285" s="77" t="s">
        <v>376</v>
      </c>
      <c r="K285" s="77" t="s">
        <v>66</v>
      </c>
      <c r="L285" s="77"/>
      <c r="M285" s="102" t="str">
        <f>IFERROR(VLOOKUP(G285,Reference!$I$2:$J$175,2,FALSE()),"Operations")</f>
        <v>Operations</v>
      </c>
    </row>
    <row r="286" spans="1:13" ht="15" customHeight="1" x14ac:dyDescent="0.25">
      <c r="A286" s="80" t="s">
        <v>536</v>
      </c>
      <c r="B286" s="112">
        <v>45919</v>
      </c>
      <c r="C286" s="112">
        <v>45835</v>
      </c>
      <c r="D286" s="80" t="str">
        <f t="shared" si="2"/>
        <v>2 months</v>
      </c>
      <c r="E286" s="80" t="s">
        <v>179</v>
      </c>
      <c r="F286" s="80" t="s">
        <v>191</v>
      </c>
      <c r="G286" s="80" t="s">
        <v>535</v>
      </c>
      <c r="H286" s="80" t="s">
        <v>53</v>
      </c>
      <c r="I286" s="80" t="s">
        <v>212</v>
      </c>
      <c r="J286" s="112">
        <v>45929</v>
      </c>
      <c r="K286" s="80" t="s">
        <v>66</v>
      </c>
      <c r="L286" s="80"/>
      <c r="M286" s="105" t="str">
        <f>IFERROR(VLOOKUP(G286,Reference!$I$2:$J$175,2,FALSE()),"Operations")</f>
        <v>Operations</v>
      </c>
    </row>
    <row r="287" spans="1:13" ht="15" customHeight="1" x14ac:dyDescent="0.25">
      <c r="A287" s="77" t="s">
        <v>537</v>
      </c>
      <c r="B287" s="111">
        <v>45925</v>
      </c>
      <c r="C287" s="111">
        <v>45908</v>
      </c>
      <c r="D287" s="77" t="str">
        <f t="shared" si="2"/>
        <v>17 days</v>
      </c>
      <c r="E287" s="77" t="s">
        <v>184</v>
      </c>
      <c r="F287" s="77" t="s">
        <v>191</v>
      </c>
      <c r="G287" s="77" t="s">
        <v>303</v>
      </c>
      <c r="H287" s="77" t="s">
        <v>53</v>
      </c>
      <c r="I287" s="77" t="s">
        <v>519</v>
      </c>
      <c r="J287" s="77" t="s">
        <v>376</v>
      </c>
      <c r="K287" s="77" t="s">
        <v>83</v>
      </c>
      <c r="L287" s="77"/>
      <c r="M287" s="102" t="str">
        <f>IFERROR(VLOOKUP(G287,Reference!$I$2:$J$175,2,FALSE()),"Operations")</f>
        <v>Children Services</v>
      </c>
    </row>
    <row r="288" spans="1:13" ht="15" customHeight="1" x14ac:dyDescent="0.25">
      <c r="A288" s="80" t="s">
        <v>538</v>
      </c>
      <c r="B288" s="112">
        <v>45924</v>
      </c>
      <c r="C288" s="112">
        <v>45908</v>
      </c>
      <c r="D288" s="80" t="str">
        <f t="shared" si="2"/>
        <v>16 days</v>
      </c>
      <c r="E288" s="80" t="s">
        <v>179</v>
      </c>
      <c r="F288" s="80" t="s">
        <v>180</v>
      </c>
      <c r="G288" s="80" t="s">
        <v>285</v>
      </c>
      <c r="H288" s="80" t="s">
        <v>53</v>
      </c>
      <c r="I288" s="80" t="s">
        <v>529</v>
      </c>
      <c r="J288" s="80" t="s">
        <v>376</v>
      </c>
      <c r="K288" s="80" t="s">
        <v>83</v>
      </c>
      <c r="L288" s="80"/>
      <c r="M288" s="105" t="str">
        <f>IFERROR(VLOOKUP(G288,Reference!$I$2:$J$175,2,FALSE()),"Operations")</f>
        <v>Children Services</v>
      </c>
    </row>
    <row r="289" spans="1:13" ht="15" customHeight="1" x14ac:dyDescent="0.25">
      <c r="A289" s="77" t="s">
        <v>539</v>
      </c>
      <c r="B289" s="111">
        <v>45924</v>
      </c>
      <c r="C289" s="111">
        <v>45806</v>
      </c>
      <c r="D289" s="77" t="str">
        <f t="shared" si="2"/>
        <v>3 months</v>
      </c>
      <c r="E289" s="77" t="s">
        <v>179</v>
      </c>
      <c r="F289" s="77" t="s">
        <v>180</v>
      </c>
      <c r="G289" s="77" t="s">
        <v>285</v>
      </c>
      <c r="H289" s="77" t="s">
        <v>53</v>
      </c>
      <c r="I289" s="77" t="s">
        <v>529</v>
      </c>
      <c r="J289" s="77" t="s">
        <v>376</v>
      </c>
      <c r="K289" s="77" t="s">
        <v>83</v>
      </c>
      <c r="L289" s="77"/>
      <c r="M289" s="102" t="str">
        <f>IFERROR(VLOOKUP(G289,Reference!$I$2:$J$175,2,FALSE()),"Operations")</f>
        <v>Children Services</v>
      </c>
    </row>
    <row r="290" spans="1:13" ht="15" customHeight="1" x14ac:dyDescent="0.25">
      <c r="A290" s="80" t="s">
        <v>540</v>
      </c>
      <c r="B290" s="112">
        <v>45925</v>
      </c>
      <c r="C290" s="112">
        <v>45764</v>
      </c>
      <c r="D290" s="80" t="str">
        <f t="shared" si="2"/>
        <v>5 months</v>
      </c>
      <c r="E290" s="80" t="s">
        <v>179</v>
      </c>
      <c r="F290" s="80" t="s">
        <v>191</v>
      </c>
      <c r="G290" s="80" t="s">
        <v>355</v>
      </c>
      <c r="H290" s="80" t="s">
        <v>69</v>
      </c>
      <c r="I290" s="80" t="s">
        <v>187</v>
      </c>
      <c r="J290" s="80" t="s">
        <v>531</v>
      </c>
      <c r="K290" s="80" t="s">
        <v>66</v>
      </c>
      <c r="L290" s="80"/>
      <c r="M290" s="105" t="str">
        <f>IFERROR(VLOOKUP(G290,Reference!$I$2:$J$175,2,FALSE()),"Operations")</f>
        <v>Operations</v>
      </c>
    </row>
    <row r="291" spans="1:13" ht="15" customHeight="1" x14ac:dyDescent="0.25">
      <c r="A291" s="77" t="s">
        <v>541</v>
      </c>
      <c r="B291" s="111">
        <v>45926</v>
      </c>
      <c r="C291" s="111">
        <v>44586</v>
      </c>
      <c r="D291" s="77" t="str">
        <f t="shared" si="2"/>
        <v>3 years 8 months</v>
      </c>
      <c r="E291" s="77" t="s">
        <v>179</v>
      </c>
      <c r="F291" s="77" t="s">
        <v>180</v>
      </c>
      <c r="G291" s="77" t="s">
        <v>507</v>
      </c>
      <c r="H291" s="77" t="s">
        <v>53</v>
      </c>
      <c r="I291" s="77" t="s">
        <v>377</v>
      </c>
      <c r="J291" s="111">
        <v>45930</v>
      </c>
      <c r="K291" s="77" t="s">
        <v>68</v>
      </c>
      <c r="L291" s="77"/>
      <c r="M291" s="102" t="str">
        <f>IFERROR(VLOOKUP(G291,Reference!$I$2:$J$175,2,FALSE()),"Operations")</f>
        <v>Operations</v>
      </c>
    </row>
    <row r="292" spans="1:13" ht="15" customHeight="1" x14ac:dyDescent="0.25">
      <c r="A292" s="80" t="s">
        <v>542</v>
      </c>
      <c r="B292" s="112">
        <v>45926</v>
      </c>
      <c r="C292" s="112">
        <v>45910</v>
      </c>
      <c r="D292" s="80" t="str">
        <f t="shared" si="2"/>
        <v>16 days</v>
      </c>
      <c r="E292" s="80" t="s">
        <v>179</v>
      </c>
      <c r="F292" s="80" t="s">
        <v>191</v>
      </c>
      <c r="G292" s="80" t="s">
        <v>490</v>
      </c>
      <c r="H292" s="80" t="s">
        <v>53</v>
      </c>
      <c r="I292" s="80" t="s">
        <v>394</v>
      </c>
      <c r="J292" s="80" t="s">
        <v>531</v>
      </c>
      <c r="K292" s="80" t="s">
        <v>68</v>
      </c>
      <c r="L292" s="80"/>
      <c r="M292" s="105" t="str">
        <f>IFERROR(VLOOKUP(G292,Reference!$I$2:$J$175,2,FALSE()),"Operations")</f>
        <v>Operations</v>
      </c>
    </row>
    <row r="293" spans="1:13" ht="15" customHeight="1" x14ac:dyDescent="0.25">
      <c r="A293" s="100"/>
      <c r="B293" s="101"/>
      <c r="C293" s="101"/>
      <c r="D293" s="100">
        <f>IF(OR(B293="",C293=""),"",IF(DATEDIF(C293,B293,"y")&gt;=1,DATEDIF(C293,B293,"y")&amp;IF(DATEDIF(C293,B293,"y")=1," year "," years ")&amp;DATEDIF(C293,B293,"ym")&amp;IF(DATEDIF(C293,B293,"ym")=1," month"," months"),IF(DATEDIF(C293,B293,"m")&gt;=1,DATEDIF(C293,B293,"m")&amp;IF(DATEDIF(C293,B293,"m")=1," month"," months"),DATEDIF(C293,B293,"d")&amp;IF(DATEDIF(C293,B293,"d")=1," day"," days"))))</f>
      </c>
      <c r="E293" s="100"/>
      <c r="F293" s="100"/>
      <c r="G293" s="100"/>
      <c r="H293" s="100"/>
      <c r="I293" s="100"/>
      <c r="J293" s="101"/>
      <c r="K293" s="100"/>
      <c r="L293" s="100"/>
      <c r="M293" s="102" t="str">
        <f>IFERROR(VLOOKUP(G293,Reference!$I$2:$J$175,2,FALSE()),"Operations")</f>
        <v>Operations</v>
      </c>
    </row>
    <row r="294" spans="1:13" ht="15" customHeight="1" x14ac:dyDescent="0.25">
      <c r="A294" s="103"/>
      <c r="B294" s="104"/>
      <c r="C294" s="104"/>
      <c r="D294" s="103">
        <f>IF(OR(B294="",C294=""),"",IF(DATEDIF(C294,B294,"y")&gt;=1,DATEDIF(C294,B294,"y")&amp;IF(DATEDIF(C294,B294,"y")=1," year "," years ")&amp;DATEDIF(C294,B294,"ym")&amp;IF(DATEDIF(C294,B294,"ym")=1," month"," months"),IF(DATEDIF(C294,B294,"m")&gt;=1,DATEDIF(C294,B294,"m")&amp;IF(DATEDIF(C294,B294,"m")=1," month"," months"),DATEDIF(C294,B294,"d")&amp;IF(DATEDIF(C294,B294,"d")=1," day"," days"))))</f>
      </c>
      <c r="E294" s="103"/>
      <c r="F294" s="103"/>
      <c r="G294" s="103"/>
      <c r="H294" s="103"/>
      <c r="I294" s="103"/>
      <c r="J294" s="104"/>
      <c r="K294" s="103"/>
      <c r="L294" s="103"/>
      <c r="M294" s="105" t="str">
        <f>IFERROR(VLOOKUP(G294,Reference!$I$2:$J$175,2,FALSE()),"Operations")</f>
        <v>Operations</v>
      </c>
    </row>
    <row r="295" spans="1:13" ht="15" customHeight="1" x14ac:dyDescent="0.25">
      <c r="A295" s="100"/>
      <c r="B295" s="101"/>
      <c r="C295" s="101"/>
      <c r="D295" s="100">
        <f>IF(OR(B295="",C295=""),"",IF(DATEDIF(C295,B295,"y")&gt;=1,DATEDIF(C295,B295,"y")&amp;IF(DATEDIF(C295,B295,"y")=1," year "," years ")&amp;DATEDIF(C295,B295,"ym")&amp;IF(DATEDIF(C295,B295,"ym")=1," month"," months"),IF(DATEDIF(C295,B295,"m")&gt;=1,DATEDIF(C295,B295,"m")&amp;IF(DATEDIF(C295,B295,"m")=1," month"," months"),DATEDIF(C295,B295,"d")&amp;IF(DATEDIF(C295,B295,"d")=1," day"," days"))))</f>
      </c>
      <c r="E295" s="100"/>
      <c r="F295" s="100"/>
      <c r="G295" s="100"/>
      <c r="H295" s="100"/>
      <c r="I295" s="100"/>
      <c r="J295" s="101"/>
      <c r="K295" s="100"/>
      <c r="L295" s="100"/>
      <c r="M295" s="102" t="str">
        <f>IFERROR(VLOOKUP(G295,Reference!$I$2:$J$175,2,FALSE()),"Operations")</f>
        <v>Operations</v>
      </c>
    </row>
    <row r="296" spans="1:13" ht="15" customHeight="1" x14ac:dyDescent="0.25">
      <c r="A296" s="103"/>
      <c r="B296" s="104"/>
      <c r="C296" s="104"/>
      <c r="D296" s="103">
        <f>IF(OR(B296="",C296=""),"",IF(DATEDIF(C296,B296,"y")&gt;=1,DATEDIF(C296,B296,"y")&amp;IF(DATEDIF(C296,B296,"y")=1," year "," years ")&amp;DATEDIF(C296,B296,"ym")&amp;IF(DATEDIF(C296,B296,"ym")=1," month"," months"),IF(DATEDIF(C296,B296,"m")&gt;=1,DATEDIF(C296,B296,"m")&amp;IF(DATEDIF(C296,B296,"m")=1," month"," months"),DATEDIF(C296,B296,"d")&amp;IF(DATEDIF(C296,B296,"d")=1," day"," days"))))</f>
      </c>
      <c r="E296" s="103"/>
      <c r="F296" s="103"/>
      <c r="G296" s="103"/>
      <c r="H296" s="103"/>
      <c r="I296" s="103"/>
      <c r="J296" s="104"/>
      <c r="K296" s="103"/>
      <c r="L296" s="103"/>
      <c r="M296" s="105" t="str">
        <f>IFERROR(VLOOKUP(G296,Reference!$I$2:$J$175,2,FALSE()),"Operations")</f>
        <v>Operations</v>
      </c>
    </row>
    <row r="297" spans="1:13" ht="15" customHeight="1" x14ac:dyDescent="0.25">
      <c r="A297" s="100"/>
      <c r="B297" s="101"/>
      <c r="C297" s="101"/>
      <c r="D297" s="100">
        <f>IF(OR(B297="",C297=""),"",IF(DATEDIF(C297,B297,"y")&gt;=1,DATEDIF(C297,B297,"y")&amp;IF(DATEDIF(C297,B297,"y")=1," year "," years ")&amp;DATEDIF(C297,B297,"ym")&amp;IF(DATEDIF(C297,B297,"ym")=1," month"," months"),IF(DATEDIF(C297,B297,"m")&gt;=1,DATEDIF(C297,B297,"m")&amp;IF(DATEDIF(C297,B297,"m")=1," month"," months"),DATEDIF(C297,B297,"d")&amp;IF(DATEDIF(C297,B297,"d")=1," day"," days"))))</f>
      </c>
      <c r="E297" s="100"/>
      <c r="F297" s="100"/>
      <c r="G297" s="100"/>
      <c r="H297" s="100"/>
      <c r="I297" s="100"/>
      <c r="J297" s="101"/>
      <c r="K297" s="100"/>
      <c r="L297" s="100"/>
      <c r="M297" s="102" t="str">
        <f>IFERROR(VLOOKUP(G297,Reference!$I$2:$J$175,2,FALSE()),"Operations")</f>
        <v>Operations</v>
      </c>
    </row>
    <row r="298" spans="1:13" ht="15" customHeight="1" x14ac:dyDescent="0.25">
      <c r="A298" s="103"/>
      <c r="B298" s="104"/>
      <c r="C298" s="104"/>
      <c r="D298" s="103">
        <f>IF(OR(B298="",C298=""),"",IF(DATEDIF(C298,B298,"y")&gt;=1,DATEDIF(C298,B298,"y")&amp;IF(DATEDIF(C298,B298,"y")=1," year "," years ")&amp;DATEDIF(C298,B298,"ym")&amp;IF(DATEDIF(C298,B298,"ym")=1," month"," months"),IF(DATEDIF(C298,B298,"m")&gt;=1,DATEDIF(C298,B298,"m")&amp;IF(DATEDIF(C298,B298,"m")=1," month"," months"),DATEDIF(C298,B298,"d")&amp;IF(DATEDIF(C298,B298,"d")=1," day"," days"))))</f>
      </c>
      <c r="E298" s="103"/>
      <c r="F298" s="103"/>
      <c r="G298" s="103"/>
      <c r="H298" s="103"/>
      <c r="I298" s="103"/>
      <c r="J298" s="104"/>
      <c r="K298" s="103"/>
      <c r="L298" s="103"/>
      <c r="M298" s="105" t="str">
        <f>IFERROR(VLOOKUP(G298,Reference!$I$2:$J$175,2,FALSE()),"Operations")</f>
        <v>Operations</v>
      </c>
    </row>
    <row r="299" spans="1:13" ht="15" customHeight="1" x14ac:dyDescent="0.25">
      <c r="A299" s="100"/>
      <c r="B299" s="101"/>
      <c r="C299" s="101"/>
      <c r="D299" s="100">
        <f>IF(OR(B299="",C299=""),"",IF(DATEDIF(C299,B299,"y")&gt;=1,DATEDIF(C299,B299,"y")&amp;IF(DATEDIF(C299,B299,"y")=1," year "," years ")&amp;DATEDIF(C299,B299,"ym")&amp;IF(DATEDIF(C299,B299,"ym")=1," month"," months"),IF(DATEDIF(C299,B299,"m")&gt;=1,DATEDIF(C299,B299,"m")&amp;IF(DATEDIF(C299,B299,"m")=1," month"," months"),DATEDIF(C299,B299,"d")&amp;IF(DATEDIF(C299,B299,"d")=1," day"," days"))))</f>
      </c>
      <c r="E299" s="100"/>
      <c r="F299" s="100"/>
      <c r="G299" s="100"/>
      <c r="H299" s="100"/>
      <c r="I299" s="100"/>
      <c r="J299" s="101"/>
      <c r="K299" s="100"/>
      <c r="L299" s="100"/>
      <c r="M299" s="102" t="str">
        <f>IFERROR(VLOOKUP(G299,Reference!$I$2:$J$175,2,FALSE()),"Operations")</f>
        <v>Operations</v>
      </c>
    </row>
    <row r="300" spans="1:13" ht="15" customHeight="1" x14ac:dyDescent="0.25">
      <c r="A300" s="103"/>
      <c r="B300" s="104"/>
      <c r="C300" s="104"/>
      <c r="D300" s="103">
        <f>IF(OR(B300="",C300=""),"",IF(DATEDIF(C300,B300,"y")&gt;=1,DATEDIF(C300,B300,"y")&amp;IF(DATEDIF(C300,B300,"y")=1," year "," years ")&amp;DATEDIF(C300,B300,"ym")&amp;IF(DATEDIF(C300,B300,"ym")=1," month"," months"),IF(DATEDIF(C300,B300,"m")&gt;=1,DATEDIF(C300,B300,"m")&amp;IF(DATEDIF(C300,B300,"m")=1," month"," months"),DATEDIF(C300,B300,"d")&amp;IF(DATEDIF(C300,B300,"d")=1," day"," days"))))</f>
      </c>
      <c r="E300" s="103"/>
      <c r="F300" s="103"/>
      <c r="G300" s="103"/>
      <c r="H300" s="103"/>
      <c r="I300" s="103"/>
      <c r="J300" s="104"/>
      <c r="K300" s="103"/>
      <c r="L300" s="103"/>
      <c r="M300" s="105" t="str">
        <f>IFERROR(VLOOKUP(G300,Reference!$I$2:$J$175,2,FALSE()),"Operations")</f>
        <v>Operations</v>
      </c>
    </row>
    <row r="301" spans="1:13" ht="15" customHeight="1" x14ac:dyDescent="0.25">
      <c r="A301" s="100"/>
      <c r="B301" s="101"/>
      <c r="C301" s="101"/>
      <c r="D301" s="100">
        <f>IF(OR(B301="",C301=""),"",IF(DATEDIF(C301,B301,"y")&gt;=1,DATEDIF(C301,B301,"y")&amp;IF(DATEDIF(C301,B301,"y")=1," year "," years ")&amp;DATEDIF(C301,B301,"ym")&amp;IF(DATEDIF(C301,B301,"ym")=1," month"," months"),IF(DATEDIF(C301,B301,"m")&gt;=1,DATEDIF(C301,B301,"m")&amp;IF(DATEDIF(C301,B301,"m")=1," month"," months"),DATEDIF(C301,B301,"d")&amp;IF(DATEDIF(C301,B301,"d")=1," day"," days"))))</f>
      </c>
      <c r="E301" s="100"/>
      <c r="F301" s="100"/>
      <c r="G301" s="100"/>
      <c r="H301" s="100"/>
      <c r="I301" s="100"/>
      <c r="J301" s="101"/>
      <c r="K301" s="100"/>
      <c r="L301" s="100"/>
      <c r="M301" s="102" t="str">
        <f>IFERROR(VLOOKUP(G301,Reference!$I$2:$J$175,2,FALSE()),"Operations")</f>
        <v>Operations</v>
      </c>
    </row>
    <row r="302" spans="1:13" ht="15" customHeight="1" x14ac:dyDescent="0.25">
      <c r="A302" s="103"/>
      <c r="B302" s="104"/>
      <c r="C302" s="104"/>
      <c r="D302" s="103">
        <f>IF(OR(B302="",C302=""),"",IF(DATEDIF(C302,B302,"y")&gt;=1,DATEDIF(C302,B302,"y")&amp;IF(DATEDIF(C302,B302,"y")=1," year "," years ")&amp;DATEDIF(C302,B302,"ym")&amp;IF(DATEDIF(C302,B302,"ym")=1," month"," months"),IF(DATEDIF(C302,B302,"m")&gt;=1,DATEDIF(C302,B302,"m")&amp;IF(DATEDIF(C302,B302,"m")=1," month"," months"),DATEDIF(C302,B302,"d")&amp;IF(DATEDIF(C302,B302,"d")=1," day"," days"))))</f>
      </c>
      <c r="E302" s="103"/>
      <c r="F302" s="103"/>
      <c r="G302" s="103"/>
      <c r="H302" s="103"/>
      <c r="I302" s="103"/>
      <c r="J302" s="104"/>
      <c r="K302" s="103"/>
      <c r="L302" s="103"/>
      <c r="M302" s="105" t="str">
        <f>IFERROR(VLOOKUP(G302,Reference!$I$2:$J$175,2,FALSE()),"Operations")</f>
        <v>Operations</v>
      </c>
    </row>
    <row r="303" spans="1:13" ht="15" customHeight="1" x14ac:dyDescent="0.25">
      <c r="A303" s="100"/>
      <c r="B303" s="101"/>
      <c r="C303" s="101"/>
      <c r="D303" s="100">
        <f>IF(OR(B303="",C303=""),"",IF(DATEDIF(C303,B303,"y")&gt;=1,DATEDIF(C303,B303,"y")&amp;IF(DATEDIF(C303,B303,"y")=1," year "," years ")&amp;DATEDIF(C303,B303,"ym")&amp;IF(DATEDIF(C303,B303,"ym")=1," month"," months"),IF(DATEDIF(C303,B303,"m")&gt;=1,DATEDIF(C303,B303,"m")&amp;IF(DATEDIF(C303,B303,"m")=1," month"," months"),DATEDIF(C303,B303,"d")&amp;IF(DATEDIF(C303,B303,"d")=1," day"," days"))))</f>
      </c>
      <c r="E303" s="100"/>
      <c r="F303" s="100"/>
      <c r="G303" s="100"/>
      <c r="H303" s="100"/>
      <c r="I303" s="100"/>
      <c r="J303" s="101"/>
      <c r="K303" s="100"/>
      <c r="L303" s="100"/>
      <c r="M303" s="102" t="str">
        <f>IFERROR(VLOOKUP(G303,Reference!$I$2:$J$175,2,FALSE()),"Operations")</f>
        <v>Operations</v>
      </c>
    </row>
    <row r="304" spans="1:13" ht="15" customHeight="1" x14ac:dyDescent="0.25">
      <c r="A304" s="103"/>
      <c r="B304" s="104"/>
      <c r="C304" s="104"/>
      <c r="D304" s="103">
        <f>IF(OR(B304="",C304=""),"",IF(DATEDIF(C304,B304,"y")&gt;=1,DATEDIF(C304,B304,"y")&amp;IF(DATEDIF(C304,B304,"y")=1," year "," years ")&amp;DATEDIF(C304,B304,"ym")&amp;IF(DATEDIF(C304,B304,"ym")=1," month"," months"),IF(DATEDIF(C304,B304,"m")&gt;=1,DATEDIF(C304,B304,"m")&amp;IF(DATEDIF(C304,B304,"m")=1," month"," months"),DATEDIF(C304,B304,"d")&amp;IF(DATEDIF(C304,B304,"d")=1," day"," days"))))</f>
      </c>
      <c r="E304" s="103"/>
      <c r="F304" s="103"/>
      <c r="G304" s="103"/>
      <c r="H304" s="103"/>
      <c r="I304" s="103"/>
      <c r="J304" s="104"/>
      <c r="K304" s="103"/>
      <c r="L304" s="103"/>
      <c r="M304" s="105" t="str">
        <f>IFERROR(VLOOKUP(G304,Reference!$I$2:$J$175,2,FALSE()),"Operations")</f>
        <v>Operations</v>
      </c>
    </row>
    <row r="305" spans="1:13" ht="15" customHeight="1" x14ac:dyDescent="0.25">
      <c r="A305" s="100"/>
      <c r="B305" s="101"/>
      <c r="C305" s="101"/>
      <c r="D305" s="100">
        <f>IF(OR(B305="",C305=""),"",IF(DATEDIF(C305,B305,"y")&gt;=1,DATEDIF(C305,B305,"y")&amp;IF(DATEDIF(C305,B305,"y")=1," year "," years ")&amp;DATEDIF(C305,B305,"ym")&amp;IF(DATEDIF(C305,B305,"ym")=1," month"," months"),IF(DATEDIF(C305,B305,"m")&gt;=1,DATEDIF(C305,B305,"m")&amp;IF(DATEDIF(C305,B305,"m")=1," month"," months"),DATEDIF(C305,B305,"d")&amp;IF(DATEDIF(C305,B305,"d")=1," day"," days"))))</f>
      </c>
      <c r="E305" s="100"/>
      <c r="F305" s="100"/>
      <c r="G305" s="100"/>
      <c r="H305" s="100"/>
      <c r="I305" s="100"/>
      <c r="J305" s="101"/>
      <c r="K305" s="100"/>
      <c r="L305" s="100"/>
      <c r="M305" s="102" t="str">
        <f>IFERROR(VLOOKUP(G305,Reference!$I$2:$J$175,2,FALSE()),"Operations")</f>
        <v>Operations</v>
      </c>
    </row>
    <row r="306" spans="1:13" ht="15" customHeight="1" x14ac:dyDescent="0.25">
      <c r="A306" s="103"/>
      <c r="B306" s="104"/>
      <c r="C306" s="104"/>
      <c r="D306" s="103">
        <f>IF(OR(B306="",C306=""),"",IF(DATEDIF(C306,B306,"y")&gt;=1,DATEDIF(C306,B306,"y")&amp;IF(DATEDIF(C306,B306,"y")=1," year "," years ")&amp;DATEDIF(C306,B306,"ym")&amp;IF(DATEDIF(C306,B306,"ym")=1," month"," months"),IF(DATEDIF(C306,B306,"m")&gt;=1,DATEDIF(C306,B306,"m")&amp;IF(DATEDIF(C306,B306,"m")=1," month"," months"),DATEDIF(C306,B306,"d")&amp;IF(DATEDIF(C306,B306,"d")=1," day"," days"))))</f>
      </c>
      <c r="E306" s="103"/>
      <c r="F306" s="103"/>
      <c r="G306" s="103"/>
      <c r="H306" s="103"/>
      <c r="I306" s="103"/>
      <c r="J306" s="104"/>
      <c r="K306" s="103"/>
      <c r="L306" s="103"/>
      <c r="M306" s="105" t="str">
        <f>IFERROR(VLOOKUP(G306,Reference!$I$2:$J$175,2,FALSE()),"Operations")</f>
        <v>Operations</v>
      </c>
    </row>
    <row r="307" spans="1:13" ht="15" customHeight="1" x14ac:dyDescent="0.25">
      <c r="A307" s="100"/>
      <c r="B307" s="101"/>
      <c r="C307" s="101"/>
      <c r="D307" s="100">
        <f>IF(OR(B307="",C307=""),"",IF(DATEDIF(C307,B307,"y")&gt;=1,DATEDIF(C307,B307,"y")&amp;IF(DATEDIF(C307,B307,"y")=1," year "," years ")&amp;DATEDIF(C307,B307,"ym")&amp;IF(DATEDIF(C307,B307,"ym")=1," month"," months"),IF(DATEDIF(C307,B307,"m")&gt;=1,DATEDIF(C307,B307,"m")&amp;IF(DATEDIF(C307,B307,"m")=1," month"," months"),DATEDIF(C307,B307,"d")&amp;IF(DATEDIF(C307,B307,"d")=1," day"," days"))))</f>
      </c>
      <c r="E307" s="100"/>
      <c r="F307" s="100"/>
      <c r="G307" s="100"/>
      <c r="H307" s="100"/>
      <c r="I307" s="100"/>
      <c r="J307" s="101"/>
      <c r="K307" s="100"/>
      <c r="L307" s="100"/>
      <c r="M307" s="102" t="str">
        <f>IFERROR(VLOOKUP(G307,Reference!$I$2:$J$175,2,FALSE()),"Operations")</f>
        <v>Operations</v>
      </c>
    </row>
    <row r="308" spans="1:13" ht="15" customHeight="1" x14ac:dyDescent="0.25">
      <c r="A308" s="103"/>
      <c r="B308" s="104"/>
      <c r="C308" s="104"/>
      <c r="D308" s="103">
        <f>IF(OR(B308="",C308=""),"",IF(DATEDIF(C308,B308,"y")&gt;=1,DATEDIF(C308,B308,"y")&amp;IF(DATEDIF(C308,B308,"y")=1," year "," years ")&amp;DATEDIF(C308,B308,"ym")&amp;IF(DATEDIF(C308,B308,"ym")=1," month"," months"),IF(DATEDIF(C308,B308,"m")&gt;=1,DATEDIF(C308,B308,"m")&amp;IF(DATEDIF(C308,B308,"m")=1," month"," months"),DATEDIF(C308,B308,"d")&amp;IF(DATEDIF(C308,B308,"d")=1," day"," days"))))</f>
      </c>
      <c r="E308" s="103"/>
      <c r="F308" s="103"/>
      <c r="G308" s="103"/>
      <c r="H308" s="103"/>
      <c r="I308" s="103"/>
      <c r="J308" s="104"/>
      <c r="K308" s="103"/>
      <c r="L308" s="103"/>
      <c r="M308" s="105" t="str">
        <f>IFERROR(VLOOKUP(G308,Reference!$I$2:$J$175,2,FALSE()),"Operations")</f>
        <v>Operations</v>
      </c>
    </row>
    <row r="309" spans="1:13" ht="15" customHeight="1" x14ac:dyDescent="0.25">
      <c r="A309" s="100"/>
      <c r="B309" s="101"/>
      <c r="C309" s="101"/>
      <c r="D309" s="100">
        <f>IF(OR(B309="",C309=""),"",IF(DATEDIF(C309,B309,"y")&gt;=1,DATEDIF(C309,B309,"y")&amp;IF(DATEDIF(C309,B309,"y")=1," year "," years ")&amp;DATEDIF(C309,B309,"ym")&amp;IF(DATEDIF(C309,B309,"ym")=1," month"," months"),IF(DATEDIF(C309,B309,"m")&gt;=1,DATEDIF(C309,B309,"m")&amp;IF(DATEDIF(C309,B309,"m")=1," month"," months"),DATEDIF(C309,B309,"d")&amp;IF(DATEDIF(C309,B309,"d")=1," day"," days"))))</f>
      </c>
      <c r="E309" s="100"/>
      <c r="F309" s="100"/>
      <c r="G309" s="100"/>
      <c r="H309" s="100"/>
      <c r="I309" s="100"/>
      <c r="J309" s="101"/>
      <c r="K309" s="100"/>
      <c r="L309" s="100"/>
      <c r="M309" s="102" t="str">
        <f>IFERROR(VLOOKUP(G309,Reference!$I$2:$J$175,2,FALSE()),"Operations")</f>
        <v>Operations</v>
      </c>
    </row>
    <row r="310" spans="1:13" ht="15" customHeight="1" x14ac:dyDescent="0.25">
      <c r="A310" s="103"/>
      <c r="B310" s="104"/>
      <c r="C310" s="104"/>
      <c r="D310" s="103">
        <f>IF(OR(B310="",C310=""),"",IF(DATEDIF(C310,B310,"y")&gt;=1,DATEDIF(C310,B310,"y")&amp;IF(DATEDIF(C310,B310,"y")=1," year "," years ")&amp;DATEDIF(C310,B310,"ym")&amp;IF(DATEDIF(C310,B310,"ym")=1," month"," months"),IF(DATEDIF(C310,B310,"m")&gt;=1,DATEDIF(C310,B310,"m")&amp;IF(DATEDIF(C310,B310,"m")=1," month"," months"),DATEDIF(C310,B310,"d")&amp;IF(DATEDIF(C310,B310,"d")=1," day"," days"))))</f>
      </c>
      <c r="E310" s="103"/>
      <c r="F310" s="103"/>
      <c r="G310" s="103"/>
      <c r="H310" s="103"/>
      <c r="I310" s="103"/>
      <c r="J310" s="104"/>
      <c r="K310" s="103"/>
      <c r="L310" s="103"/>
      <c r="M310" s="105" t="str">
        <f>IFERROR(VLOOKUP(G310,Reference!$I$2:$J$175,2,FALSE()),"Operations")</f>
        <v>Operations</v>
      </c>
    </row>
    <row r="311" spans="1:13" ht="15" customHeight="1" x14ac:dyDescent="0.25">
      <c r="A311" s="106" t="s">
        <v>163</v>
      </c>
      <c r="B311" s="107">
        <f>COUNTA(A281:A310)</f>
        <v>12</v>
      </c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</row>
    <row r="312" spans="1:13" ht="6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</row>
    <row r="313" spans="1:13" ht="21.75" customHeight="1" x14ac:dyDescent="0.25">
      <c r="A313" s="163" t="s">
        <v>543</v>
      </c>
      <c r="B313" s="163"/>
      <c r="C313" s="163"/>
      <c r="D313" s="163"/>
      <c r="E313" s="163"/>
      <c r="F313" s="163"/>
      <c r="G313" s="163"/>
      <c r="H313" s="163"/>
      <c r="I313" s="163"/>
      <c r="J313" s="163"/>
      <c r="K313" s="163"/>
      <c r="L313" s="163"/>
      <c r="M313" s="163"/>
    </row>
    <row r="314" spans="1:13" ht="19.5" customHeight="1" x14ac:dyDescent="0.25">
      <c r="A314" s="64" t="s">
        <v>151</v>
      </c>
      <c r="B314" s="64" t="s">
        <v>152</v>
      </c>
      <c r="C314" s="64" t="s">
        <v>153</v>
      </c>
      <c r="D314" s="64" t="s">
        <v>154</v>
      </c>
      <c r="E314" s="64" t="s">
        <v>155</v>
      </c>
      <c r="F314" s="64" t="s">
        <v>156</v>
      </c>
      <c r="G314" s="64" t="s">
        <v>157</v>
      </c>
      <c r="H314" s="64" t="s">
        <v>158</v>
      </c>
      <c r="I314" s="64" t="s">
        <v>159</v>
      </c>
      <c r="J314" s="64" t="s">
        <v>160</v>
      </c>
      <c r="K314" s="64" t="s">
        <v>134</v>
      </c>
      <c r="L314" s="64" t="s">
        <v>161</v>
      </c>
      <c r="M314" s="64" t="s">
        <v>162</v>
      </c>
    </row>
    <row r="315" spans="1:13" ht="15" customHeight="1" x14ac:dyDescent="0.25">
      <c r="A315" s="77" t="s">
        <v>544</v>
      </c>
      <c r="B315" s="111">
        <v>45940</v>
      </c>
      <c r="C315" s="111">
        <v>45778</v>
      </c>
      <c r="D315" s="77" t="str">
        <f t="shared" ref="D315:D327" si="3">IF(OR(B315="",C315=""),"",IF(DATEDIF(C315,B315,"y")&gt;=1,DATEDIF(C315,B315,"y")&amp;IF(DATEDIF(C315,B315,"y")=1," year "," years ")&amp;DATEDIF(C315,B315,"ym")&amp;IF(DATEDIF(C315,B315,"ym")=1," month"," months"),IF(DATEDIF(C315,B315,"m")&gt;=1,DATEDIF(C315,B315,"m")&amp;IF(DATEDIF(C315,B315,"m")=1," month"," months"),DATEDIF(C315,B315,"d")&amp;IF(DATEDIF(C315,B315,"d")=1," day"," days"))))</f>
        <v>5 months</v>
      </c>
      <c r="E315" s="77" t="s">
        <v>184</v>
      </c>
      <c r="F315" s="77" t="s">
        <v>180</v>
      </c>
      <c r="G315" s="77" t="s">
        <v>89</v>
      </c>
      <c r="H315" s="77" t="s">
        <v>53</v>
      </c>
      <c r="I315" s="77" t="s">
        <v>282</v>
      </c>
      <c r="J315" s="111">
        <v>45940</v>
      </c>
      <c r="K315" s="77" t="s">
        <v>89</v>
      </c>
      <c r="L315" s="77"/>
      <c r="M315" s="102" t="str">
        <f>IFERROR(VLOOKUP(G315,Reference!$I$2:$J$175,2,FALSE()),"Operations")</f>
        <v>Human Resources</v>
      </c>
    </row>
    <row r="316" spans="1:13" ht="15" customHeight="1" x14ac:dyDescent="0.25">
      <c r="A316" s="80" t="s">
        <v>545</v>
      </c>
      <c r="B316" s="112">
        <v>45932</v>
      </c>
      <c r="C316" s="112">
        <v>45778</v>
      </c>
      <c r="D316" s="80" t="str">
        <f t="shared" si="3"/>
        <v>5 months</v>
      </c>
      <c r="E316" s="80" t="s">
        <v>179</v>
      </c>
      <c r="F316" s="80" t="s">
        <v>191</v>
      </c>
      <c r="G316" s="80" t="s">
        <v>91</v>
      </c>
      <c r="H316" s="80" t="s">
        <v>53</v>
      </c>
      <c r="I316" s="80" t="s">
        <v>186</v>
      </c>
      <c r="J316" s="112">
        <v>45939</v>
      </c>
      <c r="K316" s="80" t="s">
        <v>91</v>
      </c>
      <c r="L316" s="80"/>
      <c r="M316" s="105" t="str">
        <f>IFERROR(VLOOKUP(G316,Reference!$I$2:$J$175,2,FALSE()),"Operations")</f>
        <v>QA</v>
      </c>
    </row>
    <row r="317" spans="1:13" ht="15" customHeight="1" x14ac:dyDescent="0.25">
      <c r="A317" s="77" t="s">
        <v>546</v>
      </c>
      <c r="B317" s="111">
        <v>45933</v>
      </c>
      <c r="C317" s="111">
        <v>45748</v>
      </c>
      <c r="D317" s="77" t="str">
        <f t="shared" si="3"/>
        <v>6 months</v>
      </c>
      <c r="E317" s="77" t="s">
        <v>179</v>
      </c>
      <c r="F317" s="77" t="s">
        <v>191</v>
      </c>
      <c r="G317" s="77" t="s">
        <v>547</v>
      </c>
      <c r="H317" s="77" t="s">
        <v>53</v>
      </c>
      <c r="I317" s="77" t="s">
        <v>389</v>
      </c>
      <c r="J317" s="77" t="s">
        <v>548</v>
      </c>
      <c r="K317" s="77" t="s">
        <v>70</v>
      </c>
      <c r="L317" s="77"/>
      <c r="M317" s="102" t="str">
        <f>IFERROR(VLOOKUP(G317,Reference!$I$2:$J$175,2,FALSE()),"Operations")</f>
        <v>Employment Services</v>
      </c>
    </row>
    <row r="318" spans="1:13" ht="15" customHeight="1" x14ac:dyDescent="0.25">
      <c r="A318" s="80" t="s">
        <v>549</v>
      </c>
      <c r="B318" s="112">
        <v>45932</v>
      </c>
      <c r="C318" s="112">
        <v>45903</v>
      </c>
      <c r="D318" s="80" t="str">
        <f t="shared" si="3"/>
        <v>29 days</v>
      </c>
      <c r="E318" s="80" t="s">
        <v>179</v>
      </c>
      <c r="F318" s="80" t="s">
        <v>191</v>
      </c>
      <c r="G318" s="80" t="s">
        <v>550</v>
      </c>
      <c r="H318" s="80" t="s">
        <v>69</v>
      </c>
      <c r="I318" s="80" t="s">
        <v>394</v>
      </c>
      <c r="J318" s="80" t="s">
        <v>531</v>
      </c>
      <c r="K318" s="80" t="s">
        <v>66</v>
      </c>
      <c r="L318" s="80"/>
      <c r="M318" s="105" t="str">
        <f>IFERROR(VLOOKUP(G318,Reference!$I$2:$J$175,2,FALSE()),"Operations")</f>
        <v>Operations</v>
      </c>
    </row>
    <row r="319" spans="1:13" ht="15" customHeight="1" x14ac:dyDescent="0.25">
      <c r="A319" s="77" t="s">
        <v>551</v>
      </c>
      <c r="B319" s="111">
        <v>45938</v>
      </c>
      <c r="C319" s="111">
        <v>45931</v>
      </c>
      <c r="D319" s="77" t="str">
        <f t="shared" si="3"/>
        <v>7 days</v>
      </c>
      <c r="E319" s="77" t="s">
        <v>179</v>
      </c>
      <c r="F319" s="77" t="s">
        <v>191</v>
      </c>
      <c r="G319" s="77" t="s">
        <v>234</v>
      </c>
      <c r="H319" s="77" t="s">
        <v>69</v>
      </c>
      <c r="I319" s="77" t="s">
        <v>552</v>
      </c>
      <c r="J319" s="77" t="s">
        <v>553</v>
      </c>
      <c r="K319" s="77" t="s">
        <v>66</v>
      </c>
      <c r="L319" s="77"/>
      <c r="M319" s="102" t="str">
        <f>IFERROR(VLOOKUP(G319,Reference!$I$2:$J$175,2,FALSE()),"Operations")</f>
        <v>Operations</v>
      </c>
    </row>
    <row r="320" spans="1:13" ht="15" customHeight="1" x14ac:dyDescent="0.25">
      <c r="A320" s="80" t="s">
        <v>554</v>
      </c>
      <c r="B320" s="112">
        <v>45938</v>
      </c>
      <c r="C320" s="112">
        <v>44294</v>
      </c>
      <c r="D320" s="80" t="str">
        <f t="shared" si="3"/>
        <v>4 years 6 months</v>
      </c>
      <c r="E320" s="80" t="s">
        <v>179</v>
      </c>
      <c r="F320" s="80" t="s">
        <v>191</v>
      </c>
      <c r="G320" s="80" t="s">
        <v>475</v>
      </c>
      <c r="H320" s="80" t="s">
        <v>69</v>
      </c>
      <c r="I320" s="80" t="s">
        <v>476</v>
      </c>
      <c r="J320" s="80" t="s">
        <v>555</v>
      </c>
      <c r="K320" s="80" t="s">
        <v>66</v>
      </c>
      <c r="L320" s="80"/>
      <c r="M320" s="105" t="str">
        <f>IFERROR(VLOOKUP(G320,Reference!$I$2:$J$175,2,FALSE()),"Operations")</f>
        <v>Operations</v>
      </c>
    </row>
    <row r="321" spans="1:13" ht="15" customHeight="1" x14ac:dyDescent="0.25">
      <c r="A321" s="77" t="s">
        <v>556</v>
      </c>
      <c r="B321" s="111">
        <v>45937</v>
      </c>
      <c r="C321" s="111">
        <v>45854</v>
      </c>
      <c r="D321" s="77" t="str">
        <f t="shared" si="3"/>
        <v>2 months</v>
      </c>
      <c r="E321" s="77" t="s">
        <v>184</v>
      </c>
      <c r="F321" s="77" t="s">
        <v>191</v>
      </c>
      <c r="G321" s="77" t="s">
        <v>557</v>
      </c>
      <c r="H321" s="77" t="s">
        <v>53</v>
      </c>
      <c r="I321" s="77" t="s">
        <v>328</v>
      </c>
      <c r="J321" s="77" t="s">
        <v>558</v>
      </c>
      <c r="K321" s="77" t="s">
        <v>68</v>
      </c>
      <c r="L321" s="77"/>
      <c r="M321" s="102" t="str">
        <f>IFERROR(VLOOKUP(G321,Reference!$I$2:$J$175,2,FALSE()),"Operations")</f>
        <v>Operations</v>
      </c>
    </row>
    <row r="322" spans="1:13" ht="15" customHeight="1" x14ac:dyDescent="0.25">
      <c r="A322" s="80" t="s">
        <v>559</v>
      </c>
      <c r="B322" s="112">
        <v>45947</v>
      </c>
      <c r="C322" s="112">
        <v>45709</v>
      </c>
      <c r="D322" s="80" t="str">
        <f t="shared" si="3"/>
        <v>7 months</v>
      </c>
      <c r="E322" s="80" t="s">
        <v>184</v>
      </c>
      <c r="F322" s="80" t="s">
        <v>191</v>
      </c>
      <c r="G322" s="80" t="s">
        <v>285</v>
      </c>
      <c r="H322" s="80" t="s">
        <v>53</v>
      </c>
      <c r="I322" s="80" t="s">
        <v>529</v>
      </c>
      <c r="J322" s="112">
        <v>45943</v>
      </c>
      <c r="K322" s="80" t="s">
        <v>80</v>
      </c>
      <c r="L322" s="80"/>
      <c r="M322" s="105" t="str">
        <f>IFERROR(VLOOKUP(G322,Reference!$I$2:$J$175,2,FALSE()),"Operations")</f>
        <v>Children Services</v>
      </c>
    </row>
    <row r="323" spans="1:13" ht="15" customHeight="1" x14ac:dyDescent="0.25">
      <c r="A323" s="77" t="s">
        <v>560</v>
      </c>
      <c r="B323" s="111">
        <v>45940</v>
      </c>
      <c r="C323" s="111">
        <v>45929</v>
      </c>
      <c r="D323" s="77" t="str">
        <f t="shared" si="3"/>
        <v>11 days</v>
      </c>
      <c r="E323" s="77" t="s">
        <v>184</v>
      </c>
      <c r="F323" s="77" t="s">
        <v>191</v>
      </c>
      <c r="G323" s="77" t="s">
        <v>561</v>
      </c>
      <c r="H323" s="77" t="s">
        <v>70</v>
      </c>
      <c r="I323" s="77" t="s">
        <v>377</v>
      </c>
      <c r="J323" s="77" t="s">
        <v>376</v>
      </c>
      <c r="K323" s="77" t="s">
        <v>66</v>
      </c>
      <c r="L323" s="77"/>
      <c r="M323" s="102" t="str">
        <f>IFERROR(VLOOKUP(G323,Reference!$I$2:$J$175,2,FALSE()),"Operations")</f>
        <v>Operations</v>
      </c>
    </row>
    <row r="324" spans="1:13" ht="15" customHeight="1" x14ac:dyDescent="0.25">
      <c r="A324" s="80" t="s">
        <v>562</v>
      </c>
      <c r="B324" s="112">
        <v>45938</v>
      </c>
      <c r="C324" s="112">
        <v>45925</v>
      </c>
      <c r="D324" s="80" t="str">
        <f t="shared" si="3"/>
        <v>13 days</v>
      </c>
      <c r="E324" s="80" t="s">
        <v>179</v>
      </c>
      <c r="F324" s="80" t="s">
        <v>191</v>
      </c>
      <c r="G324" s="80" t="s">
        <v>223</v>
      </c>
      <c r="H324" s="80" t="s">
        <v>70</v>
      </c>
      <c r="I324" s="80" t="s">
        <v>377</v>
      </c>
      <c r="J324" s="80" t="s">
        <v>376</v>
      </c>
      <c r="K324" s="80" t="s">
        <v>66</v>
      </c>
      <c r="L324" s="80"/>
      <c r="M324" s="105" t="str">
        <f>IFERROR(VLOOKUP(G324,Reference!$I$2:$J$175,2,FALSE()),"Operations")</f>
        <v>Operations</v>
      </c>
    </row>
    <row r="325" spans="1:13" ht="15" customHeight="1" x14ac:dyDescent="0.25">
      <c r="A325" s="77" t="s">
        <v>563</v>
      </c>
      <c r="B325" s="111">
        <v>45950</v>
      </c>
      <c r="C325" s="111">
        <v>45536</v>
      </c>
      <c r="D325" s="77" t="str">
        <f t="shared" si="3"/>
        <v>1 year 1 month</v>
      </c>
      <c r="E325" s="77" t="s">
        <v>179</v>
      </c>
      <c r="F325" s="77" t="s">
        <v>191</v>
      </c>
      <c r="G325" s="77" t="s">
        <v>564</v>
      </c>
      <c r="H325" s="77" t="s">
        <v>69</v>
      </c>
      <c r="I325" s="77" t="s">
        <v>476</v>
      </c>
      <c r="J325" s="77" t="s">
        <v>531</v>
      </c>
      <c r="K325" s="77" t="s">
        <v>66</v>
      </c>
      <c r="L325" s="77"/>
      <c r="M325" s="102" t="str">
        <f>IFERROR(VLOOKUP(G325,Reference!$I$2:$J$175,2,FALSE()),"Operations")</f>
        <v>Operations</v>
      </c>
    </row>
    <row r="326" spans="1:13" ht="15" customHeight="1" x14ac:dyDescent="0.25">
      <c r="A326" s="80" t="s">
        <v>565</v>
      </c>
      <c r="B326" s="112">
        <v>45950</v>
      </c>
      <c r="C326" s="112">
        <v>43874</v>
      </c>
      <c r="D326" s="80" t="str">
        <f t="shared" si="3"/>
        <v>5 years 8 months</v>
      </c>
      <c r="E326" s="80" t="s">
        <v>179</v>
      </c>
      <c r="F326" s="80" t="s">
        <v>180</v>
      </c>
      <c r="G326" s="80" t="s">
        <v>535</v>
      </c>
      <c r="H326" s="80" t="s">
        <v>58</v>
      </c>
      <c r="I326" s="80" t="s">
        <v>212</v>
      </c>
      <c r="J326" s="80" t="s">
        <v>531</v>
      </c>
      <c r="K326" s="80" t="s">
        <v>66</v>
      </c>
      <c r="L326" s="80"/>
      <c r="M326" s="105" t="str">
        <f>IFERROR(VLOOKUP(G326,Reference!$I$2:$J$175,2,FALSE()),"Operations")</f>
        <v>Operations</v>
      </c>
    </row>
    <row r="327" spans="1:13" ht="15" customHeight="1" x14ac:dyDescent="0.25">
      <c r="A327" s="77" t="s">
        <v>566</v>
      </c>
      <c r="B327" s="111">
        <v>45957</v>
      </c>
      <c r="C327" s="111">
        <v>45805</v>
      </c>
      <c r="D327" s="77" t="str">
        <f t="shared" si="3"/>
        <v>4 months</v>
      </c>
      <c r="E327" s="77" t="s">
        <v>179</v>
      </c>
      <c r="F327" s="77" t="s">
        <v>191</v>
      </c>
      <c r="G327" s="77" t="s">
        <v>567</v>
      </c>
      <c r="H327" s="77" t="s">
        <v>53</v>
      </c>
      <c r="I327" s="77" t="s">
        <v>328</v>
      </c>
      <c r="J327" s="77"/>
      <c r="K327" s="77" t="s">
        <v>66</v>
      </c>
      <c r="L327" s="77"/>
      <c r="M327" s="102" t="str">
        <f>IFERROR(VLOOKUP(G327,Reference!$I$2:$J$175,2,FALSE()),"Operations")</f>
        <v>Operations</v>
      </c>
    </row>
    <row r="328" spans="1:13" ht="15" customHeight="1" x14ac:dyDescent="0.25">
      <c r="A328" s="103"/>
      <c r="B328" s="104"/>
      <c r="C328" s="104"/>
      <c r="D328" s="103">
        <f>IF(OR(B328="",C328=""),"",IF(DATEDIF(C328,B328,"y")&gt;=1,DATEDIF(C328,B328,"y")&amp;IF(DATEDIF(C328,B328,"y")=1," year "," years ")&amp;DATEDIF(C328,B328,"ym")&amp;IF(DATEDIF(C328,B328,"ym")=1," month"," months"),IF(DATEDIF(C328,B328,"m")&gt;=1,DATEDIF(C328,B328,"m")&amp;IF(DATEDIF(C328,B328,"m")=1," month"," months"),DATEDIF(C328,B328,"d")&amp;IF(DATEDIF(C328,B328,"d")=1," day"," days"))))</f>
      </c>
      <c r="E328" s="103"/>
      <c r="F328" s="103"/>
      <c r="G328" s="103"/>
      <c r="H328" s="103"/>
      <c r="I328" s="103"/>
      <c r="J328" s="104"/>
      <c r="K328" s="103"/>
      <c r="L328" s="103"/>
      <c r="M328" s="105" t="str">
        <f>IFERROR(VLOOKUP(G328,Reference!$I$2:$J$175,2,FALSE()),"Operations")</f>
        <v>Operations</v>
      </c>
    </row>
    <row r="329" spans="1:13" ht="15" customHeight="1" x14ac:dyDescent="0.25">
      <c r="A329" s="100"/>
      <c r="B329" s="101"/>
      <c r="C329" s="101"/>
      <c r="D329" s="100">
        <f>IF(OR(B329="",C329=""),"",IF(DATEDIF(C329,B329,"y")&gt;=1,DATEDIF(C329,B329,"y")&amp;IF(DATEDIF(C329,B329,"y")=1," year "," years ")&amp;DATEDIF(C329,B329,"ym")&amp;IF(DATEDIF(C329,B329,"ym")=1," month"," months"),IF(DATEDIF(C329,B329,"m")&gt;=1,DATEDIF(C329,B329,"m")&amp;IF(DATEDIF(C329,B329,"m")=1," month"," months"),DATEDIF(C329,B329,"d")&amp;IF(DATEDIF(C329,B329,"d")=1," day"," days"))))</f>
      </c>
      <c r="E329" s="100"/>
      <c r="F329" s="100"/>
      <c r="G329" s="100"/>
      <c r="H329" s="100"/>
      <c r="I329" s="100"/>
      <c r="J329" s="101"/>
      <c r="K329" s="100"/>
      <c r="L329" s="100"/>
      <c r="M329" s="102" t="str">
        <f>IFERROR(VLOOKUP(G329,Reference!$I$2:$J$175,2,FALSE()),"Operations")</f>
        <v>Operations</v>
      </c>
    </row>
    <row r="330" spans="1:13" ht="15" customHeight="1" x14ac:dyDescent="0.25">
      <c r="A330" s="103"/>
      <c r="B330" s="104"/>
      <c r="C330" s="104"/>
      <c r="D330" s="103">
        <f>IF(OR(B330="",C330=""),"",IF(DATEDIF(C330,B330,"y")&gt;=1,DATEDIF(C330,B330,"y")&amp;IF(DATEDIF(C330,B330,"y")=1," year "," years ")&amp;DATEDIF(C330,B330,"ym")&amp;IF(DATEDIF(C330,B330,"ym")=1," month"," months"),IF(DATEDIF(C330,B330,"m")&gt;=1,DATEDIF(C330,B330,"m")&amp;IF(DATEDIF(C330,B330,"m")=1," month"," months"),DATEDIF(C330,B330,"d")&amp;IF(DATEDIF(C330,B330,"d")=1," day"," days"))))</f>
      </c>
      <c r="E330" s="103"/>
      <c r="F330" s="103"/>
      <c r="G330" s="103"/>
      <c r="H330" s="103"/>
      <c r="I330" s="103"/>
      <c r="J330" s="104"/>
      <c r="K330" s="103"/>
      <c r="L330" s="103"/>
      <c r="M330" s="105" t="str">
        <f>IFERROR(VLOOKUP(G330,Reference!$I$2:$J$175,2,FALSE()),"Operations")</f>
        <v>Operations</v>
      </c>
    </row>
    <row r="331" spans="1:13" ht="15" customHeight="1" x14ac:dyDescent="0.25">
      <c r="A331" s="100"/>
      <c r="B331" s="101"/>
      <c r="C331" s="101"/>
      <c r="D331" s="100">
        <f>IF(OR(B331="",C331=""),"",IF(DATEDIF(C331,B331,"y")&gt;=1,DATEDIF(C331,B331,"y")&amp;IF(DATEDIF(C331,B331,"y")=1," year "," years ")&amp;DATEDIF(C331,B331,"ym")&amp;IF(DATEDIF(C331,B331,"ym")=1," month"," months"),IF(DATEDIF(C331,B331,"m")&gt;=1,DATEDIF(C331,B331,"m")&amp;IF(DATEDIF(C331,B331,"m")=1," month"," months"),DATEDIF(C331,B331,"d")&amp;IF(DATEDIF(C331,B331,"d")=1," day"," days"))))</f>
      </c>
      <c r="E331" s="100"/>
      <c r="F331" s="100"/>
      <c r="G331" s="100"/>
      <c r="H331" s="100"/>
      <c r="I331" s="100"/>
      <c r="J331" s="101"/>
      <c r="K331" s="100"/>
      <c r="L331" s="100"/>
      <c r="M331" s="102" t="str">
        <f>IFERROR(VLOOKUP(G331,Reference!$I$2:$J$175,2,FALSE()),"Operations")</f>
        <v>Operations</v>
      </c>
    </row>
    <row r="332" spans="1:13" ht="15" customHeight="1" x14ac:dyDescent="0.25">
      <c r="A332" s="103"/>
      <c r="B332" s="104"/>
      <c r="C332" s="104"/>
      <c r="D332" s="103">
        <f>IF(OR(B332="",C332=""),"",IF(DATEDIF(C332,B332,"y")&gt;=1,DATEDIF(C332,B332,"y")&amp;IF(DATEDIF(C332,B332,"y")=1," year "," years ")&amp;DATEDIF(C332,B332,"ym")&amp;IF(DATEDIF(C332,B332,"ym")=1," month"," months"),IF(DATEDIF(C332,B332,"m")&gt;=1,DATEDIF(C332,B332,"m")&amp;IF(DATEDIF(C332,B332,"m")=1," month"," months"),DATEDIF(C332,B332,"d")&amp;IF(DATEDIF(C332,B332,"d")=1," day"," days"))))</f>
      </c>
      <c r="E332" s="103"/>
      <c r="F332" s="103"/>
      <c r="G332" s="103"/>
      <c r="H332" s="103"/>
      <c r="I332" s="103"/>
      <c r="J332" s="104"/>
      <c r="K332" s="103"/>
      <c r="L332" s="103"/>
      <c r="M332" s="105" t="str">
        <f>IFERROR(VLOOKUP(G332,Reference!$I$2:$J$175,2,FALSE()),"Operations")</f>
        <v>Operations</v>
      </c>
    </row>
    <row r="333" spans="1:13" ht="15" customHeight="1" x14ac:dyDescent="0.25">
      <c r="A333" s="100"/>
      <c r="B333" s="101"/>
      <c r="C333" s="101"/>
      <c r="D333" s="100">
        <f>IF(OR(B333="",C333=""),"",IF(DATEDIF(C333,B333,"y")&gt;=1,DATEDIF(C333,B333,"y")&amp;IF(DATEDIF(C333,B333,"y")=1," year "," years ")&amp;DATEDIF(C333,B333,"ym")&amp;IF(DATEDIF(C333,B333,"ym")=1," month"," months"),IF(DATEDIF(C333,B333,"m")&gt;=1,DATEDIF(C333,B333,"m")&amp;IF(DATEDIF(C333,B333,"m")=1," month"," months"),DATEDIF(C333,B333,"d")&amp;IF(DATEDIF(C333,B333,"d")=1," day"," days"))))</f>
      </c>
      <c r="E333" s="100"/>
      <c r="F333" s="100"/>
      <c r="G333" s="100"/>
      <c r="H333" s="100"/>
      <c r="I333" s="100"/>
      <c r="J333" s="101"/>
      <c r="K333" s="100"/>
      <c r="L333" s="100"/>
      <c r="M333" s="102" t="str">
        <f>IFERROR(VLOOKUP(G333,Reference!$I$2:$J$175,2,FALSE()),"Operations")</f>
        <v>Operations</v>
      </c>
    </row>
    <row r="334" spans="1:13" ht="15" customHeight="1" x14ac:dyDescent="0.25">
      <c r="A334" s="103"/>
      <c r="B334" s="104"/>
      <c r="C334" s="104"/>
      <c r="D334" s="103">
        <f>IF(OR(B334="",C334=""),"",IF(DATEDIF(C334,B334,"y")&gt;=1,DATEDIF(C334,B334,"y")&amp;IF(DATEDIF(C334,B334,"y")=1," year "," years ")&amp;DATEDIF(C334,B334,"ym")&amp;IF(DATEDIF(C334,B334,"ym")=1," month"," months"),IF(DATEDIF(C334,B334,"m")&gt;=1,DATEDIF(C334,B334,"m")&amp;IF(DATEDIF(C334,B334,"m")=1," month"," months"),DATEDIF(C334,B334,"d")&amp;IF(DATEDIF(C334,B334,"d")=1," day"," days"))))</f>
      </c>
      <c r="E334" s="103"/>
      <c r="F334" s="103"/>
      <c r="G334" s="103"/>
      <c r="H334" s="103"/>
      <c r="I334" s="103"/>
      <c r="J334" s="104"/>
      <c r="K334" s="103"/>
      <c r="L334" s="103"/>
      <c r="M334" s="105" t="str">
        <f>IFERROR(VLOOKUP(G334,Reference!$I$2:$J$175,2,FALSE()),"Operations")</f>
        <v>Operations</v>
      </c>
    </row>
    <row r="335" spans="1:13" ht="15" customHeight="1" x14ac:dyDescent="0.25">
      <c r="A335" s="100"/>
      <c r="B335" s="101"/>
      <c r="C335" s="101"/>
      <c r="D335" s="100">
        <f>IF(OR(B335="",C335=""),"",IF(DATEDIF(C335,B335,"y")&gt;=1,DATEDIF(C335,B335,"y")&amp;IF(DATEDIF(C335,B335,"y")=1," year "," years ")&amp;DATEDIF(C335,B335,"ym")&amp;IF(DATEDIF(C335,B335,"ym")=1," month"," months"),IF(DATEDIF(C335,B335,"m")&gt;=1,DATEDIF(C335,B335,"m")&amp;IF(DATEDIF(C335,B335,"m")=1," month"," months"),DATEDIF(C335,B335,"d")&amp;IF(DATEDIF(C335,B335,"d")=1," day"," days"))))</f>
      </c>
      <c r="E335" s="100"/>
      <c r="F335" s="100"/>
      <c r="G335" s="100"/>
      <c r="H335" s="100"/>
      <c r="I335" s="100"/>
      <c r="J335" s="101"/>
      <c r="K335" s="100"/>
      <c r="L335" s="100"/>
      <c r="M335" s="102" t="str">
        <f>IFERROR(VLOOKUP(G335,Reference!$I$2:$J$175,2,FALSE()),"Operations")</f>
        <v>Operations</v>
      </c>
    </row>
    <row r="336" spans="1:13" ht="15" customHeight="1" x14ac:dyDescent="0.25">
      <c r="A336" s="103"/>
      <c r="B336" s="104"/>
      <c r="C336" s="104"/>
      <c r="D336" s="103">
        <f>IF(OR(B336="",C336=""),"",IF(DATEDIF(C336,B336,"y")&gt;=1,DATEDIF(C336,B336,"y")&amp;IF(DATEDIF(C336,B336,"y")=1," year "," years ")&amp;DATEDIF(C336,B336,"ym")&amp;IF(DATEDIF(C336,B336,"ym")=1," month"," months"),IF(DATEDIF(C336,B336,"m")&gt;=1,DATEDIF(C336,B336,"m")&amp;IF(DATEDIF(C336,B336,"m")=1," month"," months"),DATEDIF(C336,B336,"d")&amp;IF(DATEDIF(C336,B336,"d")=1," day"," days"))))</f>
      </c>
      <c r="E336" s="103"/>
      <c r="F336" s="103"/>
      <c r="G336" s="103"/>
      <c r="H336" s="103"/>
      <c r="I336" s="103"/>
      <c r="J336" s="104"/>
      <c r="K336" s="103"/>
      <c r="L336" s="103"/>
      <c r="M336" s="105" t="str">
        <f>IFERROR(VLOOKUP(G336,Reference!$I$2:$J$175,2,FALSE()),"Operations")</f>
        <v>Operations</v>
      </c>
    </row>
    <row r="337" spans="1:13" ht="15" customHeight="1" x14ac:dyDescent="0.25">
      <c r="A337" s="100"/>
      <c r="B337" s="101"/>
      <c r="C337" s="101"/>
      <c r="D337" s="100">
        <f>IF(OR(B337="",C337=""),"",IF(DATEDIF(C337,B337,"y")&gt;=1,DATEDIF(C337,B337,"y")&amp;IF(DATEDIF(C337,B337,"y")=1," year "," years ")&amp;DATEDIF(C337,B337,"ym")&amp;IF(DATEDIF(C337,B337,"ym")=1," month"," months"),IF(DATEDIF(C337,B337,"m")&gt;=1,DATEDIF(C337,B337,"m")&amp;IF(DATEDIF(C337,B337,"m")=1," month"," months"),DATEDIF(C337,B337,"d")&amp;IF(DATEDIF(C337,B337,"d")=1," day"," days"))))</f>
      </c>
      <c r="E337" s="100"/>
      <c r="F337" s="100"/>
      <c r="G337" s="100"/>
      <c r="H337" s="100"/>
      <c r="I337" s="100"/>
      <c r="J337" s="101"/>
      <c r="K337" s="100"/>
      <c r="L337" s="100"/>
      <c r="M337" s="102" t="str">
        <f>IFERROR(VLOOKUP(G337,Reference!$I$2:$J$175,2,FALSE()),"Operations")</f>
        <v>Operations</v>
      </c>
    </row>
    <row r="338" spans="1:13" ht="15" customHeight="1" x14ac:dyDescent="0.25">
      <c r="A338" s="103"/>
      <c r="B338" s="104"/>
      <c r="C338" s="104"/>
      <c r="D338" s="103">
        <f>IF(OR(B338="",C338=""),"",IF(DATEDIF(C338,B338,"y")&gt;=1,DATEDIF(C338,B338,"y")&amp;IF(DATEDIF(C338,B338,"y")=1," year "," years ")&amp;DATEDIF(C338,B338,"ym")&amp;IF(DATEDIF(C338,B338,"ym")=1," month"," months"),IF(DATEDIF(C338,B338,"m")&gt;=1,DATEDIF(C338,B338,"m")&amp;IF(DATEDIF(C338,B338,"m")=1," month"," months"),DATEDIF(C338,B338,"d")&amp;IF(DATEDIF(C338,B338,"d")=1," day"," days"))))</f>
      </c>
      <c r="E338" s="103"/>
      <c r="F338" s="103"/>
      <c r="G338" s="103"/>
      <c r="H338" s="103"/>
      <c r="I338" s="103"/>
      <c r="J338" s="104"/>
      <c r="K338" s="103"/>
      <c r="L338" s="103"/>
      <c r="M338" s="105" t="str">
        <f>IFERROR(VLOOKUP(G338,Reference!$I$2:$J$175,2,FALSE()),"Operations")</f>
        <v>Operations</v>
      </c>
    </row>
    <row r="339" spans="1:13" ht="15" customHeight="1" x14ac:dyDescent="0.25">
      <c r="A339" s="100"/>
      <c r="B339" s="101"/>
      <c r="C339" s="101"/>
      <c r="D339" s="100">
        <f>IF(OR(B339="",C339=""),"",IF(DATEDIF(C339,B339,"y")&gt;=1,DATEDIF(C339,B339,"y")&amp;IF(DATEDIF(C339,B339,"y")=1," year "," years ")&amp;DATEDIF(C339,B339,"ym")&amp;IF(DATEDIF(C339,B339,"ym")=1," month"," months"),IF(DATEDIF(C339,B339,"m")&gt;=1,DATEDIF(C339,B339,"m")&amp;IF(DATEDIF(C339,B339,"m")=1," month"," months"),DATEDIF(C339,B339,"d")&amp;IF(DATEDIF(C339,B339,"d")=1," day"," days"))))</f>
      </c>
      <c r="E339" s="100"/>
      <c r="F339" s="100"/>
      <c r="G339" s="100"/>
      <c r="H339" s="100"/>
      <c r="I339" s="100"/>
      <c r="J339" s="101"/>
      <c r="K339" s="100"/>
      <c r="L339" s="100"/>
      <c r="M339" s="102" t="str">
        <f>IFERROR(VLOOKUP(G339,Reference!$I$2:$J$175,2,FALSE()),"Operations")</f>
        <v>Operations</v>
      </c>
    </row>
    <row r="340" spans="1:13" ht="15" customHeight="1" x14ac:dyDescent="0.25">
      <c r="A340" s="103"/>
      <c r="B340" s="104"/>
      <c r="C340" s="104"/>
      <c r="D340" s="103">
        <f>IF(OR(B340="",C340=""),"",IF(DATEDIF(C340,B340,"y")&gt;=1,DATEDIF(C340,B340,"y")&amp;IF(DATEDIF(C340,B340,"y")=1," year "," years ")&amp;DATEDIF(C340,B340,"ym")&amp;IF(DATEDIF(C340,B340,"ym")=1," month"," months"),IF(DATEDIF(C340,B340,"m")&gt;=1,DATEDIF(C340,B340,"m")&amp;IF(DATEDIF(C340,B340,"m")=1," month"," months"),DATEDIF(C340,B340,"d")&amp;IF(DATEDIF(C340,B340,"d")=1," day"," days"))))</f>
      </c>
      <c r="E340" s="103"/>
      <c r="F340" s="103"/>
      <c r="G340" s="103"/>
      <c r="H340" s="103"/>
      <c r="I340" s="103"/>
      <c r="J340" s="104"/>
      <c r="K340" s="103"/>
      <c r="L340" s="103"/>
      <c r="M340" s="105" t="str">
        <f>IFERROR(VLOOKUP(G340,Reference!$I$2:$J$175,2,FALSE()),"Operations")</f>
        <v>Operations</v>
      </c>
    </row>
    <row r="341" spans="1:13" ht="15" customHeight="1" x14ac:dyDescent="0.25">
      <c r="A341" s="100"/>
      <c r="B341" s="101"/>
      <c r="C341" s="101"/>
      <c r="D341" s="100">
        <f>IF(OR(B341="",C341=""),"",IF(DATEDIF(C341,B341,"y")&gt;=1,DATEDIF(C341,B341,"y")&amp;IF(DATEDIF(C341,B341,"y")=1," year "," years ")&amp;DATEDIF(C341,B341,"ym")&amp;IF(DATEDIF(C341,B341,"ym")=1," month"," months"),IF(DATEDIF(C341,B341,"m")&gt;=1,DATEDIF(C341,B341,"m")&amp;IF(DATEDIF(C341,B341,"m")=1," month"," months"),DATEDIF(C341,B341,"d")&amp;IF(DATEDIF(C341,B341,"d")=1," day"," days"))))</f>
      </c>
      <c r="E341" s="100"/>
      <c r="F341" s="100"/>
      <c r="G341" s="100"/>
      <c r="H341" s="100"/>
      <c r="I341" s="100"/>
      <c r="J341" s="101"/>
      <c r="K341" s="100"/>
      <c r="L341" s="100"/>
      <c r="M341" s="102" t="str">
        <f>IFERROR(VLOOKUP(G341,Reference!$I$2:$J$175,2,FALSE()),"Operations")</f>
        <v>Operations</v>
      </c>
    </row>
    <row r="342" spans="1:13" ht="15" customHeight="1" x14ac:dyDescent="0.25">
      <c r="A342" s="103"/>
      <c r="B342" s="104"/>
      <c r="C342" s="104"/>
      <c r="D342" s="103">
        <f>IF(OR(B342="",C342=""),"",IF(DATEDIF(C342,B342,"y")&gt;=1,DATEDIF(C342,B342,"y")&amp;IF(DATEDIF(C342,B342,"y")=1," year "," years ")&amp;DATEDIF(C342,B342,"ym")&amp;IF(DATEDIF(C342,B342,"ym")=1," month"," months"),IF(DATEDIF(C342,B342,"m")&gt;=1,DATEDIF(C342,B342,"m")&amp;IF(DATEDIF(C342,B342,"m")=1," month"," months"),DATEDIF(C342,B342,"d")&amp;IF(DATEDIF(C342,B342,"d")=1," day"," days"))))</f>
      </c>
      <c r="E342" s="103"/>
      <c r="F342" s="103"/>
      <c r="G342" s="103"/>
      <c r="H342" s="103"/>
      <c r="I342" s="103"/>
      <c r="J342" s="104"/>
      <c r="K342" s="103"/>
      <c r="L342" s="103"/>
      <c r="M342" s="105" t="str">
        <f>IFERROR(VLOOKUP(G342,Reference!$I$2:$J$175,2,FALSE()),"Operations")</f>
        <v>Operations</v>
      </c>
    </row>
    <row r="343" spans="1:13" ht="15" customHeight="1" x14ac:dyDescent="0.25">
      <c r="A343" s="100"/>
      <c r="B343" s="101"/>
      <c r="C343" s="101"/>
      <c r="D343" s="100">
        <f>IF(OR(B343="",C343=""),"",IF(DATEDIF(C343,B343,"y")&gt;=1,DATEDIF(C343,B343,"y")&amp;IF(DATEDIF(C343,B343,"y")=1," year "," years ")&amp;DATEDIF(C343,B343,"ym")&amp;IF(DATEDIF(C343,B343,"ym")=1," month"," months"),IF(DATEDIF(C343,B343,"m")&gt;=1,DATEDIF(C343,B343,"m")&amp;IF(DATEDIF(C343,B343,"m")=1," month"," months"),DATEDIF(C343,B343,"d")&amp;IF(DATEDIF(C343,B343,"d")=1," day"," days"))))</f>
      </c>
      <c r="E343" s="100"/>
      <c r="F343" s="100"/>
      <c r="G343" s="100"/>
      <c r="H343" s="100"/>
      <c r="I343" s="100"/>
      <c r="J343" s="101"/>
      <c r="K343" s="100"/>
      <c r="L343" s="100"/>
      <c r="M343" s="102" t="str">
        <f>IFERROR(VLOOKUP(G343,Reference!$I$2:$J$175,2,FALSE()),"Operations")</f>
        <v>Operations</v>
      </c>
    </row>
    <row r="344" spans="1:13" ht="15" customHeight="1" x14ac:dyDescent="0.25">
      <c r="A344" s="103"/>
      <c r="B344" s="104"/>
      <c r="C344" s="104"/>
      <c r="D344" s="103">
        <f>IF(OR(B344="",C344=""),"",IF(DATEDIF(C344,B344,"y")&gt;=1,DATEDIF(C344,B344,"y")&amp;IF(DATEDIF(C344,B344,"y")=1," year "," years ")&amp;DATEDIF(C344,B344,"ym")&amp;IF(DATEDIF(C344,B344,"ym")=1," month"," months"),IF(DATEDIF(C344,B344,"m")&gt;=1,DATEDIF(C344,B344,"m")&amp;IF(DATEDIF(C344,B344,"m")=1," month"," months"),DATEDIF(C344,B344,"d")&amp;IF(DATEDIF(C344,B344,"d")=1," day"," days"))))</f>
      </c>
      <c r="E344" s="103"/>
      <c r="F344" s="103"/>
      <c r="G344" s="103"/>
      <c r="H344" s="103"/>
      <c r="I344" s="103"/>
      <c r="J344" s="104"/>
      <c r="K344" s="103"/>
      <c r="L344" s="103"/>
      <c r="M344" s="105" t="str">
        <f>IFERROR(VLOOKUP(G344,Reference!$I$2:$J$175,2,FALSE()),"Operations")</f>
        <v>Operations</v>
      </c>
    </row>
    <row r="345" spans="1:13" ht="15" customHeight="1" x14ac:dyDescent="0.25">
      <c r="A345" s="106" t="s">
        <v>163</v>
      </c>
      <c r="B345" s="107">
        <f>COUNTA(A315:A344)</f>
        <v>13</v>
      </c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</row>
    <row r="346" spans="1:13" ht="6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</row>
    <row r="347" spans="1:13" ht="21.75" customHeight="1" x14ac:dyDescent="0.25">
      <c r="A347" s="163" t="s">
        <v>568</v>
      </c>
      <c r="B347" s="163"/>
      <c r="C347" s="163"/>
      <c r="D347" s="163"/>
      <c r="E347" s="163"/>
      <c r="F347" s="163"/>
      <c r="G347" s="163"/>
      <c r="H347" s="163"/>
      <c r="I347" s="163"/>
      <c r="J347" s="163"/>
      <c r="K347" s="163"/>
      <c r="L347" s="163"/>
      <c r="M347" s="163"/>
    </row>
    <row r="348" spans="1:13" ht="19.5" customHeight="1" x14ac:dyDescent="0.25">
      <c r="A348" s="64" t="s">
        <v>151</v>
      </c>
      <c r="B348" s="64" t="s">
        <v>152</v>
      </c>
      <c r="C348" s="64" t="s">
        <v>153</v>
      </c>
      <c r="D348" s="64" t="s">
        <v>154</v>
      </c>
      <c r="E348" s="64" t="s">
        <v>155</v>
      </c>
      <c r="F348" s="64" t="s">
        <v>156</v>
      </c>
      <c r="G348" s="64" t="s">
        <v>157</v>
      </c>
      <c r="H348" s="64" t="s">
        <v>158</v>
      </c>
      <c r="I348" s="64" t="s">
        <v>159</v>
      </c>
      <c r="J348" s="64" t="s">
        <v>160</v>
      </c>
      <c r="K348" s="64" t="s">
        <v>134</v>
      </c>
      <c r="L348" s="64" t="s">
        <v>161</v>
      </c>
      <c r="M348" s="64" t="s">
        <v>162</v>
      </c>
    </row>
    <row r="349" spans="1:13" ht="15" customHeight="1" x14ac:dyDescent="0.25">
      <c r="A349" s="77" t="s">
        <v>569</v>
      </c>
      <c r="B349" s="111">
        <v>45967</v>
      </c>
      <c r="C349" s="111">
        <v>45526</v>
      </c>
      <c r="D349" s="77" t="str">
        <f t="shared" ref="D349:D357" si="4">IF(OR(B349="",C349=""),"",IF(DATEDIF(C349,B349,"y")&gt;=1,DATEDIF(C349,B349,"y")&amp;IF(DATEDIF(C349,B349,"y")=1," year "," years ")&amp;DATEDIF(C349,B349,"ym")&amp;IF(DATEDIF(C349,B349,"ym")=1," month"," months"),IF(DATEDIF(C349,B349,"m")&gt;=1,DATEDIF(C349,B349,"m")&amp;IF(DATEDIF(C349,B349,"m")=1," month"," months"),DATEDIF(C349,B349,"d")&amp;IF(DATEDIF(C349,B349,"d")=1," day"," days"))))</f>
        <v>1 year 2 months</v>
      </c>
      <c r="E349" s="77" t="s">
        <v>179</v>
      </c>
      <c r="F349" s="77" t="s">
        <v>180</v>
      </c>
      <c r="G349" s="77" t="s">
        <v>285</v>
      </c>
      <c r="H349" s="77" t="s">
        <v>53</v>
      </c>
      <c r="I349" s="77" t="s">
        <v>529</v>
      </c>
      <c r="J349" s="111">
        <v>45981</v>
      </c>
      <c r="K349" s="77" t="s">
        <v>81</v>
      </c>
      <c r="L349" s="77"/>
      <c r="M349" s="102" t="str">
        <f>IFERROR(VLOOKUP(G349,Reference!$I$2:$J$175,2,FALSE()),"Operations")</f>
        <v>Children Services</v>
      </c>
    </row>
    <row r="350" spans="1:13" ht="15" customHeight="1" x14ac:dyDescent="0.25">
      <c r="A350" s="80" t="s">
        <v>570</v>
      </c>
      <c r="B350" s="112">
        <v>45972</v>
      </c>
      <c r="C350" s="112">
        <v>45923</v>
      </c>
      <c r="D350" s="80" t="str">
        <f t="shared" si="4"/>
        <v>1 month</v>
      </c>
      <c r="E350" s="80" t="s">
        <v>179</v>
      </c>
      <c r="F350" s="80" t="s">
        <v>191</v>
      </c>
      <c r="G350" s="80" t="s">
        <v>250</v>
      </c>
      <c r="H350" s="80" t="s">
        <v>53</v>
      </c>
      <c r="I350" s="80" t="s">
        <v>328</v>
      </c>
      <c r="J350" s="112">
        <v>45979</v>
      </c>
      <c r="K350" s="80" t="s">
        <v>66</v>
      </c>
      <c r="L350" s="80"/>
      <c r="M350" s="105" t="str">
        <f>IFERROR(VLOOKUP(G350,Reference!$I$2:$J$175,2,FALSE()),"Operations")</f>
        <v>Operations</v>
      </c>
    </row>
    <row r="351" spans="1:13" ht="15" customHeight="1" x14ac:dyDescent="0.25">
      <c r="A351" s="77" t="s">
        <v>571</v>
      </c>
      <c r="B351" s="111">
        <v>45973</v>
      </c>
      <c r="C351" s="111">
        <v>45931</v>
      </c>
      <c r="D351" s="77" t="str">
        <f t="shared" si="4"/>
        <v>1 month</v>
      </c>
      <c r="E351" s="77" t="s">
        <v>179</v>
      </c>
      <c r="F351" s="77" t="s">
        <v>180</v>
      </c>
      <c r="G351" s="77" t="s">
        <v>572</v>
      </c>
      <c r="H351" s="77" t="s">
        <v>53</v>
      </c>
      <c r="I351" s="77" t="s">
        <v>573</v>
      </c>
      <c r="J351" s="77" t="s">
        <v>376</v>
      </c>
      <c r="K351" s="77" t="s">
        <v>89</v>
      </c>
      <c r="L351" s="77"/>
      <c r="M351" s="102" t="str">
        <f>IFERROR(VLOOKUP(G351,Reference!$I$2:$J$175,2,FALSE()),"Operations")</f>
        <v>Operations</v>
      </c>
    </row>
    <row r="352" spans="1:13" ht="15" customHeight="1" x14ac:dyDescent="0.25">
      <c r="A352" s="80" t="s">
        <v>574</v>
      </c>
      <c r="B352" s="112">
        <v>45974</v>
      </c>
      <c r="C352" s="112">
        <v>45236</v>
      </c>
      <c r="D352" s="80" t="str">
        <f t="shared" si="4"/>
        <v>2 years 0 months</v>
      </c>
      <c r="E352" s="80" t="s">
        <v>179</v>
      </c>
      <c r="F352" s="80" t="s">
        <v>191</v>
      </c>
      <c r="G352" s="80" t="s">
        <v>572</v>
      </c>
      <c r="H352" s="80" t="s">
        <v>69</v>
      </c>
      <c r="I352" s="80" t="s">
        <v>377</v>
      </c>
      <c r="J352" s="80"/>
      <c r="K352" s="80" t="s">
        <v>70</v>
      </c>
      <c r="L352" s="80"/>
      <c r="M352" s="105" t="str">
        <f>IFERROR(VLOOKUP(G352,Reference!$I$2:$J$175,2,FALSE()),"Operations")</f>
        <v>Operations</v>
      </c>
    </row>
    <row r="353" spans="1:13" ht="15" customHeight="1" x14ac:dyDescent="0.25">
      <c r="A353" s="77" t="s">
        <v>575</v>
      </c>
      <c r="B353" s="111">
        <v>45973</v>
      </c>
      <c r="C353" s="111">
        <v>45895</v>
      </c>
      <c r="D353" s="77" t="str">
        <f t="shared" si="4"/>
        <v>2 months</v>
      </c>
      <c r="E353" s="77" t="s">
        <v>179</v>
      </c>
      <c r="F353" s="77" t="s">
        <v>191</v>
      </c>
      <c r="G353" s="77" t="s">
        <v>285</v>
      </c>
      <c r="H353" s="77" t="s">
        <v>53</v>
      </c>
      <c r="I353" s="77" t="s">
        <v>529</v>
      </c>
      <c r="J353" s="77"/>
      <c r="K353" s="77" t="s">
        <v>81</v>
      </c>
      <c r="L353" s="77"/>
      <c r="M353" s="102" t="str">
        <f>IFERROR(VLOOKUP(G353,Reference!$I$2:$J$175,2,FALSE()),"Operations")</f>
        <v>Children Services</v>
      </c>
    </row>
    <row r="354" spans="1:13" ht="15" customHeight="1" x14ac:dyDescent="0.25">
      <c r="A354" s="80" t="s">
        <v>576</v>
      </c>
      <c r="B354" s="112">
        <v>45978</v>
      </c>
      <c r="C354" s="112">
        <v>45874</v>
      </c>
      <c r="D354" s="80" t="str">
        <f t="shared" si="4"/>
        <v>3 months</v>
      </c>
      <c r="E354" s="80" t="s">
        <v>179</v>
      </c>
      <c r="F354" s="80" t="s">
        <v>191</v>
      </c>
      <c r="G354" s="80" t="s">
        <v>572</v>
      </c>
      <c r="H354" s="80" t="s">
        <v>53</v>
      </c>
      <c r="I354" s="80" t="s">
        <v>573</v>
      </c>
      <c r="J354" s="112">
        <v>45978</v>
      </c>
      <c r="K354" s="80" t="s">
        <v>89</v>
      </c>
      <c r="L354" s="80"/>
      <c r="M354" s="105" t="str">
        <f>IFERROR(VLOOKUP(G354,Reference!$I$2:$J$175,2,FALSE()),"Operations")</f>
        <v>Operations</v>
      </c>
    </row>
    <row r="355" spans="1:13" ht="15" customHeight="1" x14ac:dyDescent="0.25">
      <c r="A355" s="77" t="s">
        <v>577</v>
      </c>
      <c r="B355" s="111">
        <v>45982</v>
      </c>
      <c r="C355" s="111">
        <v>45890</v>
      </c>
      <c r="D355" s="77" t="str">
        <f t="shared" si="4"/>
        <v>3 months</v>
      </c>
      <c r="E355" s="77" t="s">
        <v>179</v>
      </c>
      <c r="F355" s="77" t="s">
        <v>180</v>
      </c>
      <c r="G355" s="77" t="s">
        <v>572</v>
      </c>
      <c r="H355" s="77" t="s">
        <v>53</v>
      </c>
      <c r="I355" s="77" t="s">
        <v>224</v>
      </c>
      <c r="J355" s="77" t="s">
        <v>376</v>
      </c>
      <c r="K355" s="77" t="s">
        <v>87</v>
      </c>
      <c r="L355" s="77"/>
      <c r="M355" s="102" t="str">
        <f>IFERROR(VLOOKUP(G355,Reference!$I$2:$J$175,2,FALSE()),"Operations")</f>
        <v>Operations</v>
      </c>
    </row>
    <row r="356" spans="1:13" ht="15" customHeight="1" x14ac:dyDescent="0.25">
      <c r="A356" s="80" t="s">
        <v>578</v>
      </c>
      <c r="B356" s="112">
        <v>45988</v>
      </c>
      <c r="C356" s="112">
        <v>45719</v>
      </c>
      <c r="D356" s="80" t="str">
        <f t="shared" si="4"/>
        <v>8 months</v>
      </c>
      <c r="E356" s="80" t="s">
        <v>179</v>
      </c>
      <c r="F356" s="80" t="s">
        <v>191</v>
      </c>
      <c r="G356" s="80" t="s">
        <v>285</v>
      </c>
      <c r="H356" s="80" t="s">
        <v>53</v>
      </c>
      <c r="I356" s="80" t="s">
        <v>529</v>
      </c>
      <c r="J356" s="80" t="s">
        <v>376</v>
      </c>
      <c r="K356" s="80" t="s">
        <v>83</v>
      </c>
      <c r="L356" s="80"/>
      <c r="M356" s="105" t="str">
        <f>IFERROR(VLOOKUP(G356,Reference!$I$2:$J$175,2,FALSE()),"Operations")</f>
        <v>Children Services</v>
      </c>
    </row>
    <row r="357" spans="1:13" ht="15" customHeight="1" x14ac:dyDescent="0.25">
      <c r="A357" s="77" t="s">
        <v>579</v>
      </c>
      <c r="B357" s="111">
        <v>45990</v>
      </c>
      <c r="C357" s="111">
        <v>45910</v>
      </c>
      <c r="D357" s="77" t="str">
        <f t="shared" si="4"/>
        <v>2 months</v>
      </c>
      <c r="E357" s="77" t="s">
        <v>179</v>
      </c>
      <c r="F357" s="77" t="s">
        <v>191</v>
      </c>
      <c r="G357" s="77" t="s">
        <v>580</v>
      </c>
      <c r="H357" s="77" t="s">
        <v>58</v>
      </c>
      <c r="I357" s="77" t="s">
        <v>189</v>
      </c>
      <c r="J357" s="77" t="s">
        <v>581</v>
      </c>
      <c r="K357" s="77" t="s">
        <v>66</v>
      </c>
      <c r="L357" s="77"/>
      <c r="M357" s="102" t="str">
        <f>IFERROR(VLOOKUP(G357,Reference!$I$2:$J$175,2,FALSE()),"Operations")</f>
        <v>Operations</v>
      </c>
    </row>
    <row r="358" spans="1:13" ht="15" customHeight="1" x14ac:dyDescent="0.25">
      <c r="A358" s="103"/>
      <c r="B358" s="104"/>
      <c r="C358" s="104"/>
      <c r="D358" s="103">
        <f>IF(OR(B358="",C358=""),"",IF(DATEDIF(C358,B358,"y")&gt;=1,DATEDIF(C358,B358,"y")&amp;IF(DATEDIF(C358,B358,"y")=1," year "," years ")&amp;DATEDIF(C358,B358,"ym")&amp;IF(DATEDIF(C358,B358,"ym")=1," month"," months"),IF(DATEDIF(C358,B358,"m")&gt;=1,DATEDIF(C358,B358,"m")&amp;IF(DATEDIF(C358,B358,"m")=1," month"," months"),DATEDIF(C358,B358,"d")&amp;IF(DATEDIF(C358,B358,"d")=1," day"," days"))))</f>
      </c>
      <c r="E358" s="103"/>
      <c r="F358" s="103"/>
      <c r="G358" s="103"/>
      <c r="H358" s="103"/>
      <c r="I358" s="103"/>
      <c r="J358" s="104"/>
      <c r="K358" s="103"/>
      <c r="L358" s="103"/>
      <c r="M358" s="105" t="str">
        <f>IFERROR(VLOOKUP(G358,Reference!$I$2:$J$175,2,FALSE()),"Operations")</f>
        <v>Operations</v>
      </c>
    </row>
    <row r="359" spans="1:13" ht="15" customHeight="1" x14ac:dyDescent="0.25">
      <c r="A359" s="100"/>
      <c r="B359" s="101"/>
      <c r="C359" s="101"/>
      <c r="D359" s="100">
        <f>IF(OR(B359="",C359=""),"",IF(DATEDIF(C359,B359,"y")&gt;=1,DATEDIF(C359,B359,"y")&amp;IF(DATEDIF(C359,B359,"y")=1," year "," years ")&amp;DATEDIF(C359,B359,"ym")&amp;IF(DATEDIF(C359,B359,"ym")=1," month"," months"),IF(DATEDIF(C359,B359,"m")&gt;=1,DATEDIF(C359,B359,"m")&amp;IF(DATEDIF(C359,B359,"m")=1," month"," months"),DATEDIF(C359,B359,"d")&amp;IF(DATEDIF(C359,B359,"d")=1," day"," days"))))</f>
      </c>
      <c r="E359" s="100"/>
      <c r="F359" s="100"/>
      <c r="G359" s="100"/>
      <c r="H359" s="100"/>
      <c r="I359" s="100"/>
      <c r="J359" s="101"/>
      <c r="K359" s="100"/>
      <c r="L359" s="100"/>
      <c r="M359" s="102" t="str">
        <f>IFERROR(VLOOKUP(G359,Reference!$I$2:$J$175,2,FALSE()),"Operations")</f>
        <v>Operations</v>
      </c>
    </row>
    <row r="360" spans="1:13" ht="15" customHeight="1" x14ac:dyDescent="0.25">
      <c r="A360" s="103"/>
      <c r="B360" s="104"/>
      <c r="C360" s="104"/>
      <c r="D360" s="103">
        <f>IF(OR(B360="",C360=""),"",IF(DATEDIF(C360,B360,"y")&gt;=1,DATEDIF(C360,B360,"y")&amp;IF(DATEDIF(C360,B360,"y")=1," year "," years ")&amp;DATEDIF(C360,B360,"ym")&amp;IF(DATEDIF(C360,B360,"ym")=1," month"," months"),IF(DATEDIF(C360,B360,"m")&gt;=1,DATEDIF(C360,B360,"m")&amp;IF(DATEDIF(C360,B360,"m")=1," month"," months"),DATEDIF(C360,B360,"d")&amp;IF(DATEDIF(C360,B360,"d")=1," day"," days"))))</f>
      </c>
      <c r="E360" s="103"/>
      <c r="F360" s="103"/>
      <c r="G360" s="103"/>
      <c r="H360" s="103"/>
      <c r="I360" s="103"/>
      <c r="J360" s="104"/>
      <c r="K360" s="103"/>
      <c r="L360" s="103"/>
      <c r="M360" s="105" t="str">
        <f>IFERROR(VLOOKUP(G360,Reference!$I$2:$J$175,2,FALSE()),"Operations")</f>
        <v>Operations</v>
      </c>
    </row>
    <row r="361" spans="1:13" ht="15" customHeight="1" x14ac:dyDescent="0.25">
      <c r="A361" s="100"/>
      <c r="B361" s="101"/>
      <c r="C361" s="101"/>
      <c r="D361" s="100">
        <f>IF(OR(B361="",C361=""),"",IF(DATEDIF(C361,B361,"y")&gt;=1,DATEDIF(C361,B361,"y")&amp;IF(DATEDIF(C361,B361,"y")=1," year "," years ")&amp;DATEDIF(C361,B361,"ym")&amp;IF(DATEDIF(C361,B361,"ym")=1," month"," months"),IF(DATEDIF(C361,B361,"m")&gt;=1,DATEDIF(C361,B361,"m")&amp;IF(DATEDIF(C361,B361,"m")=1," month"," months"),DATEDIF(C361,B361,"d")&amp;IF(DATEDIF(C361,B361,"d")=1," day"," days"))))</f>
      </c>
      <c r="E361" s="100"/>
      <c r="F361" s="100"/>
      <c r="G361" s="100"/>
      <c r="H361" s="100"/>
      <c r="I361" s="100"/>
      <c r="J361" s="101"/>
      <c r="K361" s="100"/>
      <c r="L361" s="100"/>
      <c r="M361" s="102" t="str">
        <f>IFERROR(VLOOKUP(G361,Reference!$I$2:$J$175,2,FALSE()),"Operations")</f>
        <v>Operations</v>
      </c>
    </row>
    <row r="362" spans="1:13" ht="15" customHeight="1" x14ac:dyDescent="0.25">
      <c r="A362" s="103"/>
      <c r="B362" s="104"/>
      <c r="C362" s="104"/>
      <c r="D362" s="103">
        <f>IF(OR(B362="",C362=""),"",IF(DATEDIF(C362,B362,"y")&gt;=1,DATEDIF(C362,B362,"y")&amp;IF(DATEDIF(C362,B362,"y")=1," year "," years ")&amp;DATEDIF(C362,B362,"ym")&amp;IF(DATEDIF(C362,B362,"ym")=1," month"," months"),IF(DATEDIF(C362,B362,"m")&gt;=1,DATEDIF(C362,B362,"m")&amp;IF(DATEDIF(C362,B362,"m")=1," month"," months"),DATEDIF(C362,B362,"d")&amp;IF(DATEDIF(C362,B362,"d")=1," day"," days"))))</f>
      </c>
      <c r="E362" s="103"/>
      <c r="F362" s="103"/>
      <c r="G362" s="103"/>
      <c r="H362" s="103"/>
      <c r="I362" s="103"/>
      <c r="J362" s="104"/>
      <c r="K362" s="103"/>
      <c r="L362" s="103"/>
      <c r="M362" s="105" t="str">
        <f>IFERROR(VLOOKUP(G362,Reference!$I$2:$J$175,2,FALSE()),"Operations")</f>
        <v>Operations</v>
      </c>
    </row>
    <row r="363" spans="1:13" ht="15" customHeight="1" x14ac:dyDescent="0.25">
      <c r="A363" s="100"/>
      <c r="B363" s="101"/>
      <c r="C363" s="101"/>
      <c r="D363" s="100">
        <f>IF(OR(B363="",C363=""),"",IF(DATEDIF(C363,B363,"y")&gt;=1,DATEDIF(C363,B363,"y")&amp;IF(DATEDIF(C363,B363,"y")=1," year "," years ")&amp;DATEDIF(C363,B363,"ym")&amp;IF(DATEDIF(C363,B363,"ym")=1," month"," months"),IF(DATEDIF(C363,B363,"m")&gt;=1,DATEDIF(C363,B363,"m")&amp;IF(DATEDIF(C363,B363,"m")=1," month"," months"),DATEDIF(C363,B363,"d")&amp;IF(DATEDIF(C363,B363,"d")=1," day"," days"))))</f>
      </c>
      <c r="E363" s="100"/>
      <c r="F363" s="100"/>
      <c r="G363" s="100"/>
      <c r="H363" s="100"/>
      <c r="I363" s="100"/>
      <c r="J363" s="101"/>
      <c r="K363" s="100"/>
      <c r="L363" s="100"/>
      <c r="M363" s="102" t="str">
        <f>IFERROR(VLOOKUP(G363,Reference!$I$2:$J$175,2,FALSE()),"Operations")</f>
        <v>Operations</v>
      </c>
    </row>
    <row r="364" spans="1:13" ht="15" customHeight="1" x14ac:dyDescent="0.25">
      <c r="A364" s="103"/>
      <c r="B364" s="104"/>
      <c r="C364" s="104"/>
      <c r="D364" s="103">
        <f>IF(OR(B364="",C364=""),"",IF(DATEDIF(C364,B364,"y")&gt;=1,DATEDIF(C364,B364,"y")&amp;IF(DATEDIF(C364,B364,"y")=1," year "," years ")&amp;DATEDIF(C364,B364,"ym")&amp;IF(DATEDIF(C364,B364,"ym")=1," month"," months"),IF(DATEDIF(C364,B364,"m")&gt;=1,DATEDIF(C364,B364,"m")&amp;IF(DATEDIF(C364,B364,"m")=1," month"," months"),DATEDIF(C364,B364,"d")&amp;IF(DATEDIF(C364,B364,"d")=1," day"," days"))))</f>
      </c>
      <c r="E364" s="103"/>
      <c r="F364" s="103"/>
      <c r="G364" s="103"/>
      <c r="H364" s="103"/>
      <c r="I364" s="103"/>
      <c r="J364" s="104"/>
      <c r="K364" s="103"/>
      <c r="L364" s="103"/>
      <c r="M364" s="105" t="str">
        <f>IFERROR(VLOOKUP(G364,Reference!$I$2:$J$175,2,FALSE()),"Operations")</f>
        <v>Operations</v>
      </c>
    </row>
    <row r="365" spans="1:13" ht="15" customHeight="1" x14ac:dyDescent="0.25">
      <c r="A365" s="100"/>
      <c r="B365" s="101"/>
      <c r="C365" s="101"/>
      <c r="D365" s="100">
        <f>IF(OR(B365="",C365=""),"",IF(DATEDIF(C365,B365,"y")&gt;=1,DATEDIF(C365,B365,"y")&amp;IF(DATEDIF(C365,B365,"y")=1," year "," years ")&amp;DATEDIF(C365,B365,"ym")&amp;IF(DATEDIF(C365,B365,"ym")=1," month"," months"),IF(DATEDIF(C365,B365,"m")&gt;=1,DATEDIF(C365,B365,"m")&amp;IF(DATEDIF(C365,B365,"m")=1," month"," months"),DATEDIF(C365,B365,"d")&amp;IF(DATEDIF(C365,B365,"d")=1," day"," days"))))</f>
      </c>
      <c r="E365" s="100"/>
      <c r="F365" s="100"/>
      <c r="G365" s="100"/>
      <c r="H365" s="100"/>
      <c r="I365" s="100"/>
      <c r="J365" s="101"/>
      <c r="K365" s="100"/>
      <c r="L365" s="100"/>
      <c r="M365" s="102" t="str">
        <f>IFERROR(VLOOKUP(G365,Reference!$I$2:$J$175,2,FALSE()),"Operations")</f>
        <v>Operations</v>
      </c>
    </row>
    <row r="366" spans="1:13" ht="15" customHeight="1" x14ac:dyDescent="0.25">
      <c r="A366" s="103"/>
      <c r="B366" s="104"/>
      <c r="C366" s="104"/>
      <c r="D366" s="103">
        <f>IF(OR(B366="",C366=""),"",IF(DATEDIF(C366,B366,"y")&gt;=1,DATEDIF(C366,B366,"y")&amp;IF(DATEDIF(C366,B366,"y")=1," year "," years ")&amp;DATEDIF(C366,B366,"ym")&amp;IF(DATEDIF(C366,B366,"ym")=1," month"," months"),IF(DATEDIF(C366,B366,"m")&gt;=1,DATEDIF(C366,B366,"m")&amp;IF(DATEDIF(C366,B366,"m")=1," month"," months"),DATEDIF(C366,B366,"d")&amp;IF(DATEDIF(C366,B366,"d")=1," day"," days"))))</f>
      </c>
      <c r="E366" s="103"/>
      <c r="F366" s="103"/>
      <c r="G366" s="103"/>
      <c r="H366" s="103"/>
      <c r="I366" s="103"/>
      <c r="J366" s="104"/>
      <c r="K366" s="103"/>
      <c r="L366" s="103"/>
      <c r="M366" s="105" t="str">
        <f>IFERROR(VLOOKUP(G366,Reference!$I$2:$J$175,2,FALSE()),"Operations")</f>
        <v>Operations</v>
      </c>
    </row>
    <row r="367" spans="1:13" ht="15" customHeight="1" x14ac:dyDescent="0.25">
      <c r="A367" s="100"/>
      <c r="B367" s="101"/>
      <c r="C367" s="101"/>
      <c r="D367" s="100">
        <f>IF(OR(B367="",C367=""),"",IF(DATEDIF(C367,B367,"y")&gt;=1,DATEDIF(C367,B367,"y")&amp;IF(DATEDIF(C367,B367,"y")=1," year "," years ")&amp;DATEDIF(C367,B367,"ym")&amp;IF(DATEDIF(C367,B367,"ym")=1," month"," months"),IF(DATEDIF(C367,B367,"m")&gt;=1,DATEDIF(C367,B367,"m")&amp;IF(DATEDIF(C367,B367,"m")=1," month"," months"),DATEDIF(C367,B367,"d")&amp;IF(DATEDIF(C367,B367,"d")=1," day"," days"))))</f>
      </c>
      <c r="E367" s="100"/>
      <c r="F367" s="100"/>
      <c r="G367" s="100"/>
      <c r="H367" s="100"/>
      <c r="I367" s="100"/>
      <c r="J367" s="101"/>
      <c r="K367" s="100"/>
      <c r="L367" s="100"/>
      <c r="M367" s="102" t="str">
        <f>IFERROR(VLOOKUP(G367,Reference!$I$2:$J$175,2,FALSE()),"Operations")</f>
        <v>Operations</v>
      </c>
    </row>
    <row r="368" spans="1:13" ht="15" customHeight="1" x14ac:dyDescent="0.25">
      <c r="A368" s="103"/>
      <c r="B368" s="104"/>
      <c r="C368" s="104"/>
      <c r="D368" s="103">
        <f>IF(OR(B368="",C368=""),"",IF(DATEDIF(C368,B368,"y")&gt;=1,DATEDIF(C368,B368,"y")&amp;IF(DATEDIF(C368,B368,"y")=1," year "," years ")&amp;DATEDIF(C368,B368,"ym")&amp;IF(DATEDIF(C368,B368,"ym")=1," month"," months"),IF(DATEDIF(C368,B368,"m")&gt;=1,DATEDIF(C368,B368,"m")&amp;IF(DATEDIF(C368,B368,"m")=1," month"," months"),DATEDIF(C368,B368,"d")&amp;IF(DATEDIF(C368,B368,"d")=1," day"," days"))))</f>
      </c>
      <c r="E368" s="103"/>
      <c r="F368" s="103"/>
      <c r="G368" s="103"/>
      <c r="H368" s="103"/>
      <c r="I368" s="103"/>
      <c r="J368" s="104"/>
      <c r="K368" s="103"/>
      <c r="L368" s="103"/>
      <c r="M368" s="105" t="str">
        <f>IFERROR(VLOOKUP(G368,Reference!$I$2:$J$175,2,FALSE()),"Operations")</f>
        <v>Operations</v>
      </c>
    </row>
    <row r="369" spans="1:13" ht="15" customHeight="1" x14ac:dyDescent="0.25">
      <c r="A369" s="100"/>
      <c r="B369" s="101"/>
      <c r="C369" s="101"/>
      <c r="D369" s="100">
        <f>IF(OR(B369="",C369=""),"",IF(DATEDIF(C369,B369,"y")&gt;=1,DATEDIF(C369,B369,"y")&amp;IF(DATEDIF(C369,B369,"y")=1," year "," years ")&amp;DATEDIF(C369,B369,"ym")&amp;IF(DATEDIF(C369,B369,"ym")=1," month"," months"),IF(DATEDIF(C369,B369,"m")&gt;=1,DATEDIF(C369,B369,"m")&amp;IF(DATEDIF(C369,B369,"m")=1," month"," months"),DATEDIF(C369,B369,"d")&amp;IF(DATEDIF(C369,B369,"d")=1," day"," days"))))</f>
      </c>
      <c r="E369" s="100"/>
      <c r="F369" s="100"/>
      <c r="G369" s="100"/>
      <c r="H369" s="100"/>
      <c r="I369" s="100"/>
      <c r="J369" s="101"/>
      <c r="K369" s="100"/>
      <c r="L369" s="100"/>
      <c r="M369" s="102" t="str">
        <f>IFERROR(VLOOKUP(G369,Reference!$I$2:$J$175,2,FALSE()),"Operations")</f>
        <v>Operations</v>
      </c>
    </row>
    <row r="370" spans="1:13" ht="15" customHeight="1" x14ac:dyDescent="0.25">
      <c r="A370" s="103"/>
      <c r="B370" s="104"/>
      <c r="C370" s="104"/>
      <c r="D370" s="103">
        <f>IF(OR(B370="",C370=""),"",IF(DATEDIF(C370,B370,"y")&gt;=1,DATEDIF(C370,B370,"y")&amp;IF(DATEDIF(C370,B370,"y")=1," year "," years ")&amp;DATEDIF(C370,B370,"ym")&amp;IF(DATEDIF(C370,B370,"ym")=1," month"," months"),IF(DATEDIF(C370,B370,"m")&gt;=1,DATEDIF(C370,B370,"m")&amp;IF(DATEDIF(C370,B370,"m")=1," month"," months"),DATEDIF(C370,B370,"d")&amp;IF(DATEDIF(C370,B370,"d")=1," day"," days"))))</f>
      </c>
      <c r="E370" s="103"/>
      <c r="F370" s="103"/>
      <c r="G370" s="103"/>
      <c r="H370" s="103"/>
      <c r="I370" s="103"/>
      <c r="J370" s="104"/>
      <c r="K370" s="103"/>
      <c r="L370" s="103"/>
      <c r="M370" s="105" t="str">
        <f>IFERROR(VLOOKUP(G370,Reference!$I$2:$J$175,2,FALSE()),"Operations")</f>
        <v>Operations</v>
      </c>
    </row>
    <row r="371" spans="1:13" ht="15" customHeight="1" x14ac:dyDescent="0.25">
      <c r="A371" s="100"/>
      <c r="B371" s="101"/>
      <c r="C371" s="101"/>
      <c r="D371" s="100">
        <f>IF(OR(B371="",C371=""),"",IF(DATEDIF(C371,B371,"y")&gt;=1,DATEDIF(C371,B371,"y")&amp;IF(DATEDIF(C371,B371,"y")=1," year "," years ")&amp;DATEDIF(C371,B371,"ym")&amp;IF(DATEDIF(C371,B371,"ym")=1," month"," months"),IF(DATEDIF(C371,B371,"m")&gt;=1,DATEDIF(C371,B371,"m")&amp;IF(DATEDIF(C371,B371,"m")=1," month"," months"),DATEDIF(C371,B371,"d")&amp;IF(DATEDIF(C371,B371,"d")=1," day"," days"))))</f>
      </c>
      <c r="E371" s="100"/>
      <c r="F371" s="100"/>
      <c r="G371" s="100"/>
      <c r="H371" s="100"/>
      <c r="I371" s="100"/>
      <c r="J371" s="101"/>
      <c r="K371" s="100"/>
      <c r="L371" s="100"/>
      <c r="M371" s="102" t="str">
        <f>IFERROR(VLOOKUP(G371,Reference!$I$2:$J$175,2,FALSE()),"Operations")</f>
        <v>Operations</v>
      </c>
    </row>
    <row r="372" spans="1:13" ht="15" customHeight="1" x14ac:dyDescent="0.25">
      <c r="A372" s="103"/>
      <c r="B372" s="104"/>
      <c r="C372" s="104"/>
      <c r="D372" s="103">
        <f>IF(OR(B372="",C372=""),"",IF(DATEDIF(C372,B372,"y")&gt;=1,DATEDIF(C372,B372,"y")&amp;IF(DATEDIF(C372,B372,"y")=1," year "," years ")&amp;DATEDIF(C372,B372,"ym")&amp;IF(DATEDIF(C372,B372,"ym")=1," month"," months"),IF(DATEDIF(C372,B372,"m")&gt;=1,DATEDIF(C372,B372,"m")&amp;IF(DATEDIF(C372,B372,"m")=1," month"," months"),DATEDIF(C372,B372,"d")&amp;IF(DATEDIF(C372,B372,"d")=1," day"," days"))))</f>
      </c>
      <c r="E372" s="103"/>
      <c r="F372" s="103"/>
      <c r="G372" s="103"/>
      <c r="H372" s="103"/>
      <c r="I372" s="103"/>
      <c r="J372" s="104"/>
      <c r="K372" s="103"/>
      <c r="L372" s="103"/>
      <c r="M372" s="105" t="str">
        <f>IFERROR(VLOOKUP(G372,Reference!$I$2:$J$175,2,FALSE()),"Operations")</f>
        <v>Operations</v>
      </c>
    </row>
    <row r="373" spans="1:13" ht="15" customHeight="1" x14ac:dyDescent="0.25">
      <c r="A373" s="100"/>
      <c r="B373" s="101"/>
      <c r="C373" s="101"/>
      <c r="D373" s="100">
        <f>IF(OR(B373="",C373=""),"",IF(DATEDIF(C373,B373,"y")&gt;=1,DATEDIF(C373,B373,"y")&amp;IF(DATEDIF(C373,B373,"y")=1," year "," years ")&amp;DATEDIF(C373,B373,"ym")&amp;IF(DATEDIF(C373,B373,"ym")=1," month"," months"),IF(DATEDIF(C373,B373,"m")&gt;=1,DATEDIF(C373,B373,"m")&amp;IF(DATEDIF(C373,B373,"m")=1," month"," months"),DATEDIF(C373,B373,"d")&amp;IF(DATEDIF(C373,B373,"d")=1," day"," days"))))</f>
      </c>
      <c r="E373" s="100"/>
      <c r="F373" s="100"/>
      <c r="G373" s="100"/>
      <c r="H373" s="100"/>
      <c r="I373" s="100"/>
      <c r="J373" s="101"/>
      <c r="K373" s="100"/>
      <c r="L373" s="100"/>
      <c r="M373" s="102" t="str">
        <f>IFERROR(VLOOKUP(G373,Reference!$I$2:$J$175,2,FALSE()),"Operations")</f>
        <v>Operations</v>
      </c>
    </row>
    <row r="374" spans="1:13" ht="15" customHeight="1" x14ac:dyDescent="0.25">
      <c r="A374" s="103"/>
      <c r="B374" s="104"/>
      <c r="C374" s="104"/>
      <c r="D374" s="103">
        <f>IF(OR(B374="",C374=""),"",IF(DATEDIF(C374,B374,"y")&gt;=1,DATEDIF(C374,B374,"y")&amp;IF(DATEDIF(C374,B374,"y")=1," year "," years ")&amp;DATEDIF(C374,B374,"ym")&amp;IF(DATEDIF(C374,B374,"ym")=1," month"," months"),IF(DATEDIF(C374,B374,"m")&gt;=1,DATEDIF(C374,B374,"m")&amp;IF(DATEDIF(C374,B374,"m")=1," month"," months"),DATEDIF(C374,B374,"d")&amp;IF(DATEDIF(C374,B374,"d")=1," day"," days"))))</f>
      </c>
      <c r="E374" s="103"/>
      <c r="F374" s="103"/>
      <c r="G374" s="103"/>
      <c r="H374" s="103"/>
      <c r="I374" s="103"/>
      <c r="J374" s="104"/>
      <c r="K374" s="103"/>
      <c r="L374" s="103"/>
      <c r="M374" s="105" t="str">
        <f>IFERROR(VLOOKUP(G374,Reference!$I$2:$J$175,2,FALSE()),"Operations")</f>
        <v>Operations</v>
      </c>
    </row>
    <row r="375" spans="1:13" ht="15" customHeight="1" x14ac:dyDescent="0.25">
      <c r="A375" s="100"/>
      <c r="B375" s="101"/>
      <c r="C375" s="101"/>
      <c r="D375" s="100">
        <f>IF(OR(B375="",C375=""),"",IF(DATEDIF(C375,B375,"y")&gt;=1,DATEDIF(C375,B375,"y")&amp;IF(DATEDIF(C375,B375,"y")=1," year "," years ")&amp;DATEDIF(C375,B375,"ym")&amp;IF(DATEDIF(C375,B375,"ym")=1," month"," months"),IF(DATEDIF(C375,B375,"m")&gt;=1,DATEDIF(C375,B375,"m")&amp;IF(DATEDIF(C375,B375,"m")=1," month"," months"),DATEDIF(C375,B375,"d")&amp;IF(DATEDIF(C375,B375,"d")=1," day"," days"))))</f>
      </c>
      <c r="E375" s="100"/>
      <c r="F375" s="100"/>
      <c r="G375" s="100"/>
      <c r="H375" s="100"/>
      <c r="I375" s="100"/>
      <c r="J375" s="101"/>
      <c r="K375" s="100"/>
      <c r="L375" s="100"/>
      <c r="M375" s="102" t="str">
        <f>IFERROR(VLOOKUP(G375,Reference!$I$2:$J$175,2,FALSE()),"Operations")</f>
        <v>Operations</v>
      </c>
    </row>
    <row r="376" spans="1:13" ht="15" customHeight="1" x14ac:dyDescent="0.25">
      <c r="A376" s="103"/>
      <c r="B376" s="104"/>
      <c r="C376" s="104"/>
      <c r="D376" s="103">
        <f>IF(OR(B376="",C376=""),"",IF(DATEDIF(C376,B376,"y")&gt;=1,DATEDIF(C376,B376,"y")&amp;IF(DATEDIF(C376,B376,"y")=1," year "," years ")&amp;DATEDIF(C376,B376,"ym")&amp;IF(DATEDIF(C376,B376,"ym")=1," month"," months"),IF(DATEDIF(C376,B376,"m")&gt;=1,DATEDIF(C376,B376,"m")&amp;IF(DATEDIF(C376,B376,"m")=1," month"," months"),DATEDIF(C376,B376,"d")&amp;IF(DATEDIF(C376,B376,"d")=1," day"," days"))))</f>
      </c>
      <c r="E376" s="103"/>
      <c r="F376" s="103"/>
      <c r="G376" s="103"/>
      <c r="H376" s="103"/>
      <c r="I376" s="103"/>
      <c r="J376" s="104"/>
      <c r="K376" s="103"/>
      <c r="L376" s="103"/>
      <c r="M376" s="105" t="str">
        <f>IFERROR(VLOOKUP(G376,Reference!$I$2:$J$175,2,FALSE()),"Operations")</f>
        <v>Operations</v>
      </c>
    </row>
    <row r="377" spans="1:13" ht="15" customHeight="1" x14ac:dyDescent="0.25">
      <c r="A377" s="100"/>
      <c r="B377" s="101"/>
      <c r="C377" s="101"/>
      <c r="D377" s="100">
        <f>IF(OR(B377="",C377=""),"",IF(DATEDIF(C377,B377,"y")&gt;=1,DATEDIF(C377,B377,"y")&amp;IF(DATEDIF(C377,B377,"y")=1," year "," years ")&amp;DATEDIF(C377,B377,"ym")&amp;IF(DATEDIF(C377,B377,"ym")=1," month"," months"),IF(DATEDIF(C377,B377,"m")&gt;=1,DATEDIF(C377,B377,"m")&amp;IF(DATEDIF(C377,B377,"m")=1," month"," months"),DATEDIF(C377,B377,"d")&amp;IF(DATEDIF(C377,B377,"d")=1," day"," days"))))</f>
      </c>
      <c r="E377" s="100"/>
      <c r="F377" s="100"/>
      <c r="G377" s="100"/>
      <c r="H377" s="100"/>
      <c r="I377" s="100"/>
      <c r="J377" s="101"/>
      <c r="K377" s="100"/>
      <c r="L377" s="100"/>
      <c r="M377" s="102" t="str">
        <f>IFERROR(VLOOKUP(G377,Reference!$I$2:$J$175,2,FALSE()),"Operations")</f>
        <v>Operations</v>
      </c>
    </row>
    <row r="378" spans="1:13" ht="15" customHeight="1" x14ac:dyDescent="0.25">
      <c r="A378" s="103"/>
      <c r="B378" s="104"/>
      <c r="C378" s="104"/>
      <c r="D378" s="103">
        <f>IF(OR(B378="",C378=""),"",IF(DATEDIF(C378,B378,"y")&gt;=1,DATEDIF(C378,B378,"y")&amp;IF(DATEDIF(C378,B378,"y")=1," year "," years ")&amp;DATEDIF(C378,B378,"ym")&amp;IF(DATEDIF(C378,B378,"ym")=1," month"," months"),IF(DATEDIF(C378,B378,"m")&gt;=1,DATEDIF(C378,B378,"m")&amp;IF(DATEDIF(C378,B378,"m")=1," month"," months"),DATEDIF(C378,B378,"d")&amp;IF(DATEDIF(C378,B378,"d")=1," day"," days"))))</f>
      </c>
      <c r="E378" s="103"/>
      <c r="F378" s="103"/>
      <c r="G378" s="103"/>
      <c r="H378" s="103"/>
      <c r="I378" s="103"/>
      <c r="J378" s="104"/>
      <c r="K378" s="103"/>
      <c r="L378" s="103"/>
      <c r="M378" s="105" t="str">
        <f>IFERROR(VLOOKUP(G378,Reference!$I$2:$J$175,2,FALSE()),"Operations")</f>
        <v>Operations</v>
      </c>
    </row>
    <row r="379" spans="1:13" ht="15" customHeight="1" x14ac:dyDescent="0.25">
      <c r="A379" s="106" t="s">
        <v>163</v>
      </c>
      <c r="B379" s="107">
        <f>COUNTA(A349:A378)</f>
        <v>9</v>
      </c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</row>
    <row r="380" spans="1:13" ht="6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</row>
    <row r="381" spans="1:13" ht="21.75" customHeight="1" x14ac:dyDescent="0.25">
      <c r="A381" s="163" t="s">
        <v>582</v>
      </c>
      <c r="B381" s="163"/>
      <c r="C381" s="163"/>
      <c r="D381" s="163"/>
      <c r="E381" s="163"/>
      <c r="F381" s="163"/>
      <c r="G381" s="163"/>
      <c r="H381" s="163"/>
      <c r="I381" s="163"/>
      <c r="J381" s="163"/>
      <c r="K381" s="163"/>
      <c r="L381" s="163"/>
      <c r="M381" s="163"/>
    </row>
    <row r="382" spans="1:13" ht="19.5" customHeight="1" x14ac:dyDescent="0.25">
      <c r="A382" s="64" t="s">
        <v>151</v>
      </c>
      <c r="B382" s="64" t="s">
        <v>152</v>
      </c>
      <c r="C382" s="64" t="s">
        <v>153</v>
      </c>
      <c r="D382" s="64" t="s">
        <v>154</v>
      </c>
      <c r="E382" s="64" t="s">
        <v>155</v>
      </c>
      <c r="F382" s="64" t="s">
        <v>156</v>
      </c>
      <c r="G382" s="64" t="s">
        <v>157</v>
      </c>
      <c r="H382" s="64" t="s">
        <v>158</v>
      </c>
      <c r="I382" s="64" t="s">
        <v>159</v>
      </c>
      <c r="J382" s="64" t="s">
        <v>160</v>
      </c>
      <c r="K382" s="64" t="s">
        <v>134</v>
      </c>
      <c r="L382" s="64" t="s">
        <v>161</v>
      </c>
      <c r="M382" s="64" t="s">
        <v>162</v>
      </c>
    </row>
    <row r="383" spans="1:13" ht="15" customHeight="1" x14ac:dyDescent="0.25">
      <c r="A383" s="77" t="s">
        <v>583</v>
      </c>
      <c r="B383" s="111">
        <v>46012</v>
      </c>
      <c r="C383" s="111">
        <v>45509</v>
      </c>
      <c r="D383" s="77" t="str">
        <f>IF(OR(B383="",C383=""),"",IF(DATEDIF(C383,B383,"y")&gt;=1,DATEDIF(C383,B383,"y")&amp;IF(DATEDIF(C383,B383,"y")=1," year "," years ")&amp;DATEDIF(C383,B383,"ym")&amp;IF(DATEDIF(C383,B383,"ym")=1," month"," months"),IF(DATEDIF(C383,B383,"m")&gt;=1,DATEDIF(C383,B383,"m")&amp;IF(DATEDIF(C383,B383,"m")=1," month"," months"),DATEDIF(C383,B383,"d")&amp;IF(DATEDIF(C383,B383,"d")=1," day"," days"))))</f>
        <v>1 year 4 months</v>
      </c>
      <c r="E383" s="77" t="s">
        <v>179</v>
      </c>
      <c r="F383" s="77" t="s">
        <v>180</v>
      </c>
      <c r="G383" s="77" t="s">
        <v>285</v>
      </c>
      <c r="H383" s="77" t="s">
        <v>53</v>
      </c>
      <c r="I383" s="77" t="s">
        <v>529</v>
      </c>
      <c r="J383" s="77" t="s">
        <v>376</v>
      </c>
      <c r="K383" s="77" t="s">
        <v>80</v>
      </c>
      <c r="L383" s="77"/>
      <c r="M383" s="102" t="str">
        <f>IFERROR(VLOOKUP(G383,Reference!$I$2:$J$175,2,FALSE()),"Operations")</f>
        <v>Children Services</v>
      </c>
    </row>
    <row r="384" spans="1:13" ht="15" customHeight="1" x14ac:dyDescent="0.25">
      <c r="A384" s="80" t="s">
        <v>584</v>
      </c>
      <c r="B384" s="112">
        <v>46016</v>
      </c>
      <c r="C384" s="112">
        <v>45237</v>
      </c>
      <c r="D384" s="80" t="str">
        <f>IF(OR(B384="",C384=""),"",IF(DATEDIF(C384,B384,"y")&gt;=1,DATEDIF(C384,B384,"y")&amp;IF(DATEDIF(C384,B384,"y")=1," year "," years ")&amp;DATEDIF(C384,B384,"ym")&amp;IF(DATEDIF(C384,B384,"ym")=1," month"," months"),IF(DATEDIF(C384,B384,"m")&gt;=1,DATEDIF(C384,B384,"m")&amp;IF(DATEDIF(C384,B384,"m")=1," month"," months"),DATEDIF(C384,B384,"d")&amp;IF(DATEDIF(C384,B384,"d")=1," day"," days"))))</f>
        <v>2 years 1 month</v>
      </c>
      <c r="E384" s="80" t="s">
        <v>184</v>
      </c>
      <c r="F384" s="80" t="s">
        <v>191</v>
      </c>
      <c r="G384" s="80" t="s">
        <v>585</v>
      </c>
      <c r="H384" s="80" t="s">
        <v>56</v>
      </c>
      <c r="I384" s="80" t="s">
        <v>586</v>
      </c>
      <c r="J384" s="80" t="s">
        <v>376</v>
      </c>
      <c r="K384" s="80" t="s">
        <v>66</v>
      </c>
      <c r="L384" s="80"/>
      <c r="M384" s="105" t="str">
        <f>IFERROR(VLOOKUP(G384,Reference!$I$2:$J$175,2,FALSE()),"Operations")</f>
        <v>Operations</v>
      </c>
    </row>
    <row r="385" spans="1:13" ht="15" customHeight="1" x14ac:dyDescent="0.25">
      <c r="A385" s="77" t="s">
        <v>587</v>
      </c>
      <c r="B385" s="111">
        <v>46004</v>
      </c>
      <c r="C385" s="111">
        <v>45937</v>
      </c>
      <c r="D385" s="77" t="str">
        <f>IF(OR(B385="",C385=""),"",IF(DATEDIF(C385,B385,"y")&gt;=1,DATEDIF(C385,B385,"y")&amp;IF(DATEDIF(C385,B385,"y")=1," year "," years ")&amp;DATEDIF(C385,B385,"ym")&amp;IF(DATEDIF(C385,B385,"ym")=1," month"," months"),IF(DATEDIF(C385,B385,"m")&gt;=1,DATEDIF(C385,B385,"m")&amp;IF(DATEDIF(C385,B385,"m")=1," month"," months"),DATEDIF(C385,B385,"d")&amp;IF(DATEDIF(C385,B385,"d")=1," day"," days"))))</f>
        <v>2 months</v>
      </c>
      <c r="E385" s="77" t="s">
        <v>184</v>
      </c>
      <c r="F385" s="77" t="s">
        <v>191</v>
      </c>
      <c r="G385" s="77" t="s">
        <v>285</v>
      </c>
      <c r="H385" s="77" t="s">
        <v>70</v>
      </c>
      <c r="I385" s="77" t="s">
        <v>529</v>
      </c>
      <c r="J385" s="77" t="s">
        <v>376</v>
      </c>
      <c r="K385" s="77" t="s">
        <v>83</v>
      </c>
      <c r="L385" s="77"/>
      <c r="M385" s="102" t="str">
        <f>IFERROR(VLOOKUP(G385,Reference!$I$2:$J$175,2,FALSE()),"Operations")</f>
        <v>Children Services</v>
      </c>
    </row>
    <row r="386" spans="1:13" ht="15" customHeight="1" x14ac:dyDescent="0.25">
      <c r="A386" s="80" t="s">
        <v>588</v>
      </c>
      <c r="B386" s="112">
        <v>46020</v>
      </c>
      <c r="C386" s="112">
        <v>45966</v>
      </c>
      <c r="D386" s="80" t="str">
        <f>IF(OR(B386="",C386=""),"",IF(DATEDIF(C386,B386,"y")&gt;=1,DATEDIF(C386,B386,"y")&amp;IF(DATEDIF(C386,B386,"y")=1," year "," years ")&amp;DATEDIF(C386,B386,"ym")&amp;IF(DATEDIF(C386,B386,"ym")=1," month"," months"),IF(DATEDIF(C386,B386,"m")&gt;=1,DATEDIF(C386,B386,"m")&amp;IF(DATEDIF(C386,B386,"m")=1," month"," months"),DATEDIF(C386,B386,"d")&amp;IF(DATEDIF(C386,B386,"d")=1," day"," days"))))</f>
        <v>1 month</v>
      </c>
      <c r="E386" s="80" t="s">
        <v>179</v>
      </c>
      <c r="F386" s="80" t="s">
        <v>191</v>
      </c>
      <c r="G386" s="80" t="s">
        <v>250</v>
      </c>
      <c r="H386" s="80" t="s">
        <v>56</v>
      </c>
      <c r="I386" s="80" t="s">
        <v>182</v>
      </c>
      <c r="J386" s="80" t="s">
        <v>376</v>
      </c>
      <c r="K386" s="80" t="s">
        <v>66</v>
      </c>
      <c r="L386" s="80"/>
      <c r="M386" s="105" t="str">
        <f>IFERROR(VLOOKUP(G386,Reference!$I$2:$J$175,2,FALSE()),"Operations")</f>
        <v>Operations</v>
      </c>
    </row>
    <row r="387" spans="1:13" ht="15" customHeight="1" x14ac:dyDescent="0.25">
      <c r="A387" s="77" t="s">
        <v>589</v>
      </c>
      <c r="B387" s="111">
        <v>49673</v>
      </c>
      <c r="C387" s="111">
        <v>45735</v>
      </c>
      <c r="D387" s="77" t="str">
        <f>IF(OR(B387="",C387=""),"",IF(DATEDIF(C387,B387,"y")&gt;=1,DATEDIF(C387,B387,"y")&amp;IF(DATEDIF(C387,B387,"y")=1," year "," years ")&amp;DATEDIF(C387,B387,"ym")&amp;IF(DATEDIF(C387,B387,"ym")=1," month"," months"),IF(DATEDIF(C387,B387,"m")&gt;=1,DATEDIF(C387,B387,"m")&amp;IF(DATEDIF(C387,B387,"m")=1," month"," months"),DATEDIF(C387,B387,"d")&amp;IF(DATEDIF(C387,B387,"d")=1," day"," days"))))</f>
        <v>10 years 9 months</v>
      </c>
      <c r="E387" s="77" t="s">
        <v>179</v>
      </c>
      <c r="F387" s="77" t="s">
        <v>191</v>
      </c>
      <c r="G387" s="77" t="s">
        <v>590</v>
      </c>
      <c r="H387" s="77" t="s">
        <v>58</v>
      </c>
      <c r="I387" s="77"/>
      <c r="J387" s="77"/>
      <c r="K387" s="77" t="s">
        <v>68</v>
      </c>
      <c r="L387" s="77"/>
      <c r="M387" s="102" t="str">
        <f>IFERROR(VLOOKUP(G387,Reference!$I$2:$J$175,2,FALSE()),"Operations")</f>
        <v>Operations</v>
      </c>
    </row>
    <row r="388" spans="1:13" ht="15" customHeight="1" x14ac:dyDescent="0.25">
      <c r="A388" s="103"/>
      <c r="B388" s="104"/>
      <c r="C388" s="104"/>
      <c r="D388" s="103">
        <f>IF(OR(B388="",C388=""),"",IF(DATEDIF(C388,B388,"y")&gt;=1,DATEDIF(C388,B388,"y")&amp;IF(DATEDIF(C388,B388,"y")=1," year "," years ")&amp;DATEDIF(C388,B388,"ym")&amp;IF(DATEDIF(C388,B388,"ym")=1," month"," months"),IF(DATEDIF(C388,B388,"m")&gt;=1,DATEDIF(C388,B388,"m")&amp;IF(DATEDIF(C388,B388,"m")=1," month"," months"),DATEDIF(C388,B388,"d")&amp;IF(DATEDIF(C388,B388,"d")=1," day"," days"))))</f>
      </c>
      <c r="E388" s="103"/>
      <c r="F388" s="103"/>
      <c r="G388" s="103"/>
      <c r="H388" s="103"/>
      <c r="I388" s="103"/>
      <c r="J388" s="104"/>
      <c r="K388" s="103"/>
      <c r="L388" s="103"/>
      <c r="M388" s="105" t="str">
        <f>IFERROR(VLOOKUP(G388,Reference!$I$2:$J$175,2,FALSE()),"Operations")</f>
        <v>Operations</v>
      </c>
    </row>
    <row r="389" spans="1:13" ht="15" customHeight="1" x14ac:dyDescent="0.25">
      <c r="A389" s="100"/>
      <c r="B389" s="101"/>
      <c r="C389" s="101"/>
      <c r="D389" s="100">
        <f>IF(OR(B389="",C389=""),"",IF(DATEDIF(C389,B389,"y")&gt;=1,DATEDIF(C389,B389,"y")&amp;IF(DATEDIF(C389,B389,"y")=1," year "," years ")&amp;DATEDIF(C389,B389,"ym")&amp;IF(DATEDIF(C389,B389,"ym")=1," month"," months"),IF(DATEDIF(C389,B389,"m")&gt;=1,DATEDIF(C389,B389,"m")&amp;IF(DATEDIF(C389,B389,"m")=1," month"," months"),DATEDIF(C389,B389,"d")&amp;IF(DATEDIF(C389,B389,"d")=1," day"," days"))))</f>
      </c>
      <c r="E389" s="100"/>
      <c r="F389" s="100"/>
      <c r="G389" s="100"/>
      <c r="H389" s="100"/>
      <c r="I389" s="100"/>
      <c r="J389" s="101"/>
      <c r="K389" s="100"/>
      <c r="L389" s="100"/>
      <c r="M389" s="102" t="str">
        <f>IFERROR(VLOOKUP(G389,Reference!$I$2:$J$175,2,FALSE()),"Operations")</f>
        <v>Operations</v>
      </c>
    </row>
    <row r="390" spans="1:13" ht="15" customHeight="1" x14ac:dyDescent="0.25">
      <c r="A390" s="103"/>
      <c r="B390" s="104"/>
      <c r="C390" s="104"/>
      <c r="D390" s="103">
        <f>IF(OR(B390="",C390=""),"",IF(DATEDIF(C390,B390,"y")&gt;=1,DATEDIF(C390,B390,"y")&amp;IF(DATEDIF(C390,B390,"y")=1," year "," years ")&amp;DATEDIF(C390,B390,"ym")&amp;IF(DATEDIF(C390,B390,"ym")=1," month"," months"),IF(DATEDIF(C390,B390,"m")&gt;=1,DATEDIF(C390,B390,"m")&amp;IF(DATEDIF(C390,B390,"m")=1," month"," months"),DATEDIF(C390,B390,"d")&amp;IF(DATEDIF(C390,B390,"d")=1," day"," days"))))</f>
      </c>
      <c r="E390" s="103"/>
      <c r="F390" s="103"/>
      <c r="G390" s="103"/>
      <c r="H390" s="103"/>
      <c r="I390" s="103"/>
      <c r="J390" s="104"/>
      <c r="K390" s="103"/>
      <c r="L390" s="103"/>
      <c r="M390" s="105" t="str">
        <f>IFERROR(VLOOKUP(G390,Reference!$I$2:$J$175,2,FALSE()),"Operations")</f>
        <v>Operations</v>
      </c>
    </row>
    <row r="391" spans="1:13" ht="15" customHeight="1" x14ac:dyDescent="0.25">
      <c r="A391" s="100"/>
      <c r="B391" s="101"/>
      <c r="C391" s="101"/>
      <c r="D391" s="100">
        <f>IF(OR(B391="",C391=""),"",IF(DATEDIF(C391,B391,"y")&gt;=1,DATEDIF(C391,B391,"y")&amp;IF(DATEDIF(C391,B391,"y")=1," year "," years ")&amp;DATEDIF(C391,B391,"ym")&amp;IF(DATEDIF(C391,B391,"ym")=1," month"," months"),IF(DATEDIF(C391,B391,"m")&gt;=1,DATEDIF(C391,B391,"m")&amp;IF(DATEDIF(C391,B391,"m")=1," month"," months"),DATEDIF(C391,B391,"d")&amp;IF(DATEDIF(C391,B391,"d")=1," day"," days"))))</f>
      </c>
      <c r="E391" s="100"/>
      <c r="F391" s="100"/>
      <c r="G391" s="100"/>
      <c r="H391" s="100"/>
      <c r="I391" s="100"/>
      <c r="J391" s="101"/>
      <c r="K391" s="100"/>
      <c r="L391" s="100"/>
      <c r="M391" s="102" t="str">
        <f>IFERROR(VLOOKUP(G391,Reference!$I$2:$J$175,2,FALSE()),"Operations")</f>
        <v>Operations</v>
      </c>
    </row>
    <row r="392" spans="1:13" ht="15" customHeight="1" x14ac:dyDescent="0.25">
      <c r="A392" s="103"/>
      <c r="B392" s="104"/>
      <c r="C392" s="104"/>
      <c r="D392" s="103">
        <f>IF(OR(B392="",C392=""),"",IF(DATEDIF(C392,B392,"y")&gt;=1,DATEDIF(C392,B392,"y")&amp;IF(DATEDIF(C392,B392,"y")=1," year "," years ")&amp;DATEDIF(C392,B392,"ym")&amp;IF(DATEDIF(C392,B392,"ym")=1," month"," months"),IF(DATEDIF(C392,B392,"m")&gt;=1,DATEDIF(C392,B392,"m")&amp;IF(DATEDIF(C392,B392,"m")=1," month"," months"),DATEDIF(C392,B392,"d")&amp;IF(DATEDIF(C392,B392,"d")=1," day"," days"))))</f>
      </c>
      <c r="E392" s="103"/>
      <c r="F392" s="103"/>
      <c r="G392" s="103"/>
      <c r="H392" s="103"/>
      <c r="I392" s="103"/>
      <c r="J392" s="104"/>
      <c r="K392" s="103"/>
      <c r="L392" s="103"/>
      <c r="M392" s="105" t="str">
        <f>IFERROR(VLOOKUP(G392,Reference!$I$2:$J$175,2,FALSE()),"Operations")</f>
        <v>Operations</v>
      </c>
    </row>
    <row r="393" spans="1:13" ht="15" customHeight="1" x14ac:dyDescent="0.25">
      <c r="A393" s="100"/>
      <c r="B393" s="101"/>
      <c r="C393" s="101"/>
      <c r="D393" s="100">
        <f>IF(OR(B393="",C393=""),"",IF(DATEDIF(C393,B393,"y")&gt;=1,DATEDIF(C393,B393,"y")&amp;IF(DATEDIF(C393,B393,"y")=1," year "," years ")&amp;DATEDIF(C393,B393,"ym")&amp;IF(DATEDIF(C393,B393,"ym")=1," month"," months"),IF(DATEDIF(C393,B393,"m")&gt;=1,DATEDIF(C393,B393,"m")&amp;IF(DATEDIF(C393,B393,"m")=1," month"," months"),DATEDIF(C393,B393,"d")&amp;IF(DATEDIF(C393,B393,"d")=1," day"," days"))))</f>
      </c>
      <c r="E393" s="100"/>
      <c r="F393" s="100"/>
      <c r="G393" s="100"/>
      <c r="H393" s="100"/>
      <c r="I393" s="100"/>
      <c r="J393" s="101"/>
      <c r="K393" s="100"/>
      <c r="L393" s="100"/>
      <c r="M393" s="102" t="str">
        <f>IFERROR(VLOOKUP(G393,Reference!$I$2:$J$175,2,FALSE()),"Operations")</f>
        <v>Operations</v>
      </c>
    </row>
    <row r="394" spans="1:13" ht="15" customHeight="1" x14ac:dyDescent="0.25">
      <c r="A394" s="103"/>
      <c r="B394" s="104"/>
      <c r="C394" s="104"/>
      <c r="D394" s="103">
        <f>IF(OR(B394="",C394=""),"",IF(DATEDIF(C394,B394,"y")&gt;=1,DATEDIF(C394,B394,"y")&amp;IF(DATEDIF(C394,B394,"y")=1," year "," years ")&amp;DATEDIF(C394,B394,"ym")&amp;IF(DATEDIF(C394,B394,"ym")=1," month"," months"),IF(DATEDIF(C394,B394,"m")&gt;=1,DATEDIF(C394,B394,"m")&amp;IF(DATEDIF(C394,B394,"m")=1," month"," months"),DATEDIF(C394,B394,"d")&amp;IF(DATEDIF(C394,B394,"d")=1," day"," days"))))</f>
      </c>
      <c r="E394" s="103"/>
      <c r="F394" s="103"/>
      <c r="G394" s="103"/>
      <c r="H394" s="103"/>
      <c r="I394" s="103"/>
      <c r="J394" s="104"/>
      <c r="K394" s="103"/>
      <c r="L394" s="103"/>
      <c r="M394" s="105" t="str">
        <f>IFERROR(VLOOKUP(G394,Reference!$I$2:$J$175,2,FALSE()),"Operations")</f>
        <v>Operations</v>
      </c>
    </row>
    <row r="395" spans="1:13" ht="15" customHeight="1" x14ac:dyDescent="0.25">
      <c r="A395" s="100"/>
      <c r="B395" s="101"/>
      <c r="C395" s="101"/>
      <c r="D395" s="100">
        <f>IF(OR(B395="",C395=""),"",IF(DATEDIF(C395,B395,"y")&gt;=1,DATEDIF(C395,B395,"y")&amp;IF(DATEDIF(C395,B395,"y")=1," year "," years ")&amp;DATEDIF(C395,B395,"ym")&amp;IF(DATEDIF(C395,B395,"ym")=1," month"," months"),IF(DATEDIF(C395,B395,"m")&gt;=1,DATEDIF(C395,B395,"m")&amp;IF(DATEDIF(C395,B395,"m")=1," month"," months"),DATEDIF(C395,B395,"d")&amp;IF(DATEDIF(C395,B395,"d")=1," day"," days"))))</f>
      </c>
      <c r="E395" s="100"/>
      <c r="F395" s="100"/>
      <c r="G395" s="100"/>
      <c r="H395" s="100"/>
      <c r="I395" s="100"/>
      <c r="J395" s="101"/>
      <c r="K395" s="100"/>
      <c r="L395" s="100"/>
      <c r="M395" s="102" t="str">
        <f>IFERROR(VLOOKUP(G395,Reference!$I$2:$J$175,2,FALSE()),"Operations")</f>
        <v>Operations</v>
      </c>
    </row>
    <row r="396" spans="1:13" ht="15" customHeight="1" x14ac:dyDescent="0.25">
      <c r="A396" s="103"/>
      <c r="B396" s="104"/>
      <c r="C396" s="104"/>
      <c r="D396" s="103">
        <f>IF(OR(B396="",C396=""),"",IF(DATEDIF(C396,B396,"y")&gt;=1,DATEDIF(C396,B396,"y")&amp;IF(DATEDIF(C396,B396,"y")=1," year "," years ")&amp;DATEDIF(C396,B396,"ym")&amp;IF(DATEDIF(C396,B396,"ym")=1," month"," months"),IF(DATEDIF(C396,B396,"m")&gt;=1,DATEDIF(C396,B396,"m")&amp;IF(DATEDIF(C396,B396,"m")=1," month"," months"),DATEDIF(C396,B396,"d")&amp;IF(DATEDIF(C396,B396,"d")=1," day"," days"))))</f>
      </c>
      <c r="E396" s="103"/>
      <c r="F396" s="103"/>
      <c r="G396" s="103"/>
      <c r="H396" s="103"/>
      <c r="I396" s="103"/>
      <c r="J396" s="104"/>
      <c r="K396" s="103"/>
      <c r="L396" s="103"/>
      <c r="M396" s="105" t="str">
        <f>IFERROR(VLOOKUP(G396,Reference!$I$2:$J$175,2,FALSE()),"Operations")</f>
        <v>Operations</v>
      </c>
    </row>
    <row r="397" spans="1:13" ht="15" customHeight="1" x14ac:dyDescent="0.25">
      <c r="A397" s="100"/>
      <c r="B397" s="101"/>
      <c r="C397" s="101"/>
      <c r="D397" s="100">
        <f>IF(OR(B397="",C397=""),"",IF(DATEDIF(C397,B397,"y")&gt;=1,DATEDIF(C397,B397,"y")&amp;IF(DATEDIF(C397,B397,"y")=1," year "," years ")&amp;DATEDIF(C397,B397,"ym")&amp;IF(DATEDIF(C397,B397,"ym")=1," month"," months"),IF(DATEDIF(C397,B397,"m")&gt;=1,DATEDIF(C397,B397,"m")&amp;IF(DATEDIF(C397,B397,"m")=1," month"," months"),DATEDIF(C397,B397,"d")&amp;IF(DATEDIF(C397,B397,"d")=1," day"," days"))))</f>
      </c>
      <c r="E397" s="100"/>
      <c r="F397" s="100"/>
      <c r="G397" s="100"/>
      <c r="H397" s="100"/>
      <c r="I397" s="100"/>
      <c r="J397" s="101"/>
      <c r="K397" s="100"/>
      <c r="L397" s="100"/>
      <c r="M397" s="102" t="str">
        <f>IFERROR(VLOOKUP(G397,Reference!$I$2:$J$175,2,FALSE()),"Operations")</f>
        <v>Operations</v>
      </c>
    </row>
    <row r="398" spans="1:13" ht="15" customHeight="1" x14ac:dyDescent="0.25">
      <c r="A398" s="103"/>
      <c r="B398" s="104"/>
      <c r="C398" s="104"/>
      <c r="D398" s="103">
        <f>IF(OR(B398="",C398=""),"",IF(DATEDIF(C398,B398,"y")&gt;=1,DATEDIF(C398,B398,"y")&amp;IF(DATEDIF(C398,B398,"y")=1," year "," years ")&amp;DATEDIF(C398,B398,"ym")&amp;IF(DATEDIF(C398,B398,"ym")=1," month"," months"),IF(DATEDIF(C398,B398,"m")&gt;=1,DATEDIF(C398,B398,"m")&amp;IF(DATEDIF(C398,B398,"m")=1," month"," months"),DATEDIF(C398,B398,"d")&amp;IF(DATEDIF(C398,B398,"d")=1," day"," days"))))</f>
      </c>
      <c r="E398" s="103"/>
      <c r="F398" s="103"/>
      <c r="G398" s="103"/>
      <c r="H398" s="103"/>
      <c r="I398" s="103"/>
      <c r="J398" s="104"/>
      <c r="K398" s="103"/>
      <c r="L398" s="103"/>
      <c r="M398" s="105" t="str">
        <f>IFERROR(VLOOKUP(G398,Reference!$I$2:$J$175,2,FALSE()),"Operations")</f>
        <v>Operations</v>
      </c>
    </row>
    <row r="399" spans="1:13" ht="15" customHeight="1" x14ac:dyDescent="0.25">
      <c r="A399" s="100"/>
      <c r="B399" s="101"/>
      <c r="C399" s="101"/>
      <c r="D399" s="100">
        <f>IF(OR(B399="",C399=""),"",IF(DATEDIF(C399,B399,"y")&gt;=1,DATEDIF(C399,B399,"y")&amp;IF(DATEDIF(C399,B399,"y")=1," year "," years ")&amp;DATEDIF(C399,B399,"ym")&amp;IF(DATEDIF(C399,B399,"ym")=1," month"," months"),IF(DATEDIF(C399,B399,"m")&gt;=1,DATEDIF(C399,B399,"m")&amp;IF(DATEDIF(C399,B399,"m")=1," month"," months"),DATEDIF(C399,B399,"d")&amp;IF(DATEDIF(C399,B399,"d")=1," day"," days"))))</f>
      </c>
      <c r="E399" s="100"/>
      <c r="F399" s="100"/>
      <c r="G399" s="100"/>
      <c r="H399" s="100"/>
      <c r="I399" s="100"/>
      <c r="J399" s="101"/>
      <c r="K399" s="100"/>
      <c r="L399" s="100"/>
      <c r="M399" s="102" t="str">
        <f>IFERROR(VLOOKUP(G399,Reference!$I$2:$J$175,2,FALSE()),"Operations")</f>
        <v>Operations</v>
      </c>
    </row>
    <row r="400" spans="1:13" ht="15" customHeight="1" x14ac:dyDescent="0.25">
      <c r="A400" s="103"/>
      <c r="B400" s="104"/>
      <c r="C400" s="104"/>
      <c r="D400" s="103">
        <f>IF(OR(B400="",C400=""),"",IF(DATEDIF(C400,B400,"y")&gt;=1,DATEDIF(C400,B400,"y")&amp;IF(DATEDIF(C400,B400,"y")=1," year "," years ")&amp;DATEDIF(C400,B400,"ym")&amp;IF(DATEDIF(C400,B400,"ym")=1," month"," months"),IF(DATEDIF(C400,B400,"m")&gt;=1,DATEDIF(C400,B400,"m")&amp;IF(DATEDIF(C400,B400,"m")=1," month"," months"),DATEDIF(C400,B400,"d")&amp;IF(DATEDIF(C400,B400,"d")=1," day"," days"))))</f>
      </c>
      <c r="E400" s="103"/>
      <c r="F400" s="103"/>
      <c r="G400" s="103"/>
      <c r="H400" s="103"/>
      <c r="I400" s="103"/>
      <c r="J400" s="104"/>
      <c r="K400" s="103"/>
      <c r="L400" s="103"/>
      <c r="M400" s="105" t="str">
        <f>IFERROR(VLOOKUP(G400,Reference!$I$2:$J$175,2,FALSE()),"Operations")</f>
        <v>Operations</v>
      </c>
    </row>
    <row r="401" spans="1:13" ht="15" customHeight="1" x14ac:dyDescent="0.25">
      <c r="A401" s="100"/>
      <c r="B401" s="101"/>
      <c r="C401" s="101"/>
      <c r="D401" s="100">
        <f>IF(OR(B401="",C401=""),"",IF(DATEDIF(C401,B401,"y")&gt;=1,DATEDIF(C401,B401,"y")&amp;IF(DATEDIF(C401,B401,"y")=1," year "," years ")&amp;DATEDIF(C401,B401,"ym")&amp;IF(DATEDIF(C401,B401,"ym")=1," month"," months"),IF(DATEDIF(C401,B401,"m")&gt;=1,DATEDIF(C401,B401,"m")&amp;IF(DATEDIF(C401,B401,"m")=1," month"," months"),DATEDIF(C401,B401,"d")&amp;IF(DATEDIF(C401,B401,"d")=1," day"," days"))))</f>
      </c>
      <c r="E401" s="100"/>
      <c r="F401" s="100"/>
      <c r="G401" s="100"/>
      <c r="H401" s="100"/>
      <c r="I401" s="100"/>
      <c r="J401" s="101"/>
      <c r="K401" s="100"/>
      <c r="L401" s="100"/>
      <c r="M401" s="102" t="str">
        <f>IFERROR(VLOOKUP(G401,Reference!$I$2:$J$175,2,FALSE()),"Operations")</f>
        <v>Operations</v>
      </c>
    </row>
    <row r="402" spans="1:13" ht="15" customHeight="1" x14ac:dyDescent="0.25">
      <c r="A402" s="103"/>
      <c r="B402" s="104"/>
      <c r="C402" s="104"/>
      <c r="D402" s="103">
        <f>IF(OR(B402="",C402=""),"",IF(DATEDIF(C402,B402,"y")&gt;=1,DATEDIF(C402,B402,"y")&amp;IF(DATEDIF(C402,B402,"y")=1," year "," years ")&amp;DATEDIF(C402,B402,"ym")&amp;IF(DATEDIF(C402,B402,"ym")=1," month"," months"),IF(DATEDIF(C402,B402,"m")&gt;=1,DATEDIF(C402,B402,"m")&amp;IF(DATEDIF(C402,B402,"m")=1," month"," months"),DATEDIF(C402,B402,"d")&amp;IF(DATEDIF(C402,B402,"d")=1," day"," days"))))</f>
      </c>
      <c r="E402" s="103"/>
      <c r="F402" s="103"/>
      <c r="G402" s="103"/>
      <c r="H402" s="103"/>
      <c r="I402" s="103"/>
      <c r="J402" s="104"/>
      <c r="K402" s="103"/>
      <c r="L402" s="103"/>
      <c r="M402" s="105" t="str">
        <f>IFERROR(VLOOKUP(G402,Reference!$I$2:$J$175,2,FALSE()),"Operations")</f>
        <v>Operations</v>
      </c>
    </row>
    <row r="403" spans="1:13" ht="15" customHeight="1" x14ac:dyDescent="0.25">
      <c r="A403" s="100"/>
      <c r="B403" s="101"/>
      <c r="C403" s="101"/>
      <c r="D403" s="100">
        <f>IF(OR(B403="",C403=""),"",IF(DATEDIF(C403,B403,"y")&gt;=1,DATEDIF(C403,B403,"y")&amp;IF(DATEDIF(C403,B403,"y")=1," year "," years ")&amp;DATEDIF(C403,B403,"ym")&amp;IF(DATEDIF(C403,B403,"ym")=1," month"," months"),IF(DATEDIF(C403,B403,"m")&gt;=1,DATEDIF(C403,B403,"m")&amp;IF(DATEDIF(C403,B403,"m")=1," month"," months"),DATEDIF(C403,B403,"d")&amp;IF(DATEDIF(C403,B403,"d")=1," day"," days"))))</f>
      </c>
      <c r="E403" s="100"/>
      <c r="F403" s="100"/>
      <c r="G403" s="100"/>
      <c r="H403" s="100"/>
      <c r="I403" s="100"/>
      <c r="J403" s="101"/>
      <c r="K403" s="100"/>
      <c r="L403" s="100"/>
      <c r="M403" s="102" t="str">
        <f>IFERROR(VLOOKUP(G403,Reference!$I$2:$J$175,2,FALSE()),"Operations")</f>
        <v>Operations</v>
      </c>
    </row>
    <row r="404" spans="1:13" ht="15" customHeight="1" x14ac:dyDescent="0.25">
      <c r="A404" s="103"/>
      <c r="B404" s="104"/>
      <c r="C404" s="104"/>
      <c r="D404" s="103">
        <f>IF(OR(B404="",C404=""),"",IF(DATEDIF(C404,B404,"y")&gt;=1,DATEDIF(C404,B404,"y")&amp;IF(DATEDIF(C404,B404,"y")=1," year "," years ")&amp;DATEDIF(C404,B404,"ym")&amp;IF(DATEDIF(C404,B404,"ym")=1," month"," months"),IF(DATEDIF(C404,B404,"m")&gt;=1,DATEDIF(C404,B404,"m")&amp;IF(DATEDIF(C404,B404,"m")=1," month"," months"),DATEDIF(C404,B404,"d")&amp;IF(DATEDIF(C404,B404,"d")=1," day"," days"))))</f>
      </c>
      <c r="E404" s="103"/>
      <c r="F404" s="103"/>
      <c r="G404" s="103"/>
      <c r="H404" s="103"/>
      <c r="I404" s="103"/>
      <c r="J404" s="104"/>
      <c r="K404" s="103"/>
      <c r="L404" s="103"/>
      <c r="M404" s="105" t="str">
        <f>IFERROR(VLOOKUP(G404,Reference!$I$2:$J$175,2,FALSE()),"Operations")</f>
        <v>Operations</v>
      </c>
    </row>
    <row r="405" spans="1:13" ht="15" customHeight="1" x14ac:dyDescent="0.25">
      <c r="A405" s="100"/>
      <c r="B405" s="101"/>
      <c r="C405" s="101"/>
      <c r="D405" s="100">
        <f>IF(OR(B405="",C405=""),"",IF(DATEDIF(C405,B405,"y")&gt;=1,DATEDIF(C405,B405,"y")&amp;IF(DATEDIF(C405,B405,"y")=1," year "," years ")&amp;DATEDIF(C405,B405,"ym")&amp;IF(DATEDIF(C405,B405,"ym")=1," month"," months"),IF(DATEDIF(C405,B405,"m")&gt;=1,DATEDIF(C405,B405,"m")&amp;IF(DATEDIF(C405,B405,"m")=1," month"," months"),DATEDIF(C405,B405,"d")&amp;IF(DATEDIF(C405,B405,"d")=1," day"," days"))))</f>
      </c>
      <c r="E405" s="100"/>
      <c r="F405" s="100"/>
      <c r="G405" s="100"/>
      <c r="H405" s="100"/>
      <c r="I405" s="100"/>
      <c r="J405" s="101"/>
      <c r="K405" s="100"/>
      <c r="L405" s="100"/>
      <c r="M405" s="102" t="str">
        <f>IFERROR(VLOOKUP(G405,Reference!$I$2:$J$175,2,FALSE()),"Operations")</f>
        <v>Operations</v>
      </c>
    </row>
    <row r="406" spans="1:13" ht="15" customHeight="1" x14ac:dyDescent="0.25">
      <c r="A406" s="103"/>
      <c r="B406" s="104"/>
      <c r="C406" s="104"/>
      <c r="D406" s="103">
        <f>IF(OR(B406="",C406=""),"",IF(DATEDIF(C406,B406,"y")&gt;=1,DATEDIF(C406,B406,"y")&amp;IF(DATEDIF(C406,B406,"y")=1," year "," years ")&amp;DATEDIF(C406,B406,"ym")&amp;IF(DATEDIF(C406,B406,"ym")=1," month"," months"),IF(DATEDIF(C406,B406,"m")&gt;=1,DATEDIF(C406,B406,"m")&amp;IF(DATEDIF(C406,B406,"m")=1," month"," months"),DATEDIF(C406,B406,"d")&amp;IF(DATEDIF(C406,B406,"d")=1," day"," days"))))</f>
      </c>
      <c r="E406" s="103"/>
      <c r="F406" s="103"/>
      <c r="G406" s="103"/>
      <c r="H406" s="103"/>
      <c r="I406" s="103"/>
      <c r="J406" s="104"/>
      <c r="K406" s="103"/>
      <c r="L406" s="103"/>
      <c r="M406" s="105" t="str">
        <f>IFERROR(VLOOKUP(G406,Reference!$I$2:$J$175,2,FALSE()),"Operations")</f>
        <v>Operations</v>
      </c>
    </row>
    <row r="407" spans="1:13" ht="15" customHeight="1" x14ac:dyDescent="0.25">
      <c r="A407" s="100"/>
      <c r="B407" s="101"/>
      <c r="C407" s="101"/>
      <c r="D407" s="100">
        <f>IF(OR(B407="",C407=""),"",IF(DATEDIF(C407,B407,"y")&gt;=1,DATEDIF(C407,B407,"y")&amp;IF(DATEDIF(C407,B407,"y")=1," year "," years ")&amp;DATEDIF(C407,B407,"ym")&amp;IF(DATEDIF(C407,B407,"ym")=1," month"," months"),IF(DATEDIF(C407,B407,"m")&gt;=1,DATEDIF(C407,B407,"m")&amp;IF(DATEDIF(C407,B407,"m")=1," month"," months"),DATEDIF(C407,B407,"d")&amp;IF(DATEDIF(C407,B407,"d")=1," day"," days"))))</f>
      </c>
      <c r="E407" s="100"/>
      <c r="F407" s="100"/>
      <c r="G407" s="100"/>
      <c r="H407" s="100"/>
      <c r="I407" s="100"/>
      <c r="J407" s="101"/>
      <c r="K407" s="100"/>
      <c r="L407" s="100"/>
      <c r="M407" s="102" t="str">
        <f>IFERROR(VLOOKUP(G407,Reference!$I$2:$J$175,2,FALSE()),"Operations")</f>
        <v>Operations</v>
      </c>
    </row>
    <row r="408" spans="1:13" ht="15" customHeight="1" x14ac:dyDescent="0.25">
      <c r="A408" s="103"/>
      <c r="B408" s="104"/>
      <c r="C408" s="104"/>
      <c r="D408" s="103">
        <f>IF(OR(B408="",C408=""),"",IF(DATEDIF(C408,B408,"y")&gt;=1,DATEDIF(C408,B408,"y")&amp;IF(DATEDIF(C408,B408,"y")=1," year "," years ")&amp;DATEDIF(C408,B408,"ym")&amp;IF(DATEDIF(C408,B408,"ym")=1," month"," months"),IF(DATEDIF(C408,B408,"m")&gt;=1,DATEDIF(C408,B408,"m")&amp;IF(DATEDIF(C408,B408,"m")=1," month"," months"),DATEDIF(C408,B408,"d")&amp;IF(DATEDIF(C408,B408,"d")=1," day"," days"))))</f>
      </c>
      <c r="E408" s="103"/>
      <c r="F408" s="103"/>
      <c r="G408" s="103"/>
      <c r="H408" s="103"/>
      <c r="I408" s="103"/>
      <c r="J408" s="104"/>
      <c r="K408" s="103"/>
      <c r="L408" s="103"/>
      <c r="M408" s="105" t="str">
        <f>IFERROR(VLOOKUP(G408,Reference!$I$2:$J$175,2,FALSE()),"Operations")</f>
        <v>Operations</v>
      </c>
    </row>
    <row r="409" spans="1:13" ht="15" customHeight="1" x14ac:dyDescent="0.25">
      <c r="A409" s="100"/>
      <c r="B409" s="101"/>
      <c r="C409" s="101"/>
      <c r="D409" s="100">
        <f>IF(OR(B409="",C409=""),"",IF(DATEDIF(C409,B409,"y")&gt;=1,DATEDIF(C409,B409,"y")&amp;IF(DATEDIF(C409,B409,"y")=1," year "," years ")&amp;DATEDIF(C409,B409,"ym")&amp;IF(DATEDIF(C409,B409,"ym")=1," month"," months"),IF(DATEDIF(C409,B409,"m")&gt;=1,DATEDIF(C409,B409,"m")&amp;IF(DATEDIF(C409,B409,"m")=1," month"," months"),DATEDIF(C409,B409,"d")&amp;IF(DATEDIF(C409,B409,"d")=1," day"," days"))))</f>
      </c>
      <c r="E409" s="100"/>
      <c r="F409" s="100"/>
      <c r="G409" s="100"/>
      <c r="H409" s="100"/>
      <c r="I409" s="100"/>
      <c r="J409" s="101"/>
      <c r="K409" s="100"/>
      <c r="L409" s="100"/>
      <c r="M409" s="102" t="str">
        <f>IFERROR(VLOOKUP(G409,Reference!$I$2:$J$175,2,FALSE()),"Operations")</f>
        <v>Operations</v>
      </c>
    </row>
    <row r="410" spans="1:13" ht="15" customHeight="1" x14ac:dyDescent="0.25">
      <c r="A410" s="103"/>
      <c r="B410" s="104"/>
      <c r="C410" s="104"/>
      <c r="D410" s="103">
        <f>IF(OR(B410="",C410=""),"",IF(DATEDIF(C410,B410,"y")&gt;=1,DATEDIF(C410,B410,"y")&amp;IF(DATEDIF(C410,B410,"y")=1," year "," years ")&amp;DATEDIF(C410,B410,"ym")&amp;IF(DATEDIF(C410,B410,"ym")=1," month"," months"),IF(DATEDIF(C410,B410,"m")&gt;=1,DATEDIF(C410,B410,"m")&amp;IF(DATEDIF(C410,B410,"m")=1," month"," months"),DATEDIF(C410,B410,"d")&amp;IF(DATEDIF(C410,B410,"d")=1," day"," days"))))</f>
      </c>
      <c r="E410" s="103"/>
      <c r="F410" s="103"/>
      <c r="G410" s="103"/>
      <c r="H410" s="103"/>
      <c r="I410" s="103"/>
      <c r="J410" s="104"/>
      <c r="K410" s="103"/>
      <c r="L410" s="103"/>
      <c r="M410" s="105" t="str">
        <f>IFERROR(VLOOKUP(G410,Reference!$I$2:$J$175,2,FALSE()),"Operations")</f>
        <v>Operations</v>
      </c>
    </row>
    <row r="411" spans="1:13" ht="15" customHeight="1" x14ac:dyDescent="0.25">
      <c r="A411" s="100"/>
      <c r="B411" s="101"/>
      <c r="C411" s="101"/>
      <c r="D411" s="100">
        <f>IF(OR(B411="",C411=""),"",IF(DATEDIF(C411,B411,"y")&gt;=1,DATEDIF(C411,B411,"y")&amp;IF(DATEDIF(C411,B411,"y")=1," year "," years ")&amp;DATEDIF(C411,B411,"ym")&amp;IF(DATEDIF(C411,B411,"ym")=1," month"," months"),IF(DATEDIF(C411,B411,"m")&gt;=1,DATEDIF(C411,B411,"m")&amp;IF(DATEDIF(C411,B411,"m")=1," month"," months"),DATEDIF(C411,B411,"d")&amp;IF(DATEDIF(C411,B411,"d")=1," day"," days"))))</f>
      </c>
      <c r="E411" s="100"/>
      <c r="F411" s="100"/>
      <c r="G411" s="100"/>
      <c r="H411" s="100"/>
      <c r="I411" s="100"/>
      <c r="J411" s="101"/>
      <c r="K411" s="100"/>
      <c r="L411" s="100"/>
      <c r="M411" s="102" t="str">
        <f>IFERROR(VLOOKUP(G411,Reference!$I$2:$J$175,2,FALSE()),"Operations")</f>
        <v>Operations</v>
      </c>
    </row>
    <row r="412" spans="1:13" ht="15" customHeight="1" x14ac:dyDescent="0.25">
      <c r="A412" s="103"/>
      <c r="B412" s="104"/>
      <c r="C412" s="104"/>
      <c r="D412" s="103">
        <f>IF(OR(B412="",C412=""),"",IF(DATEDIF(C412,B412,"y")&gt;=1,DATEDIF(C412,B412,"y")&amp;IF(DATEDIF(C412,B412,"y")=1," year "," years ")&amp;DATEDIF(C412,B412,"ym")&amp;IF(DATEDIF(C412,B412,"ym")=1," month"," months"),IF(DATEDIF(C412,B412,"m")&gt;=1,DATEDIF(C412,B412,"m")&amp;IF(DATEDIF(C412,B412,"m")=1," month"," months"),DATEDIF(C412,B412,"d")&amp;IF(DATEDIF(C412,B412,"d")=1," day"," days"))))</f>
      </c>
      <c r="E412" s="103"/>
      <c r="F412" s="103"/>
      <c r="G412" s="103"/>
      <c r="H412" s="103"/>
      <c r="I412" s="103"/>
      <c r="J412" s="104"/>
      <c r="K412" s="103"/>
      <c r="L412" s="103"/>
      <c r="M412" s="105" t="str">
        <f>IFERROR(VLOOKUP(G412,Reference!$I$2:$J$175,2,FALSE()),"Operations")</f>
        <v>Operations</v>
      </c>
    </row>
    <row r="413" spans="1:13" ht="15" customHeight="1" x14ac:dyDescent="0.25">
      <c r="A413" s="106" t="s">
        <v>163</v>
      </c>
      <c r="B413" s="107">
        <f>COUNTA(A383:A412)</f>
        <v>5</v>
      </c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</row>
    <row r="414" spans="1:13" ht="6" customHeight="1" x14ac:dyDescent="0.25"/>
  </sheetData>
  <mergeCells count="14">
    <mergeCell ref="A2:M2"/>
    <mergeCell ref="A3:M3"/>
    <mergeCell ref="A7:M7"/>
    <mergeCell ref="A41:M41"/>
    <mergeCell ref="A75:M75"/>
    <mergeCell ref="A279:M279"/>
    <mergeCell ref="A313:M313"/>
    <mergeCell ref="A347:M347"/>
    <mergeCell ref="A381:M381"/>
    <mergeCell ref="A109:M109"/>
    <mergeCell ref="A143:M143"/>
    <mergeCell ref="A177:M177"/>
    <mergeCell ref="A211:M211"/>
    <mergeCell ref="A245:M245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warning" allowBlank="1" showErrorMessage="1" errorTitle="Invalid Entry" error="Please select a value from the list." xr:uid="{00000000-0002-0000-0400-000000000000}">
          <x14:formula1>
            <xm:f>Reference!$G$2:$G$3</xm:f>
          </x14:formula1>
          <x14:formula2>
            <xm:f>0</xm:f>
          </x14:formula2>
          <xm:sqref>F9:F413</xm:sqref>
        </x14:dataValidation>
        <x14:dataValidation type="list" errorStyle="warning" allowBlank="1" showErrorMessage="1" errorTitle="Invalid Entry" error="Please select a value from the list." xr:uid="{00000000-0002-0000-0400-000001000000}">
          <x14:formula1>
            <xm:f>Reference!$E$2:$E$64</xm:f>
          </x14:formula1>
          <x14:formula2>
            <xm:f>0</xm:f>
          </x14:formula2>
          <xm:sqref>G9:G413</xm:sqref>
        </x14:dataValidation>
        <x14:dataValidation type="list" errorStyle="warning" allowBlank="1" showErrorMessage="1" errorTitle="Invalid Entry" error="Please select a value from the list." xr:uid="{00000000-0002-0000-0400-000002000000}">
          <x14:formula1>
            <xm:f>Reference!$C$2:$C$13</xm:f>
          </x14:formula1>
          <x14:formula2>
            <xm:f>0</xm:f>
          </x14:formula2>
          <xm:sqref>H9:H413</xm:sqref>
        </x14:dataValidation>
        <x14:dataValidation type="list" errorStyle="warning" allowBlank="1" showErrorMessage="1" errorTitle="Invalid Entry" error="Please select a value from the list." xr:uid="{00000000-0002-0000-0400-000003000000}">
          <x14:formula1>
            <xm:f>Reference!$A$2:$A$18</xm:f>
          </x14:formula1>
          <x14:formula2>
            <xm:f>0</xm:f>
          </x14:formula2>
          <xm:sqref>K9:K413</xm:sqref>
        </x14:dataValidation>
        <x14:dataValidation type="list" errorStyle="warning" allowBlank="1" showErrorMessage="1" errorTitle="Invalid Entry" error="Please select a value from the list." xr:uid="{00000000-0002-0000-0400-000004000000}">
          <x14:formula1>
            <xm:f>Reference!$L$2:$L$10</xm:f>
          </x14:formula1>
          <x14:formula2>
            <xm:f>0</xm:f>
          </x14:formula2>
          <xm:sqref>M9:M413</xm:sqref>
        </x14:dataValidation>
      </x14:dataValidations>
    </ext>
    <ext xmlns:x14="http://schemas.microsoft.com/office/spreadsheetml/2009/9/main" uri="{CCE6A557-97BC-4B89-ADB6-D9C93CAAB3DF}">
      <x14:dataValidations xmlns:xm="http://schemas.microsoft.com/office/excel/2006/main" count="6">
        <x14:dataValidation xmlns:xr="http://schemas.microsoft.com/office/spreadsheetml/2014/revision" type="list" errorStyle="stop" allowBlank="1" showInputMessage="1" showErrorMessage="1" errorTitle="Invalid Rehire" error="Rehire Eligibility must be Yes or No." promptTitle="" prompt="" xr:uid="{00000000-0002-0000-0003-00000000}">
          <x14:formula1>
            <xm:f>Reference!$B$2:$B$3</xm:f>
          </x14:formula1>
          <xm:sqref>E9:E413</xm:sqref>
        </x14:dataValidation>
        <x14:dataValidation xmlns:xr="http://schemas.microsoft.com/office/spreadsheetml/2014/revision" type="list" errorStyle="stop" allowBlank="1" showInputMessage="1" showErrorMessage="1" errorTitle="Invalid Status" error="Status must be U (uneligible) or D (discharged)." promptTitle="" prompt="" xr:uid="{00000000-0002-0000-0003-00000001}">
          <x14:formula1>
            <xm:f>Reference!$G$2:$G$3</xm:f>
          </x14:formula1>
          <xm:sqref>F9:F413</xm:sqref>
        </x14:dataValidation>
        <x14:dataValidation xmlns:xr="http://schemas.microsoft.com/office/spreadsheetml/2014/revision" type="list" errorStyle="stop" allowBlank="1" showInputMessage="1" showErrorMessage="1" errorTitle="Invalid Location" error="Pick a location from the Reference list." promptTitle="" prompt="" xr:uid="{00000000-0002-0000-0003-00000002}">
          <x14:formula1>
            <xm:f>Reference!$E$2:$E$64</xm:f>
          </x14:formula1>
          <xm:sqref>G9:G413</xm:sqref>
        </x14:dataValidation>
        <x14:dataValidation xmlns:xr="http://schemas.microsoft.com/office/spreadsheetml/2014/revision" type="list" errorStyle="stop" allowBlank="1" showInputMessage="1" showErrorMessage="1" errorTitle="Invalid Reason" error="Pick a reason from the Reference list." promptTitle="" prompt="" xr:uid="{00000000-0002-0000-0003-00000003}">
          <x14:formula1>
            <xm:f>Reference!$C$2:$C$14</xm:f>
          </x14:formula1>
          <xm:sqref>H9:H413</xm:sqref>
        </x14:dataValidation>
        <x14:dataValidation xmlns:xr="http://schemas.microsoft.com/office/spreadsheetml/2014/revision" type="list" errorStyle="stop" allowBlank="1" showInputMessage="1" showErrorMessage="1" errorTitle="Invalid Job" error="Pick a job from the Reference list." promptTitle="" prompt="" xr:uid="{00000000-0002-0000-0003-00000004}">
          <x14:formula1>
            <xm:f>Reference!$A$2:$A$18</xm:f>
          </x14:formula1>
          <xm:sqref>K9:K413</xm:sqref>
        </x14:dataValidation>
        <x14:dataValidation xmlns:xr="http://schemas.microsoft.com/office/spreadsheetml/2014/revision" type="list" errorStyle="stop" allowBlank="1" showInputMessage="1" showErrorMessage="1" errorTitle="Invalid Department" error="Pick a department from the Reference list." promptTitle="" prompt="" xr:uid="{00000000-0002-0000-0003-00000005}">
          <x14:formula1>
            <xm:f>Reference!$L$2:$L$10</xm:f>
          </x14:formula1>
          <xm:sqref>M9:M413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86AB"/>
  </sheetPr>
  <dimension ref="A1:M414"/>
  <sheetViews>
    <sheetView zoomScaleNormal="100" workbookViewId="0">
      <pane ySplit="6" topLeftCell="A202" activePane="bottomLeft" state="frozen"/>
      <selection pane="bottomLeft" activeCell="A224" sqref="A224"/>
    </sheetView>
  </sheetViews>
  <sheetFormatPr defaultColWidth="8.7109375" defaultRowHeight="15" x14ac:dyDescent="0.25"/>
  <cols>
    <col min="1" max="1" width="26" customWidth="1"/>
    <col min="2" max="3" width="16" customWidth="1"/>
    <col min="4" max="4" width="20" customWidth="1"/>
    <col min="5" max="5" width="18" customWidth="1"/>
    <col min="6" max="6" width="10" customWidth="1"/>
    <col min="7" max="7" width="28" customWidth="1"/>
    <col min="8" max="9" width="22" customWidth="1"/>
    <col min="10" max="10" width="16" customWidth="1"/>
    <col min="11" max="11" width="18" customWidth="1"/>
    <col min="12" max="12" width="34" customWidth="1"/>
    <col min="13" max="13" width="20" customWidth="1"/>
  </cols>
  <sheetData>
    <row r="1" spans="1:13" ht="7.5" customHeight="1" x14ac:dyDescent="0.25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3" ht="31.5" customHeight="1" x14ac:dyDescent="0.25">
      <c r="A2" s="160" t="s">
        <v>591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</row>
    <row r="3" spans="1:13" ht="19.5" customHeight="1" x14ac:dyDescent="0.25">
      <c r="A3" s="164" t="s">
        <v>592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</row>
    <row r="4" spans="1:13" ht="6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27.75" customHeight="1" x14ac:dyDescent="0.25">
      <c r="A5" s="95" t="s">
        <v>147</v>
      </c>
      <c r="B5" s="96">
        <v>339</v>
      </c>
      <c r="C5" s="97"/>
      <c r="D5" s="95" t="s">
        <v>148</v>
      </c>
      <c r="E5" s="98">
        <f>B39+B73+B107+B141+B175+B209+B243+B277+B311+B345+B379+B413</f>
        <v>158</v>
      </c>
      <c r="F5" s="97"/>
      <c r="G5" s="95" t="s">
        <v>149</v>
      </c>
      <c r="H5" s="99">
        <f>IF(B5=0,0,E5/B5)</f>
        <v>0.46607669616519176</v>
      </c>
      <c r="I5" s="97"/>
      <c r="J5" s="97"/>
      <c r="K5" s="97"/>
      <c r="L5" s="97"/>
      <c r="M5" s="97"/>
    </row>
    <row r="6" spans="1:13" ht="6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21.75" customHeight="1" x14ac:dyDescent="0.25">
      <c r="A7" s="163" t="s">
        <v>593</v>
      </c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</row>
    <row r="8" spans="1:13" ht="19.5" customHeight="1" x14ac:dyDescent="0.25">
      <c r="A8" s="64" t="s">
        <v>151</v>
      </c>
      <c r="B8" s="64" t="s">
        <v>152</v>
      </c>
      <c r="C8" s="64" t="s">
        <v>153</v>
      </c>
      <c r="D8" s="64" t="s">
        <v>154</v>
      </c>
      <c r="E8" s="64" t="s">
        <v>155</v>
      </c>
      <c r="F8" s="64" t="s">
        <v>156</v>
      </c>
      <c r="G8" s="64" t="s">
        <v>157</v>
      </c>
      <c r="H8" s="64" t="s">
        <v>158</v>
      </c>
      <c r="I8" s="64" t="s">
        <v>159</v>
      </c>
      <c r="J8" s="64" t="s">
        <v>160</v>
      </c>
      <c r="K8" s="64" t="s">
        <v>134</v>
      </c>
      <c r="L8" s="64" t="s">
        <v>161</v>
      </c>
      <c r="M8" s="64" t="s">
        <v>162</v>
      </c>
    </row>
    <row r="9" spans="1:13" ht="15" customHeight="1" x14ac:dyDescent="0.25">
      <c r="A9" s="77" t="s">
        <v>594</v>
      </c>
      <c r="B9" s="77"/>
      <c r="C9" s="77"/>
      <c r="D9" s="77" t="s">
        <v>595</v>
      </c>
      <c r="E9" s="77" t="s">
        <v>184</v>
      </c>
      <c r="F9" s="77" t="s">
        <v>191</v>
      </c>
      <c r="G9" s="77" t="s">
        <v>535</v>
      </c>
      <c r="H9" s="77" t="s">
        <v>60</v>
      </c>
      <c r="I9" s="77" t="s">
        <v>182</v>
      </c>
      <c r="J9" s="77"/>
      <c r="K9" s="77" t="s">
        <v>66</v>
      </c>
      <c r="L9" s="77"/>
      <c r="M9" s="102" t="str">
        <f>IFERROR(VLOOKUP(G9,Reference!$I$2:$J$175,2,FALSE()),"Operations")</f>
        <v>Operations</v>
      </c>
    </row>
    <row r="10" spans="1:13" ht="15" customHeight="1" x14ac:dyDescent="0.25">
      <c r="A10" s="80" t="s">
        <v>596</v>
      </c>
      <c r="B10" s="80"/>
      <c r="C10" s="80"/>
      <c r="D10" s="80" t="s">
        <v>597</v>
      </c>
      <c r="E10" s="80" t="s">
        <v>184</v>
      </c>
      <c r="F10" s="80" t="s">
        <v>191</v>
      </c>
      <c r="G10" s="80"/>
      <c r="H10" s="80" t="s">
        <v>58</v>
      </c>
      <c r="I10" s="80" t="s">
        <v>331</v>
      </c>
      <c r="J10" s="80"/>
      <c r="K10" s="80" t="s">
        <v>70</v>
      </c>
      <c r="L10" s="80"/>
      <c r="M10" s="105" t="str">
        <f>IFERROR(VLOOKUP(G10,Reference!$I$2:$J$175,2,FALSE()),"Operations")</f>
        <v>Operations</v>
      </c>
    </row>
    <row r="11" spans="1:13" ht="15" customHeight="1" x14ac:dyDescent="0.25">
      <c r="A11" s="77" t="s">
        <v>598</v>
      </c>
      <c r="B11" s="77"/>
      <c r="C11" s="77"/>
      <c r="D11" s="77" t="s">
        <v>599</v>
      </c>
      <c r="E11" s="77" t="s">
        <v>184</v>
      </c>
      <c r="F11" s="77" t="s">
        <v>191</v>
      </c>
      <c r="G11" s="77" t="s">
        <v>600</v>
      </c>
      <c r="H11" s="77" t="s">
        <v>58</v>
      </c>
      <c r="I11" s="77" t="s">
        <v>601</v>
      </c>
      <c r="J11" s="77"/>
      <c r="K11" s="77" t="s">
        <v>66</v>
      </c>
      <c r="L11" s="77"/>
      <c r="M11" s="102" t="str">
        <f>IFERROR(VLOOKUP(G11,Reference!$I$2:$J$175,2,FALSE()),"Operations")</f>
        <v>Operations</v>
      </c>
    </row>
    <row r="12" spans="1:13" ht="15" customHeight="1" x14ac:dyDescent="0.25">
      <c r="A12" s="80" t="s">
        <v>602</v>
      </c>
      <c r="B12" s="80"/>
      <c r="C12" s="80"/>
      <c r="D12" s="80" t="s">
        <v>603</v>
      </c>
      <c r="E12" s="80" t="s">
        <v>184</v>
      </c>
      <c r="F12" s="80" t="s">
        <v>191</v>
      </c>
      <c r="G12" s="80" t="s">
        <v>604</v>
      </c>
      <c r="H12" s="80" t="s">
        <v>58</v>
      </c>
      <c r="I12" s="80" t="s">
        <v>601</v>
      </c>
      <c r="J12" s="80"/>
      <c r="K12" s="80" t="s">
        <v>66</v>
      </c>
      <c r="L12" s="80"/>
      <c r="M12" s="105" t="str">
        <f>IFERROR(VLOOKUP(G12,Reference!$I$2:$J$175,2,FALSE()),"Operations")</f>
        <v>Operations</v>
      </c>
    </row>
    <row r="13" spans="1:13" ht="15" customHeight="1" x14ac:dyDescent="0.25">
      <c r="A13" s="77" t="s">
        <v>605</v>
      </c>
      <c r="B13" s="77"/>
      <c r="C13" s="77"/>
      <c r="D13" s="77" t="s">
        <v>606</v>
      </c>
      <c r="E13" s="77" t="s">
        <v>184</v>
      </c>
      <c r="F13" s="77" t="s">
        <v>191</v>
      </c>
      <c r="G13" s="77" t="s">
        <v>607</v>
      </c>
      <c r="H13" s="77" t="s">
        <v>70</v>
      </c>
      <c r="I13" s="77" t="s">
        <v>608</v>
      </c>
      <c r="J13" s="77"/>
      <c r="K13" s="77" t="s">
        <v>84</v>
      </c>
      <c r="L13" s="77"/>
      <c r="M13" s="102" t="str">
        <f>IFERROR(VLOOKUP(G13,Reference!$I$2:$J$175,2,FALSE()),"Operations")</f>
        <v>Operations</v>
      </c>
    </row>
    <row r="14" spans="1:13" ht="15" customHeight="1" x14ac:dyDescent="0.25">
      <c r="A14" s="80" t="s">
        <v>609</v>
      </c>
      <c r="B14" s="80"/>
      <c r="C14" s="80"/>
      <c r="D14" s="80" t="s">
        <v>610</v>
      </c>
      <c r="E14" s="80" t="s">
        <v>184</v>
      </c>
      <c r="F14" s="80" t="s">
        <v>191</v>
      </c>
      <c r="G14" s="80" t="s">
        <v>310</v>
      </c>
      <c r="H14" s="80" t="s">
        <v>58</v>
      </c>
      <c r="I14" s="80" t="s">
        <v>235</v>
      </c>
      <c r="J14" s="80"/>
      <c r="K14" s="80" t="s">
        <v>66</v>
      </c>
      <c r="L14" s="80"/>
      <c r="M14" s="105" t="str">
        <f>IFERROR(VLOOKUP(G14,Reference!$I$2:$J$175,2,FALSE()),"Operations")</f>
        <v>Operations</v>
      </c>
    </row>
    <row r="15" spans="1:13" ht="15" customHeight="1" x14ac:dyDescent="0.25">
      <c r="A15" s="77" t="s">
        <v>611</v>
      </c>
      <c r="B15" s="77"/>
      <c r="C15" s="77"/>
      <c r="D15" s="77" t="s">
        <v>612</v>
      </c>
      <c r="E15" s="77" t="s">
        <v>184</v>
      </c>
      <c r="F15" s="77" t="s">
        <v>191</v>
      </c>
      <c r="G15" s="77" t="s">
        <v>613</v>
      </c>
      <c r="H15" s="77" t="s">
        <v>58</v>
      </c>
      <c r="I15" s="77" t="s">
        <v>235</v>
      </c>
      <c r="J15" s="77"/>
      <c r="K15" s="77" t="s">
        <v>66</v>
      </c>
      <c r="L15" s="77"/>
      <c r="M15" s="102" t="str">
        <f>IFERROR(VLOOKUP(G15,Reference!$I$2:$J$175,2,FALSE()),"Operations")</f>
        <v>Operations</v>
      </c>
    </row>
    <row r="16" spans="1:13" ht="15" customHeight="1" x14ac:dyDescent="0.25">
      <c r="A16" s="80" t="s">
        <v>614</v>
      </c>
      <c r="B16" s="80"/>
      <c r="C16" s="80"/>
      <c r="D16" s="80" t="s">
        <v>615</v>
      </c>
      <c r="E16" s="80" t="s">
        <v>184</v>
      </c>
      <c r="F16" s="80" t="s">
        <v>191</v>
      </c>
      <c r="G16" s="80" t="s">
        <v>616</v>
      </c>
      <c r="H16" s="80" t="s">
        <v>70</v>
      </c>
      <c r="I16" s="80" t="s">
        <v>617</v>
      </c>
      <c r="J16" s="80"/>
      <c r="K16" s="80" t="s">
        <v>66</v>
      </c>
      <c r="L16" s="80"/>
      <c r="M16" s="105" t="str">
        <f>IFERROR(VLOOKUP(G16,Reference!$I$2:$J$175,2,FALSE()),"Operations")</f>
        <v>Operations</v>
      </c>
    </row>
    <row r="17" spans="1:13" ht="15" customHeight="1" x14ac:dyDescent="0.25">
      <c r="A17" s="77" t="s">
        <v>618</v>
      </c>
      <c r="B17" s="77"/>
      <c r="C17" s="77"/>
      <c r="D17" s="77" t="s">
        <v>619</v>
      </c>
      <c r="E17" s="77" t="s">
        <v>184</v>
      </c>
      <c r="F17" s="77" t="s">
        <v>191</v>
      </c>
      <c r="G17" s="77" t="s">
        <v>481</v>
      </c>
      <c r="H17" s="77" t="s">
        <v>56</v>
      </c>
      <c r="I17" s="77" t="s">
        <v>501</v>
      </c>
      <c r="J17" s="77"/>
      <c r="K17" s="77" t="s">
        <v>74</v>
      </c>
      <c r="L17" s="77"/>
      <c r="M17" s="102" t="str">
        <f>IFERROR(VLOOKUP(G17,Reference!$I$2:$J$175,2,FALSE()),"Operations")</f>
        <v>Professional Services</v>
      </c>
    </row>
    <row r="18" spans="1:13" ht="15" customHeight="1" x14ac:dyDescent="0.25">
      <c r="A18" s="80" t="s">
        <v>620</v>
      </c>
      <c r="B18" s="80"/>
      <c r="C18" s="80"/>
      <c r="D18" s="80" t="s">
        <v>621</v>
      </c>
      <c r="E18" s="80" t="s">
        <v>179</v>
      </c>
      <c r="F18" s="80" t="s">
        <v>191</v>
      </c>
      <c r="G18" s="80" t="s">
        <v>622</v>
      </c>
      <c r="H18" s="80" t="s">
        <v>60</v>
      </c>
      <c r="I18" s="80" t="s">
        <v>235</v>
      </c>
      <c r="J18" s="80"/>
      <c r="K18" s="80" t="s">
        <v>66</v>
      </c>
      <c r="L18" s="80"/>
      <c r="M18" s="105" t="str">
        <f>IFERROR(VLOOKUP(G18,Reference!$I$2:$J$175,2,FALSE()),"Operations")</f>
        <v>Operations</v>
      </c>
    </row>
    <row r="19" spans="1:13" ht="15" customHeight="1" x14ac:dyDescent="0.25">
      <c r="A19" s="77" t="s">
        <v>623</v>
      </c>
      <c r="B19" s="77"/>
      <c r="C19" s="77"/>
      <c r="D19" s="77" t="s">
        <v>624</v>
      </c>
      <c r="E19" s="77" t="s">
        <v>179</v>
      </c>
      <c r="F19" s="77" t="s">
        <v>191</v>
      </c>
      <c r="G19" s="77" t="s">
        <v>613</v>
      </c>
      <c r="H19" s="77" t="s">
        <v>70</v>
      </c>
      <c r="I19" s="77" t="s">
        <v>235</v>
      </c>
      <c r="J19" s="77"/>
      <c r="K19" s="77" t="s">
        <v>66</v>
      </c>
      <c r="L19" s="77"/>
      <c r="M19" s="102" t="str">
        <f>IFERROR(VLOOKUP(G19,Reference!$I$2:$J$175,2,FALSE()),"Operations")</f>
        <v>Operations</v>
      </c>
    </row>
    <row r="20" spans="1:13" ht="15" customHeight="1" x14ac:dyDescent="0.25">
      <c r="A20" s="80" t="s">
        <v>625</v>
      </c>
      <c r="B20" s="80"/>
      <c r="C20" s="80"/>
      <c r="D20" s="80" t="s">
        <v>626</v>
      </c>
      <c r="E20" s="80" t="s">
        <v>184</v>
      </c>
      <c r="F20" s="80" t="s">
        <v>191</v>
      </c>
      <c r="G20" s="80" t="s">
        <v>336</v>
      </c>
      <c r="H20" s="80" t="s">
        <v>58</v>
      </c>
      <c r="I20" s="80" t="s">
        <v>235</v>
      </c>
      <c r="J20" s="80"/>
      <c r="K20" s="80" t="s">
        <v>66</v>
      </c>
      <c r="L20" s="80"/>
      <c r="M20" s="105" t="str">
        <f>IFERROR(VLOOKUP(G20,Reference!$I$2:$J$175,2,FALSE()),"Operations")</f>
        <v>Operations</v>
      </c>
    </row>
    <row r="21" spans="1:13" ht="15" customHeight="1" x14ac:dyDescent="0.25">
      <c r="A21" s="77" t="s">
        <v>627</v>
      </c>
      <c r="B21" s="77"/>
      <c r="C21" s="77"/>
      <c r="D21" s="77" t="s">
        <v>358</v>
      </c>
      <c r="E21" s="77" t="s">
        <v>184</v>
      </c>
      <c r="F21" s="77" t="s">
        <v>191</v>
      </c>
      <c r="G21" s="77" t="s">
        <v>628</v>
      </c>
      <c r="H21" s="77" t="s">
        <v>58</v>
      </c>
      <c r="I21" s="77" t="s">
        <v>601</v>
      </c>
      <c r="J21" s="77"/>
      <c r="K21" s="77" t="s">
        <v>66</v>
      </c>
      <c r="L21" s="77"/>
      <c r="M21" s="102" t="str">
        <f>IFERROR(VLOOKUP(G21,Reference!$I$2:$J$175,2,FALSE()),"Operations")</f>
        <v>Operations</v>
      </c>
    </row>
    <row r="22" spans="1:13" ht="15" customHeight="1" x14ac:dyDescent="0.25">
      <c r="A22" s="80" t="s">
        <v>629</v>
      </c>
      <c r="B22" s="80"/>
      <c r="C22" s="80"/>
      <c r="D22" s="80" t="s">
        <v>302</v>
      </c>
      <c r="E22" s="80" t="s">
        <v>179</v>
      </c>
      <c r="F22" s="80" t="s">
        <v>191</v>
      </c>
      <c r="G22" s="80" t="s">
        <v>616</v>
      </c>
      <c r="H22" s="80" t="s">
        <v>56</v>
      </c>
      <c r="I22" s="80" t="s">
        <v>617</v>
      </c>
      <c r="J22" s="80"/>
      <c r="K22" s="80" t="s">
        <v>66</v>
      </c>
      <c r="L22" s="80"/>
      <c r="M22" s="105" t="str">
        <f>IFERROR(VLOOKUP(G22,Reference!$I$2:$J$175,2,FALSE()),"Operations")</f>
        <v>Operations</v>
      </c>
    </row>
    <row r="23" spans="1:13" ht="15" customHeight="1" x14ac:dyDescent="0.25">
      <c r="A23" s="77" t="s">
        <v>630</v>
      </c>
      <c r="B23" s="77"/>
      <c r="C23" s="77"/>
      <c r="D23" s="77" t="s">
        <v>323</v>
      </c>
      <c r="E23" s="77" t="s">
        <v>179</v>
      </c>
      <c r="F23" s="77" t="s">
        <v>191</v>
      </c>
      <c r="G23" s="77" t="s">
        <v>631</v>
      </c>
      <c r="H23" s="77" t="s">
        <v>70</v>
      </c>
      <c r="I23" s="77" t="s">
        <v>632</v>
      </c>
      <c r="J23" s="77"/>
      <c r="K23" s="77" t="s">
        <v>66</v>
      </c>
      <c r="L23" s="77"/>
      <c r="M23" s="102" t="str">
        <f>IFERROR(VLOOKUP(G23,Reference!$I$2:$J$175,2,FALSE()),"Operations")</f>
        <v>Operations</v>
      </c>
    </row>
    <row r="24" spans="1:13" ht="15" customHeight="1" x14ac:dyDescent="0.25">
      <c r="A24" s="80" t="s">
        <v>633</v>
      </c>
      <c r="B24" s="80"/>
      <c r="C24" s="80"/>
      <c r="D24" s="80" t="s">
        <v>634</v>
      </c>
      <c r="E24" s="80" t="s">
        <v>184</v>
      </c>
      <c r="F24" s="80" t="s">
        <v>191</v>
      </c>
      <c r="G24" s="80" t="s">
        <v>78</v>
      </c>
      <c r="H24" s="80" t="s">
        <v>60</v>
      </c>
      <c r="I24" s="80" t="s">
        <v>348</v>
      </c>
      <c r="J24" s="80"/>
      <c r="K24" s="80" t="s">
        <v>78</v>
      </c>
      <c r="L24" s="80"/>
      <c r="M24" s="105" t="str">
        <f>IFERROR(VLOOKUP(G24,Reference!$I$2:$J$175,2,FALSE()),"Operations")</f>
        <v>Family Support</v>
      </c>
    </row>
    <row r="25" spans="1:13" ht="15" customHeight="1" x14ac:dyDescent="0.25">
      <c r="A25" s="77" t="s">
        <v>635</v>
      </c>
      <c r="B25" s="77"/>
      <c r="C25" s="77"/>
      <c r="D25" s="77" t="s">
        <v>636</v>
      </c>
      <c r="E25" s="77" t="s">
        <v>184</v>
      </c>
      <c r="F25" s="77" t="s">
        <v>191</v>
      </c>
      <c r="G25" s="77" t="s">
        <v>637</v>
      </c>
      <c r="H25" s="77" t="s">
        <v>56</v>
      </c>
      <c r="I25" s="77" t="s">
        <v>235</v>
      </c>
      <c r="J25" s="77"/>
      <c r="K25" s="77" t="s">
        <v>66</v>
      </c>
      <c r="L25" s="77"/>
      <c r="M25" s="102" t="str">
        <f>IFERROR(VLOOKUP(G25,Reference!$I$2:$J$175,2,FALSE()),"Operations")</f>
        <v>Operations</v>
      </c>
    </row>
    <row r="26" spans="1:13" ht="15" customHeight="1" x14ac:dyDescent="0.25">
      <c r="A26" s="80" t="s">
        <v>638</v>
      </c>
      <c r="B26" s="80"/>
      <c r="C26" s="80"/>
      <c r="D26" s="80" t="s">
        <v>639</v>
      </c>
      <c r="E26" s="80" t="s">
        <v>184</v>
      </c>
      <c r="F26" s="80" t="s">
        <v>191</v>
      </c>
      <c r="G26" s="80" t="s">
        <v>640</v>
      </c>
      <c r="H26" s="80" t="s">
        <v>58</v>
      </c>
      <c r="I26" s="80" t="s">
        <v>617</v>
      </c>
      <c r="J26" s="80"/>
      <c r="K26" s="80" t="s">
        <v>66</v>
      </c>
      <c r="L26" s="80"/>
      <c r="M26" s="105" t="str">
        <f>IFERROR(VLOOKUP(G26,Reference!$I$2:$J$175,2,FALSE()),"Operations")</f>
        <v>Operations</v>
      </c>
    </row>
    <row r="27" spans="1:13" ht="15" customHeight="1" x14ac:dyDescent="0.25">
      <c r="A27" s="77" t="s">
        <v>641</v>
      </c>
      <c r="B27" s="77"/>
      <c r="C27" s="77"/>
      <c r="D27" s="77" t="s">
        <v>642</v>
      </c>
      <c r="E27" s="77" t="s">
        <v>179</v>
      </c>
      <c r="F27" s="77" t="s">
        <v>191</v>
      </c>
      <c r="G27" s="77" t="s">
        <v>307</v>
      </c>
      <c r="H27" s="77" t="s">
        <v>58</v>
      </c>
      <c r="I27" s="77" t="s">
        <v>632</v>
      </c>
      <c r="J27" s="77"/>
      <c r="K27" s="77" t="s">
        <v>66</v>
      </c>
      <c r="L27" s="77"/>
      <c r="M27" s="102" t="str">
        <f>IFERROR(VLOOKUP(G27,Reference!$I$2:$J$175,2,FALSE()),"Operations")</f>
        <v>Operations</v>
      </c>
    </row>
    <row r="28" spans="1:13" ht="15" customHeight="1" x14ac:dyDescent="0.25">
      <c r="A28" s="80" t="s">
        <v>643</v>
      </c>
      <c r="B28" s="80"/>
      <c r="C28" s="80"/>
      <c r="D28" s="80" t="s">
        <v>644</v>
      </c>
      <c r="E28" s="80" t="s">
        <v>179</v>
      </c>
      <c r="F28" s="80" t="s">
        <v>191</v>
      </c>
      <c r="G28" s="80" t="s">
        <v>645</v>
      </c>
      <c r="H28" s="80" t="s">
        <v>56</v>
      </c>
      <c r="I28" s="80" t="s">
        <v>632</v>
      </c>
      <c r="J28" s="80"/>
      <c r="K28" s="80" t="s">
        <v>66</v>
      </c>
      <c r="L28" s="80"/>
      <c r="M28" s="105" t="str">
        <f>IFERROR(VLOOKUP(G28,Reference!$I$2:$J$175,2,FALSE()),"Operations")</f>
        <v>Operations</v>
      </c>
    </row>
    <row r="29" spans="1:13" ht="15" customHeight="1" x14ac:dyDescent="0.25">
      <c r="A29" s="77" t="s">
        <v>646</v>
      </c>
      <c r="B29" s="77"/>
      <c r="C29" s="77"/>
      <c r="D29" s="77" t="s">
        <v>373</v>
      </c>
      <c r="E29" s="77" t="s">
        <v>184</v>
      </c>
      <c r="F29" s="77" t="s">
        <v>191</v>
      </c>
      <c r="G29" s="77" t="s">
        <v>647</v>
      </c>
      <c r="H29" s="77" t="s">
        <v>70</v>
      </c>
      <c r="I29" s="77" t="s">
        <v>601</v>
      </c>
      <c r="J29" s="77"/>
      <c r="K29" s="77" t="s">
        <v>66</v>
      </c>
      <c r="L29" s="77"/>
      <c r="M29" s="102" t="str">
        <f>IFERROR(VLOOKUP(G29,Reference!$I$2:$J$175,2,FALSE()),"Operations")</f>
        <v>Operations</v>
      </c>
    </row>
    <row r="30" spans="1:13" ht="15" customHeight="1" x14ac:dyDescent="0.25">
      <c r="A30" s="80" t="s">
        <v>648</v>
      </c>
      <c r="B30" s="80"/>
      <c r="C30" s="80"/>
      <c r="D30" s="80" t="s">
        <v>367</v>
      </c>
      <c r="E30" s="80" t="s">
        <v>179</v>
      </c>
      <c r="F30" s="80" t="s">
        <v>180</v>
      </c>
      <c r="G30" s="80" t="s">
        <v>87</v>
      </c>
      <c r="H30" s="80" t="s">
        <v>64</v>
      </c>
      <c r="I30" s="80" t="s">
        <v>649</v>
      </c>
      <c r="J30" s="80"/>
      <c r="K30" s="80" t="s">
        <v>70</v>
      </c>
      <c r="L30" s="80"/>
      <c r="M30" s="105" t="str">
        <f>IFERROR(VLOOKUP(G30,Reference!$I$2:$J$175,2,FALSE()),"Operations")</f>
        <v>Finance</v>
      </c>
    </row>
    <row r="31" spans="1:13" ht="15" customHeight="1" x14ac:dyDescent="0.25">
      <c r="A31" s="77" t="s">
        <v>650</v>
      </c>
      <c r="B31" s="77"/>
      <c r="C31" s="77"/>
      <c r="D31" s="77" t="s">
        <v>644</v>
      </c>
      <c r="E31" s="77" t="s">
        <v>179</v>
      </c>
      <c r="F31" s="77" t="s">
        <v>191</v>
      </c>
      <c r="G31" s="77" t="s">
        <v>199</v>
      </c>
      <c r="H31" s="77" t="s">
        <v>70</v>
      </c>
      <c r="I31" s="77" t="s">
        <v>617</v>
      </c>
      <c r="J31" s="77"/>
      <c r="K31" s="77" t="s">
        <v>66</v>
      </c>
      <c r="L31" s="77"/>
      <c r="M31" s="102" t="str">
        <f>IFERROR(VLOOKUP(G31,Reference!$I$2:$J$175,2,FALSE()),"Operations")</f>
        <v>Operations</v>
      </c>
    </row>
    <row r="32" spans="1:13" ht="15" customHeight="1" x14ac:dyDescent="0.25">
      <c r="A32" s="80" t="s">
        <v>651</v>
      </c>
      <c r="B32" s="80"/>
      <c r="C32" s="80"/>
      <c r="D32" s="80" t="s">
        <v>624</v>
      </c>
      <c r="E32" s="80" t="s">
        <v>179</v>
      </c>
      <c r="F32" s="80" t="s">
        <v>191</v>
      </c>
      <c r="G32" s="80" t="s">
        <v>613</v>
      </c>
      <c r="H32" s="80" t="s">
        <v>70</v>
      </c>
      <c r="I32" s="80" t="s">
        <v>235</v>
      </c>
      <c r="J32" s="80"/>
      <c r="K32" s="80" t="s">
        <v>66</v>
      </c>
      <c r="L32" s="80"/>
      <c r="M32" s="105" t="str">
        <f>IFERROR(VLOOKUP(G32,Reference!$I$2:$J$175,2,FALSE()),"Operations")</f>
        <v>Operations</v>
      </c>
    </row>
    <row r="33" spans="1:13" ht="15" customHeight="1" x14ac:dyDescent="0.25">
      <c r="A33" s="100"/>
      <c r="B33" s="101"/>
      <c r="C33" s="101"/>
      <c r="D33" s="100">
        <f>IF(OR(B33="",C33=""),"",IF(DATEDIF(C33,B33,"y")&gt;=1,DATEDIF(C33,B33,"y")&amp;IF(DATEDIF(C33,B33,"y")=1," year "," years ")&amp;DATEDIF(C33,B33,"ym")&amp;IF(DATEDIF(C33,B33,"ym")=1," month"," months"),IF(DATEDIF(C33,B33,"m")&gt;=1,DATEDIF(C33,B33,"m")&amp;IF(DATEDIF(C33,B33,"m")=1," month"," months"),DATEDIF(C33,B33,"d")&amp;IF(DATEDIF(C33,B33,"d")=1," day"," days"))))</f>
      </c>
      <c r="E33" s="100"/>
      <c r="F33" s="100"/>
      <c r="G33" s="100"/>
      <c r="H33" s="100"/>
      <c r="I33" s="100"/>
      <c r="J33" s="101"/>
      <c r="K33" s="100"/>
      <c r="L33" s="100"/>
      <c r="M33" s="102" t="str">
        <f>IFERROR(VLOOKUP(G33,Reference!$I$2:$J$175,2,FALSE()),"Operations")</f>
        <v>Operations</v>
      </c>
    </row>
    <row r="34" spans="1:13" ht="15" customHeight="1" x14ac:dyDescent="0.25">
      <c r="A34" s="103"/>
      <c r="B34" s="104"/>
      <c r="C34" s="104"/>
      <c r="D34" s="103">
        <f>IF(OR(B34="",C34=""),"",IF(DATEDIF(C34,B34,"y")&gt;=1,DATEDIF(C34,B34,"y")&amp;IF(DATEDIF(C34,B34,"y")=1," year "," years ")&amp;DATEDIF(C34,B34,"ym")&amp;IF(DATEDIF(C34,B34,"ym")=1," month"," months"),IF(DATEDIF(C34,B34,"m")&gt;=1,DATEDIF(C34,B34,"m")&amp;IF(DATEDIF(C34,B34,"m")=1," month"," months"),DATEDIF(C34,B34,"d")&amp;IF(DATEDIF(C34,B34,"d")=1," day"," days"))))</f>
      </c>
      <c r="E34" s="103"/>
      <c r="F34" s="103"/>
      <c r="G34" s="103"/>
      <c r="H34" s="103"/>
      <c r="I34" s="103"/>
      <c r="J34" s="104"/>
      <c r="K34" s="103"/>
      <c r="L34" s="103"/>
      <c r="M34" s="105" t="str">
        <f>IFERROR(VLOOKUP(G34,Reference!$I$2:$J$175,2,FALSE()),"Operations")</f>
        <v>Operations</v>
      </c>
    </row>
    <row r="35" spans="1:13" ht="15" customHeight="1" x14ac:dyDescent="0.25">
      <c r="A35" s="100"/>
      <c r="B35" s="101"/>
      <c r="C35" s="101"/>
      <c r="D35" s="100">
        <f>IF(OR(B35="",C35=""),"",IF(DATEDIF(C35,B35,"y")&gt;=1,DATEDIF(C35,B35,"y")&amp;IF(DATEDIF(C35,B35,"y")=1," year "," years ")&amp;DATEDIF(C35,B35,"ym")&amp;IF(DATEDIF(C35,B35,"ym")=1," month"," months"),IF(DATEDIF(C35,B35,"m")&gt;=1,DATEDIF(C35,B35,"m")&amp;IF(DATEDIF(C35,B35,"m")=1," month"," months"),DATEDIF(C35,B35,"d")&amp;IF(DATEDIF(C35,B35,"d")=1," day"," days"))))</f>
      </c>
      <c r="E35" s="100"/>
      <c r="F35" s="100"/>
      <c r="G35" s="100"/>
      <c r="H35" s="100"/>
      <c r="I35" s="100"/>
      <c r="J35" s="101"/>
      <c r="K35" s="100"/>
      <c r="L35" s="100"/>
      <c r="M35" s="102" t="str">
        <f>IFERROR(VLOOKUP(G35,Reference!$I$2:$J$175,2,FALSE()),"Operations")</f>
        <v>Operations</v>
      </c>
    </row>
    <row r="36" spans="1:13" ht="15" customHeight="1" x14ac:dyDescent="0.25">
      <c r="A36" s="103"/>
      <c r="B36" s="104"/>
      <c r="C36" s="104"/>
      <c r="D36" s="103">
        <f>IF(OR(B36="",C36=""),"",IF(DATEDIF(C36,B36,"y")&gt;=1,DATEDIF(C36,B36,"y")&amp;IF(DATEDIF(C36,B36,"y")=1," year "," years ")&amp;DATEDIF(C36,B36,"ym")&amp;IF(DATEDIF(C36,B36,"ym")=1," month"," months"),IF(DATEDIF(C36,B36,"m")&gt;=1,DATEDIF(C36,B36,"m")&amp;IF(DATEDIF(C36,B36,"m")=1," month"," months"),DATEDIF(C36,B36,"d")&amp;IF(DATEDIF(C36,B36,"d")=1," day"," days"))))</f>
      </c>
      <c r="E36" s="103"/>
      <c r="F36" s="103"/>
      <c r="G36" s="103"/>
      <c r="H36" s="103"/>
      <c r="I36" s="103"/>
      <c r="J36" s="104"/>
      <c r="K36" s="103"/>
      <c r="L36" s="103"/>
      <c r="M36" s="105" t="str">
        <f>IFERROR(VLOOKUP(G36,Reference!$I$2:$J$175,2,FALSE()),"Operations")</f>
        <v>Operations</v>
      </c>
    </row>
    <row r="37" spans="1:13" ht="15" customHeight="1" x14ac:dyDescent="0.25">
      <c r="A37" s="100"/>
      <c r="B37" s="101"/>
      <c r="C37" s="101"/>
      <c r="D37" s="100">
        <f>IF(OR(B37="",C37=""),"",IF(DATEDIF(C37,B37,"y")&gt;=1,DATEDIF(C37,B37,"y")&amp;IF(DATEDIF(C37,B37,"y")=1," year "," years ")&amp;DATEDIF(C37,B37,"ym")&amp;IF(DATEDIF(C37,B37,"ym")=1," month"," months"),IF(DATEDIF(C37,B37,"m")&gt;=1,DATEDIF(C37,B37,"m")&amp;IF(DATEDIF(C37,B37,"m")=1," month"," months"),DATEDIF(C37,B37,"d")&amp;IF(DATEDIF(C37,B37,"d")=1," day"," days"))))</f>
      </c>
      <c r="E37" s="100"/>
      <c r="F37" s="100"/>
      <c r="G37" s="100"/>
      <c r="H37" s="100"/>
      <c r="I37" s="100"/>
      <c r="J37" s="101"/>
      <c r="K37" s="100"/>
      <c r="L37" s="100"/>
      <c r="M37" s="102" t="str">
        <f>IFERROR(VLOOKUP(G37,Reference!$I$2:$J$175,2,FALSE()),"Operations")</f>
        <v>Operations</v>
      </c>
    </row>
    <row r="38" spans="1:13" ht="15" customHeight="1" x14ac:dyDescent="0.25">
      <c r="A38" s="103"/>
      <c r="B38" s="104"/>
      <c r="C38" s="104"/>
      <c r="D38" s="103">
        <f>IF(OR(B38="",C38=""),"",IF(DATEDIF(C38,B38,"y")&gt;=1,DATEDIF(C38,B38,"y")&amp;IF(DATEDIF(C38,B38,"y")=1," year "," years ")&amp;DATEDIF(C38,B38,"ym")&amp;IF(DATEDIF(C38,B38,"ym")=1," month"," months"),IF(DATEDIF(C38,B38,"m")&gt;=1,DATEDIF(C38,B38,"m")&amp;IF(DATEDIF(C38,B38,"m")=1," month"," months"),DATEDIF(C38,B38,"d")&amp;IF(DATEDIF(C38,B38,"d")=1," day"," days"))))</f>
      </c>
      <c r="E38" s="103"/>
      <c r="F38" s="103"/>
      <c r="G38" s="103"/>
      <c r="H38" s="103"/>
      <c r="I38" s="103"/>
      <c r="J38" s="104"/>
      <c r="K38" s="103"/>
      <c r="L38" s="103"/>
      <c r="M38" s="105" t="str">
        <f>IFERROR(VLOOKUP(G38,Reference!$I$2:$J$175,2,FALSE()),"Operations")</f>
        <v>Operations</v>
      </c>
    </row>
    <row r="39" spans="1:13" ht="15" customHeight="1" x14ac:dyDescent="0.25">
      <c r="A39" s="106" t="s">
        <v>163</v>
      </c>
      <c r="B39" s="107">
        <f>COUNTA(A9:A38)</f>
        <v>24</v>
      </c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</row>
    <row r="40" spans="1:13" ht="6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ht="21.75" customHeight="1" x14ac:dyDescent="0.25">
      <c r="A41" s="163" t="s">
        <v>652</v>
      </c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</row>
    <row r="42" spans="1:13" ht="19.5" customHeight="1" x14ac:dyDescent="0.25">
      <c r="A42" s="64" t="s">
        <v>151</v>
      </c>
      <c r="B42" s="64" t="s">
        <v>152</v>
      </c>
      <c r="C42" s="64" t="s">
        <v>153</v>
      </c>
      <c r="D42" s="64" t="s">
        <v>154</v>
      </c>
      <c r="E42" s="64" t="s">
        <v>155</v>
      </c>
      <c r="F42" s="64" t="s">
        <v>156</v>
      </c>
      <c r="G42" s="64" t="s">
        <v>157</v>
      </c>
      <c r="H42" s="64" t="s">
        <v>158</v>
      </c>
      <c r="I42" s="64" t="s">
        <v>159</v>
      </c>
      <c r="J42" s="64" t="s">
        <v>160</v>
      </c>
      <c r="K42" s="64" t="s">
        <v>134</v>
      </c>
      <c r="L42" s="64" t="s">
        <v>161</v>
      </c>
      <c r="M42" s="64" t="s">
        <v>162</v>
      </c>
    </row>
    <row r="43" spans="1:13" ht="15" customHeight="1" x14ac:dyDescent="0.25">
      <c r="A43" s="77" t="s">
        <v>653</v>
      </c>
      <c r="B43" s="111">
        <v>45327</v>
      </c>
      <c r="C43" s="77"/>
      <c r="D43" s="77" t="s">
        <v>318</v>
      </c>
      <c r="E43" s="77" t="s">
        <v>184</v>
      </c>
      <c r="F43" s="77" t="s">
        <v>191</v>
      </c>
      <c r="G43" s="77" t="s">
        <v>406</v>
      </c>
      <c r="H43" s="77" t="s">
        <v>56</v>
      </c>
      <c r="I43" s="77" t="s">
        <v>225</v>
      </c>
      <c r="J43" s="77"/>
      <c r="K43" s="77" t="s">
        <v>483</v>
      </c>
      <c r="L43" s="77"/>
      <c r="M43" s="102" t="str">
        <f>IFERROR(VLOOKUP(G43,Reference!$I$2:$J$175,2,FALSE()),"Operations")</f>
        <v>Human Resources</v>
      </c>
    </row>
    <row r="44" spans="1:13" ht="15" customHeight="1" x14ac:dyDescent="0.25">
      <c r="A44" s="80" t="s">
        <v>654</v>
      </c>
      <c r="B44" s="112">
        <v>45324</v>
      </c>
      <c r="C44" s="80"/>
      <c r="D44" s="80" t="s">
        <v>655</v>
      </c>
      <c r="E44" s="80" t="s">
        <v>184</v>
      </c>
      <c r="F44" s="80" t="s">
        <v>191</v>
      </c>
      <c r="G44" s="80" t="s">
        <v>656</v>
      </c>
      <c r="H44" s="80" t="s">
        <v>58</v>
      </c>
      <c r="I44" s="80" t="s">
        <v>657</v>
      </c>
      <c r="J44" s="80"/>
      <c r="K44" s="80" t="s">
        <v>66</v>
      </c>
      <c r="L44" s="80"/>
      <c r="M44" s="105" t="str">
        <f>IFERROR(VLOOKUP(G44,Reference!$I$2:$J$175,2,FALSE()),"Operations")</f>
        <v>Operations</v>
      </c>
    </row>
    <row r="45" spans="1:13" ht="15" customHeight="1" x14ac:dyDescent="0.25">
      <c r="A45" s="77" t="s">
        <v>658</v>
      </c>
      <c r="B45" s="111">
        <v>45328</v>
      </c>
      <c r="C45" s="77"/>
      <c r="D45" s="77" t="s">
        <v>659</v>
      </c>
      <c r="E45" s="77" t="s">
        <v>184</v>
      </c>
      <c r="F45" s="77" t="s">
        <v>191</v>
      </c>
      <c r="G45" s="77" t="s">
        <v>660</v>
      </c>
      <c r="H45" s="77" t="s">
        <v>58</v>
      </c>
      <c r="I45" s="77" t="s">
        <v>661</v>
      </c>
      <c r="J45" s="77"/>
      <c r="K45" s="77" t="s">
        <v>84</v>
      </c>
      <c r="L45" s="77"/>
      <c r="M45" s="102" t="str">
        <f>IFERROR(VLOOKUP(G45,Reference!$I$2:$J$175,2,FALSE()),"Operations")</f>
        <v>Employment Services</v>
      </c>
    </row>
    <row r="46" spans="1:13" ht="15" customHeight="1" x14ac:dyDescent="0.25">
      <c r="A46" s="80" t="s">
        <v>662</v>
      </c>
      <c r="B46" s="112">
        <v>45330</v>
      </c>
      <c r="C46" s="80"/>
      <c r="D46" s="80" t="s">
        <v>663</v>
      </c>
      <c r="E46" s="80" t="s">
        <v>179</v>
      </c>
      <c r="F46" s="80" t="s">
        <v>191</v>
      </c>
      <c r="G46" s="80" t="s">
        <v>181</v>
      </c>
      <c r="H46" s="80" t="s">
        <v>70</v>
      </c>
      <c r="I46" s="80" t="s">
        <v>617</v>
      </c>
      <c r="J46" s="80"/>
      <c r="K46" s="80" t="s">
        <v>66</v>
      </c>
      <c r="L46" s="80"/>
      <c r="M46" s="105" t="str">
        <f>IFERROR(VLOOKUP(G46,Reference!$I$2:$J$175,2,FALSE()),"Operations")</f>
        <v>Operations</v>
      </c>
    </row>
    <row r="47" spans="1:13" ht="15" customHeight="1" x14ac:dyDescent="0.25">
      <c r="A47" s="77" t="s">
        <v>664</v>
      </c>
      <c r="B47" s="111">
        <v>45330</v>
      </c>
      <c r="C47" s="77"/>
      <c r="D47" s="77" t="s">
        <v>665</v>
      </c>
      <c r="E47" s="77" t="s">
        <v>179</v>
      </c>
      <c r="F47" s="77" t="s">
        <v>191</v>
      </c>
      <c r="G47" s="77" t="s">
        <v>181</v>
      </c>
      <c r="H47" s="77" t="s">
        <v>70</v>
      </c>
      <c r="I47" s="77" t="s">
        <v>617</v>
      </c>
      <c r="J47" s="77"/>
      <c r="K47" s="77" t="s">
        <v>66</v>
      </c>
      <c r="L47" s="77"/>
      <c r="M47" s="102" t="str">
        <f>IFERROR(VLOOKUP(G47,Reference!$I$2:$J$175,2,FALSE()),"Operations")</f>
        <v>Operations</v>
      </c>
    </row>
    <row r="48" spans="1:13" ht="15" customHeight="1" x14ac:dyDescent="0.25">
      <c r="A48" s="80" t="s">
        <v>666</v>
      </c>
      <c r="B48" s="112">
        <v>45331</v>
      </c>
      <c r="C48" s="80"/>
      <c r="D48" s="80" t="s">
        <v>342</v>
      </c>
      <c r="E48" s="80" t="s">
        <v>179</v>
      </c>
      <c r="F48" s="80" t="s">
        <v>191</v>
      </c>
      <c r="G48" s="80" t="s">
        <v>199</v>
      </c>
      <c r="H48" s="80" t="s">
        <v>70</v>
      </c>
      <c r="I48" s="80" t="s">
        <v>617</v>
      </c>
      <c r="J48" s="80"/>
      <c r="K48" s="80" t="s">
        <v>68</v>
      </c>
      <c r="L48" s="80"/>
      <c r="M48" s="105" t="str">
        <f>IFERROR(VLOOKUP(G48,Reference!$I$2:$J$175,2,FALSE()),"Operations")</f>
        <v>Operations</v>
      </c>
    </row>
    <row r="49" spans="1:13" ht="15" customHeight="1" x14ac:dyDescent="0.25">
      <c r="A49" s="77" t="s">
        <v>667</v>
      </c>
      <c r="B49" s="111">
        <v>45341</v>
      </c>
      <c r="C49" s="77"/>
      <c r="D49" s="77" t="s">
        <v>668</v>
      </c>
      <c r="E49" s="77" t="s">
        <v>376</v>
      </c>
      <c r="F49" s="77" t="s">
        <v>376</v>
      </c>
      <c r="G49" s="77" t="s">
        <v>656</v>
      </c>
      <c r="H49" s="77" t="s">
        <v>70</v>
      </c>
      <c r="I49" s="77" t="s">
        <v>657</v>
      </c>
      <c r="J49" s="77"/>
      <c r="K49" s="77" t="s">
        <v>66</v>
      </c>
      <c r="L49" s="77"/>
      <c r="M49" s="102" t="str">
        <f>IFERROR(VLOOKUP(G49,Reference!$I$2:$J$175,2,FALSE()),"Operations")</f>
        <v>Operations</v>
      </c>
    </row>
    <row r="50" spans="1:13" ht="15" customHeight="1" x14ac:dyDescent="0.25">
      <c r="A50" s="80" t="s">
        <v>669</v>
      </c>
      <c r="B50" s="112">
        <v>45344</v>
      </c>
      <c r="C50" s="80"/>
      <c r="D50" s="80" t="s">
        <v>316</v>
      </c>
      <c r="E50" s="80" t="s">
        <v>184</v>
      </c>
      <c r="F50" s="80" t="s">
        <v>191</v>
      </c>
      <c r="G50" s="80" t="s">
        <v>670</v>
      </c>
      <c r="H50" s="80" t="s">
        <v>70</v>
      </c>
      <c r="I50" s="80" t="s">
        <v>182</v>
      </c>
      <c r="J50" s="80"/>
      <c r="K50" s="80" t="s">
        <v>68</v>
      </c>
      <c r="L50" s="80"/>
      <c r="M50" s="105" t="str">
        <f>IFERROR(VLOOKUP(G50,Reference!$I$2:$J$175,2,FALSE()),"Operations")</f>
        <v>Operations</v>
      </c>
    </row>
    <row r="51" spans="1:13" ht="15" customHeight="1" x14ac:dyDescent="0.25">
      <c r="A51" s="77" t="s">
        <v>671</v>
      </c>
      <c r="B51" s="111">
        <v>45348</v>
      </c>
      <c r="C51" s="77"/>
      <c r="D51" s="77" t="s">
        <v>672</v>
      </c>
      <c r="E51" s="77" t="s">
        <v>179</v>
      </c>
      <c r="F51" s="77" t="s">
        <v>180</v>
      </c>
      <c r="G51" s="77" t="s">
        <v>535</v>
      </c>
      <c r="H51" s="77" t="s">
        <v>53</v>
      </c>
      <c r="I51" s="77" t="s">
        <v>673</v>
      </c>
      <c r="J51" s="77"/>
      <c r="K51" s="77" t="s">
        <v>66</v>
      </c>
      <c r="L51" s="77"/>
      <c r="M51" s="102" t="str">
        <f>IFERROR(VLOOKUP(G51,Reference!$I$2:$J$175,2,FALSE()),"Operations")</f>
        <v>Operations</v>
      </c>
    </row>
    <row r="52" spans="1:13" ht="15" customHeight="1" x14ac:dyDescent="0.25">
      <c r="A52" s="80" t="s">
        <v>674</v>
      </c>
      <c r="B52" s="112">
        <v>45350</v>
      </c>
      <c r="C52" s="80"/>
      <c r="D52" s="80" t="s">
        <v>675</v>
      </c>
      <c r="E52" s="80" t="s">
        <v>184</v>
      </c>
      <c r="F52" s="80" t="s">
        <v>191</v>
      </c>
      <c r="G52" s="80" t="s">
        <v>285</v>
      </c>
      <c r="H52" s="80" t="s">
        <v>62</v>
      </c>
      <c r="I52" s="80" t="s">
        <v>304</v>
      </c>
      <c r="J52" s="80"/>
      <c r="K52" s="80" t="s">
        <v>83</v>
      </c>
      <c r="L52" s="80"/>
      <c r="M52" s="105" t="str">
        <f>IFERROR(VLOOKUP(G52,Reference!$I$2:$J$175,2,FALSE()),"Operations")</f>
        <v>Children Services</v>
      </c>
    </row>
    <row r="53" spans="1:13" ht="15" customHeight="1" x14ac:dyDescent="0.25">
      <c r="A53" s="77" t="s">
        <v>676</v>
      </c>
      <c r="B53" s="111">
        <v>45351</v>
      </c>
      <c r="C53" s="77"/>
      <c r="D53" s="77" t="s">
        <v>677</v>
      </c>
      <c r="E53" s="77" t="s">
        <v>179</v>
      </c>
      <c r="F53" s="77" t="s">
        <v>191</v>
      </c>
      <c r="G53" s="77" t="s">
        <v>181</v>
      </c>
      <c r="H53" s="77" t="s">
        <v>69</v>
      </c>
      <c r="I53" s="77" t="s">
        <v>617</v>
      </c>
      <c r="J53" s="77"/>
      <c r="K53" s="77" t="s">
        <v>66</v>
      </c>
      <c r="L53" s="77"/>
      <c r="M53" s="102" t="str">
        <f>IFERROR(VLOOKUP(G53,Reference!$I$2:$J$175,2,FALSE()),"Operations")</f>
        <v>Operations</v>
      </c>
    </row>
    <row r="54" spans="1:13" ht="15" customHeight="1" x14ac:dyDescent="0.25">
      <c r="A54" s="103"/>
      <c r="B54" s="104"/>
      <c r="C54" s="104"/>
      <c r="D54" s="103">
        <f>IF(OR(B54="",C54=""),"",IF(DATEDIF(C54,B54,"y")&gt;=1,DATEDIF(C54,B54,"y")&amp;IF(DATEDIF(C54,B54,"y")=1," year "," years ")&amp;DATEDIF(C54,B54,"ym")&amp;IF(DATEDIF(C54,B54,"ym")=1," month"," months"),IF(DATEDIF(C54,B54,"m")&gt;=1,DATEDIF(C54,B54,"m")&amp;IF(DATEDIF(C54,B54,"m")=1," month"," months"),DATEDIF(C54,B54,"d")&amp;IF(DATEDIF(C54,B54,"d")=1," day"," days"))))</f>
      </c>
      <c r="E54" s="103"/>
      <c r="F54" s="103"/>
      <c r="G54" s="103"/>
      <c r="H54" s="103"/>
      <c r="I54" s="103"/>
      <c r="J54" s="104"/>
      <c r="K54" s="103"/>
      <c r="L54" s="103"/>
      <c r="M54" s="105" t="str">
        <f>IFERROR(VLOOKUP(G54,Reference!$I$2:$J$175,2,FALSE()),"Operations")</f>
        <v>Operations</v>
      </c>
    </row>
    <row r="55" spans="1:13" ht="15" customHeight="1" x14ac:dyDescent="0.25">
      <c r="A55" s="100"/>
      <c r="B55" s="101"/>
      <c r="C55" s="101"/>
      <c r="D55" s="100">
        <f>IF(OR(B55="",C55=""),"",IF(DATEDIF(C55,B55,"y")&gt;=1,DATEDIF(C55,B55,"y")&amp;IF(DATEDIF(C55,B55,"y")=1," year "," years ")&amp;DATEDIF(C55,B55,"ym")&amp;IF(DATEDIF(C55,B55,"ym")=1," month"," months"),IF(DATEDIF(C55,B55,"m")&gt;=1,DATEDIF(C55,B55,"m")&amp;IF(DATEDIF(C55,B55,"m")=1," month"," months"),DATEDIF(C55,B55,"d")&amp;IF(DATEDIF(C55,B55,"d")=1," day"," days"))))</f>
      </c>
      <c r="E55" s="100"/>
      <c r="F55" s="100"/>
      <c r="G55" s="100"/>
      <c r="H55" s="100"/>
      <c r="I55" s="100"/>
      <c r="J55" s="101"/>
      <c r="K55" s="100"/>
      <c r="L55" s="100"/>
      <c r="M55" s="102" t="str">
        <f>IFERROR(VLOOKUP(G55,Reference!$I$2:$J$175,2,FALSE()),"Operations")</f>
        <v>Operations</v>
      </c>
    </row>
    <row r="56" spans="1:13" ht="15" customHeight="1" x14ac:dyDescent="0.25">
      <c r="A56" s="103"/>
      <c r="B56" s="104"/>
      <c r="C56" s="104"/>
      <c r="D56" s="103">
        <f>IF(OR(B56="",C56=""),"",IF(DATEDIF(C56,B56,"y")&gt;=1,DATEDIF(C56,B56,"y")&amp;IF(DATEDIF(C56,B56,"y")=1," year "," years ")&amp;DATEDIF(C56,B56,"ym")&amp;IF(DATEDIF(C56,B56,"ym")=1," month"," months"),IF(DATEDIF(C56,B56,"m")&gt;=1,DATEDIF(C56,B56,"m")&amp;IF(DATEDIF(C56,B56,"m")=1," month"," months"),DATEDIF(C56,B56,"d")&amp;IF(DATEDIF(C56,B56,"d")=1," day"," days"))))</f>
      </c>
      <c r="E56" s="103"/>
      <c r="F56" s="103"/>
      <c r="G56" s="103"/>
      <c r="H56" s="103"/>
      <c r="I56" s="103"/>
      <c r="J56" s="104"/>
      <c r="K56" s="103"/>
      <c r="L56" s="103"/>
      <c r="M56" s="105" t="str">
        <f>IFERROR(VLOOKUP(G56,Reference!$I$2:$J$175,2,FALSE()),"Operations")</f>
        <v>Operations</v>
      </c>
    </row>
    <row r="57" spans="1:13" ht="15" customHeight="1" x14ac:dyDescent="0.25">
      <c r="A57" s="100"/>
      <c r="B57" s="101"/>
      <c r="C57" s="101"/>
      <c r="D57" s="100">
        <f>IF(OR(B57="",C57=""),"",IF(DATEDIF(C57,B57,"y")&gt;=1,DATEDIF(C57,B57,"y")&amp;IF(DATEDIF(C57,B57,"y")=1," year "," years ")&amp;DATEDIF(C57,B57,"ym")&amp;IF(DATEDIF(C57,B57,"ym")=1," month"," months"),IF(DATEDIF(C57,B57,"m")&gt;=1,DATEDIF(C57,B57,"m")&amp;IF(DATEDIF(C57,B57,"m")=1," month"," months"),DATEDIF(C57,B57,"d")&amp;IF(DATEDIF(C57,B57,"d")=1," day"," days"))))</f>
      </c>
      <c r="E57" s="100"/>
      <c r="F57" s="100"/>
      <c r="G57" s="100"/>
      <c r="H57" s="100"/>
      <c r="I57" s="100"/>
      <c r="J57" s="101"/>
      <c r="K57" s="100"/>
      <c r="L57" s="100"/>
      <c r="M57" s="102" t="str">
        <f>IFERROR(VLOOKUP(G57,Reference!$I$2:$J$175,2,FALSE()),"Operations")</f>
        <v>Operations</v>
      </c>
    </row>
    <row r="58" spans="1:13" ht="15" customHeight="1" x14ac:dyDescent="0.25">
      <c r="A58" s="103"/>
      <c r="B58" s="104"/>
      <c r="C58" s="104"/>
      <c r="D58" s="103">
        <f>IF(OR(B58="",C58=""),"",IF(DATEDIF(C58,B58,"y")&gt;=1,DATEDIF(C58,B58,"y")&amp;IF(DATEDIF(C58,B58,"y")=1," year "," years ")&amp;DATEDIF(C58,B58,"ym")&amp;IF(DATEDIF(C58,B58,"ym")=1," month"," months"),IF(DATEDIF(C58,B58,"m")&gt;=1,DATEDIF(C58,B58,"m")&amp;IF(DATEDIF(C58,B58,"m")=1," month"," months"),DATEDIF(C58,B58,"d")&amp;IF(DATEDIF(C58,B58,"d")=1," day"," days"))))</f>
      </c>
      <c r="E58" s="103"/>
      <c r="F58" s="103"/>
      <c r="G58" s="103"/>
      <c r="H58" s="103"/>
      <c r="I58" s="103"/>
      <c r="J58" s="104"/>
      <c r="K58" s="103"/>
      <c r="L58" s="103"/>
      <c r="M58" s="105" t="str">
        <f>IFERROR(VLOOKUP(G58,Reference!$I$2:$J$175,2,FALSE()),"Operations")</f>
        <v>Operations</v>
      </c>
    </row>
    <row r="59" spans="1:13" ht="15" customHeight="1" x14ac:dyDescent="0.25">
      <c r="A59" s="100"/>
      <c r="B59" s="101"/>
      <c r="C59" s="101"/>
      <c r="D59" s="100">
        <f>IF(OR(B59="",C59=""),"",IF(DATEDIF(C59,B59,"y")&gt;=1,DATEDIF(C59,B59,"y")&amp;IF(DATEDIF(C59,B59,"y")=1," year "," years ")&amp;DATEDIF(C59,B59,"ym")&amp;IF(DATEDIF(C59,B59,"ym")=1," month"," months"),IF(DATEDIF(C59,B59,"m")&gt;=1,DATEDIF(C59,B59,"m")&amp;IF(DATEDIF(C59,B59,"m")=1," month"," months"),DATEDIF(C59,B59,"d")&amp;IF(DATEDIF(C59,B59,"d")=1," day"," days"))))</f>
      </c>
      <c r="E59" s="100"/>
      <c r="F59" s="100"/>
      <c r="G59" s="100"/>
      <c r="H59" s="100"/>
      <c r="I59" s="100"/>
      <c r="J59" s="101"/>
      <c r="K59" s="100"/>
      <c r="L59" s="100"/>
      <c r="M59" s="102" t="str">
        <f>IFERROR(VLOOKUP(G59,Reference!$I$2:$J$175,2,FALSE()),"Operations")</f>
        <v>Operations</v>
      </c>
    </row>
    <row r="60" spans="1:13" ht="15" customHeight="1" x14ac:dyDescent="0.25">
      <c r="A60" s="103"/>
      <c r="B60" s="104"/>
      <c r="C60" s="104"/>
      <c r="D60" s="103">
        <f>IF(OR(B60="",C60=""),"",IF(DATEDIF(C60,B60,"y")&gt;=1,DATEDIF(C60,B60,"y")&amp;IF(DATEDIF(C60,B60,"y")=1," year "," years ")&amp;DATEDIF(C60,B60,"ym")&amp;IF(DATEDIF(C60,B60,"ym")=1," month"," months"),IF(DATEDIF(C60,B60,"m")&gt;=1,DATEDIF(C60,B60,"m")&amp;IF(DATEDIF(C60,B60,"m")=1," month"," months"),DATEDIF(C60,B60,"d")&amp;IF(DATEDIF(C60,B60,"d")=1," day"," days"))))</f>
      </c>
      <c r="E60" s="103"/>
      <c r="F60" s="103"/>
      <c r="G60" s="103"/>
      <c r="H60" s="103"/>
      <c r="I60" s="103"/>
      <c r="J60" s="104"/>
      <c r="K60" s="103"/>
      <c r="L60" s="103"/>
      <c r="M60" s="105" t="str">
        <f>IFERROR(VLOOKUP(G60,Reference!$I$2:$J$175,2,FALSE()),"Operations")</f>
        <v>Operations</v>
      </c>
    </row>
    <row r="61" spans="1:13" ht="15" customHeight="1" x14ac:dyDescent="0.25">
      <c r="A61" s="100"/>
      <c r="B61" s="101"/>
      <c r="C61" s="101"/>
      <c r="D61" s="100">
        <f>IF(OR(B61="",C61=""),"",IF(DATEDIF(C61,B61,"y")&gt;=1,DATEDIF(C61,B61,"y")&amp;IF(DATEDIF(C61,B61,"y")=1," year "," years ")&amp;DATEDIF(C61,B61,"ym")&amp;IF(DATEDIF(C61,B61,"ym")=1," month"," months"),IF(DATEDIF(C61,B61,"m")&gt;=1,DATEDIF(C61,B61,"m")&amp;IF(DATEDIF(C61,B61,"m")=1," month"," months"),DATEDIF(C61,B61,"d")&amp;IF(DATEDIF(C61,B61,"d")=1," day"," days"))))</f>
      </c>
      <c r="E61" s="100"/>
      <c r="F61" s="100"/>
      <c r="G61" s="100"/>
      <c r="H61" s="100"/>
      <c r="I61" s="100"/>
      <c r="J61" s="101"/>
      <c r="K61" s="100"/>
      <c r="L61" s="100"/>
      <c r="M61" s="102" t="str">
        <f>IFERROR(VLOOKUP(G61,Reference!$I$2:$J$175,2,FALSE()),"Operations")</f>
        <v>Operations</v>
      </c>
    </row>
    <row r="62" spans="1:13" ht="15" customHeight="1" x14ac:dyDescent="0.25">
      <c r="A62" s="103"/>
      <c r="B62" s="104"/>
      <c r="C62" s="104"/>
      <c r="D62" s="103">
        <f>IF(OR(B62="",C62=""),"",IF(DATEDIF(C62,B62,"y")&gt;=1,DATEDIF(C62,B62,"y")&amp;IF(DATEDIF(C62,B62,"y")=1," year "," years ")&amp;DATEDIF(C62,B62,"ym")&amp;IF(DATEDIF(C62,B62,"ym")=1," month"," months"),IF(DATEDIF(C62,B62,"m")&gt;=1,DATEDIF(C62,B62,"m")&amp;IF(DATEDIF(C62,B62,"m")=1," month"," months"),DATEDIF(C62,B62,"d")&amp;IF(DATEDIF(C62,B62,"d")=1," day"," days"))))</f>
      </c>
      <c r="E62" s="103"/>
      <c r="F62" s="103"/>
      <c r="G62" s="103"/>
      <c r="H62" s="103"/>
      <c r="I62" s="103"/>
      <c r="J62" s="104"/>
      <c r="K62" s="103"/>
      <c r="L62" s="103"/>
      <c r="M62" s="105" t="str">
        <f>IFERROR(VLOOKUP(G62,Reference!$I$2:$J$175,2,FALSE()),"Operations")</f>
        <v>Operations</v>
      </c>
    </row>
    <row r="63" spans="1:13" ht="15" customHeight="1" x14ac:dyDescent="0.25">
      <c r="A63" s="100"/>
      <c r="B63" s="101"/>
      <c r="C63" s="101"/>
      <c r="D63" s="100">
        <f>IF(OR(B63="",C63=""),"",IF(DATEDIF(C63,B63,"y")&gt;=1,DATEDIF(C63,B63,"y")&amp;IF(DATEDIF(C63,B63,"y")=1," year "," years ")&amp;DATEDIF(C63,B63,"ym")&amp;IF(DATEDIF(C63,B63,"ym")=1," month"," months"),IF(DATEDIF(C63,B63,"m")&gt;=1,DATEDIF(C63,B63,"m")&amp;IF(DATEDIF(C63,B63,"m")=1," month"," months"),DATEDIF(C63,B63,"d")&amp;IF(DATEDIF(C63,B63,"d")=1," day"," days"))))</f>
      </c>
      <c r="E63" s="100"/>
      <c r="F63" s="100"/>
      <c r="G63" s="100"/>
      <c r="H63" s="100"/>
      <c r="I63" s="100"/>
      <c r="J63" s="101"/>
      <c r="K63" s="100"/>
      <c r="L63" s="100"/>
      <c r="M63" s="102" t="str">
        <f>IFERROR(VLOOKUP(G63,Reference!$I$2:$J$175,2,FALSE()),"Operations")</f>
        <v>Operations</v>
      </c>
    </row>
    <row r="64" spans="1:13" ht="15" customHeight="1" x14ac:dyDescent="0.25">
      <c r="A64" s="103"/>
      <c r="B64" s="104"/>
      <c r="C64" s="104"/>
      <c r="D64" s="103">
        <f>IF(OR(B64="",C64=""),"",IF(DATEDIF(C64,B64,"y")&gt;=1,DATEDIF(C64,B64,"y")&amp;IF(DATEDIF(C64,B64,"y")=1," year "," years ")&amp;DATEDIF(C64,B64,"ym")&amp;IF(DATEDIF(C64,B64,"ym")=1," month"," months"),IF(DATEDIF(C64,B64,"m")&gt;=1,DATEDIF(C64,B64,"m")&amp;IF(DATEDIF(C64,B64,"m")=1," month"," months"),DATEDIF(C64,B64,"d")&amp;IF(DATEDIF(C64,B64,"d")=1," day"," days"))))</f>
      </c>
      <c r="E64" s="103"/>
      <c r="F64" s="103"/>
      <c r="G64" s="103"/>
      <c r="H64" s="103"/>
      <c r="I64" s="103"/>
      <c r="J64" s="104"/>
      <c r="K64" s="103"/>
      <c r="L64" s="103"/>
      <c r="M64" s="105" t="str">
        <f>IFERROR(VLOOKUP(G64,Reference!$I$2:$J$175,2,FALSE()),"Operations")</f>
        <v>Operations</v>
      </c>
    </row>
    <row r="65" spans="1:13" ht="15" customHeight="1" x14ac:dyDescent="0.25">
      <c r="A65" s="100"/>
      <c r="B65" s="101"/>
      <c r="C65" s="101"/>
      <c r="D65" s="100">
        <f>IF(OR(B65="",C65=""),"",IF(DATEDIF(C65,B65,"y")&gt;=1,DATEDIF(C65,B65,"y")&amp;IF(DATEDIF(C65,B65,"y")=1," year "," years ")&amp;DATEDIF(C65,B65,"ym")&amp;IF(DATEDIF(C65,B65,"ym")=1," month"," months"),IF(DATEDIF(C65,B65,"m")&gt;=1,DATEDIF(C65,B65,"m")&amp;IF(DATEDIF(C65,B65,"m")=1," month"," months"),DATEDIF(C65,B65,"d")&amp;IF(DATEDIF(C65,B65,"d")=1," day"," days"))))</f>
      </c>
      <c r="E65" s="100"/>
      <c r="F65" s="100"/>
      <c r="G65" s="100"/>
      <c r="H65" s="100"/>
      <c r="I65" s="100"/>
      <c r="J65" s="101"/>
      <c r="K65" s="100"/>
      <c r="L65" s="100"/>
      <c r="M65" s="102" t="str">
        <f>IFERROR(VLOOKUP(G65,Reference!$I$2:$J$175,2,FALSE()),"Operations")</f>
        <v>Operations</v>
      </c>
    </row>
    <row r="66" spans="1:13" ht="15" customHeight="1" x14ac:dyDescent="0.25">
      <c r="A66" s="103"/>
      <c r="B66" s="104"/>
      <c r="C66" s="104"/>
      <c r="D66" s="103">
        <f>IF(OR(B66="",C66=""),"",IF(DATEDIF(C66,B66,"y")&gt;=1,DATEDIF(C66,B66,"y")&amp;IF(DATEDIF(C66,B66,"y")=1," year "," years ")&amp;DATEDIF(C66,B66,"ym")&amp;IF(DATEDIF(C66,B66,"ym")=1," month"," months"),IF(DATEDIF(C66,B66,"m")&gt;=1,DATEDIF(C66,B66,"m")&amp;IF(DATEDIF(C66,B66,"m")=1," month"," months"),DATEDIF(C66,B66,"d")&amp;IF(DATEDIF(C66,B66,"d")=1," day"," days"))))</f>
      </c>
      <c r="E66" s="103"/>
      <c r="F66" s="103"/>
      <c r="G66" s="103"/>
      <c r="H66" s="103"/>
      <c r="I66" s="103"/>
      <c r="J66" s="104"/>
      <c r="K66" s="103"/>
      <c r="L66" s="103"/>
      <c r="M66" s="105" t="str">
        <f>IFERROR(VLOOKUP(G66,Reference!$I$2:$J$175,2,FALSE()),"Operations")</f>
        <v>Operations</v>
      </c>
    </row>
    <row r="67" spans="1:13" ht="15" customHeight="1" x14ac:dyDescent="0.25">
      <c r="A67" s="100"/>
      <c r="B67" s="101"/>
      <c r="C67" s="101"/>
      <c r="D67" s="100">
        <f>IF(OR(B67="",C67=""),"",IF(DATEDIF(C67,B67,"y")&gt;=1,DATEDIF(C67,B67,"y")&amp;IF(DATEDIF(C67,B67,"y")=1," year "," years ")&amp;DATEDIF(C67,B67,"ym")&amp;IF(DATEDIF(C67,B67,"ym")=1," month"," months"),IF(DATEDIF(C67,B67,"m")&gt;=1,DATEDIF(C67,B67,"m")&amp;IF(DATEDIF(C67,B67,"m")=1," month"," months"),DATEDIF(C67,B67,"d")&amp;IF(DATEDIF(C67,B67,"d")=1," day"," days"))))</f>
      </c>
      <c r="E67" s="100"/>
      <c r="F67" s="100"/>
      <c r="G67" s="100"/>
      <c r="H67" s="100"/>
      <c r="I67" s="100"/>
      <c r="J67" s="101"/>
      <c r="K67" s="100"/>
      <c r="L67" s="100"/>
      <c r="M67" s="102" t="str">
        <f>IFERROR(VLOOKUP(G67,Reference!$I$2:$J$175,2,FALSE()),"Operations")</f>
        <v>Operations</v>
      </c>
    </row>
    <row r="68" spans="1:13" ht="15" customHeight="1" x14ac:dyDescent="0.25">
      <c r="A68" s="103"/>
      <c r="B68" s="104"/>
      <c r="C68" s="104"/>
      <c r="D68" s="103">
        <f>IF(OR(B68="",C68=""),"",IF(DATEDIF(C68,B68,"y")&gt;=1,DATEDIF(C68,B68,"y")&amp;IF(DATEDIF(C68,B68,"y")=1," year "," years ")&amp;DATEDIF(C68,B68,"ym")&amp;IF(DATEDIF(C68,B68,"ym")=1," month"," months"),IF(DATEDIF(C68,B68,"m")&gt;=1,DATEDIF(C68,B68,"m")&amp;IF(DATEDIF(C68,B68,"m")=1," month"," months"),DATEDIF(C68,B68,"d")&amp;IF(DATEDIF(C68,B68,"d")=1," day"," days"))))</f>
      </c>
      <c r="E68" s="103"/>
      <c r="F68" s="103"/>
      <c r="G68" s="103"/>
      <c r="H68" s="103"/>
      <c r="I68" s="103"/>
      <c r="J68" s="104"/>
      <c r="K68" s="103"/>
      <c r="L68" s="103"/>
      <c r="M68" s="105" t="str">
        <f>IFERROR(VLOOKUP(G68,Reference!$I$2:$J$175,2,FALSE()),"Operations")</f>
        <v>Operations</v>
      </c>
    </row>
    <row r="69" spans="1:13" ht="15" customHeight="1" x14ac:dyDescent="0.25">
      <c r="A69" s="100"/>
      <c r="B69" s="101"/>
      <c r="C69" s="101"/>
      <c r="D69" s="100">
        <f>IF(OR(B69="",C69=""),"",IF(DATEDIF(C69,B69,"y")&gt;=1,DATEDIF(C69,B69,"y")&amp;IF(DATEDIF(C69,B69,"y")=1," year "," years ")&amp;DATEDIF(C69,B69,"ym")&amp;IF(DATEDIF(C69,B69,"ym")=1," month"," months"),IF(DATEDIF(C69,B69,"m")&gt;=1,DATEDIF(C69,B69,"m")&amp;IF(DATEDIF(C69,B69,"m")=1," month"," months"),DATEDIF(C69,B69,"d")&amp;IF(DATEDIF(C69,B69,"d")=1," day"," days"))))</f>
      </c>
      <c r="E69" s="100"/>
      <c r="F69" s="100"/>
      <c r="G69" s="100"/>
      <c r="H69" s="100"/>
      <c r="I69" s="100"/>
      <c r="J69" s="101"/>
      <c r="K69" s="100"/>
      <c r="L69" s="100"/>
      <c r="M69" s="102" t="str">
        <f>IFERROR(VLOOKUP(G69,Reference!$I$2:$J$175,2,FALSE()),"Operations")</f>
        <v>Operations</v>
      </c>
    </row>
    <row r="70" spans="1:13" ht="15" customHeight="1" x14ac:dyDescent="0.25">
      <c r="A70" s="103"/>
      <c r="B70" s="104"/>
      <c r="C70" s="104"/>
      <c r="D70" s="103">
        <f>IF(OR(B70="",C70=""),"",IF(DATEDIF(C70,B70,"y")&gt;=1,DATEDIF(C70,B70,"y")&amp;IF(DATEDIF(C70,B70,"y")=1," year "," years ")&amp;DATEDIF(C70,B70,"ym")&amp;IF(DATEDIF(C70,B70,"ym")=1," month"," months"),IF(DATEDIF(C70,B70,"m")&gt;=1,DATEDIF(C70,B70,"m")&amp;IF(DATEDIF(C70,B70,"m")=1," month"," months"),DATEDIF(C70,B70,"d")&amp;IF(DATEDIF(C70,B70,"d")=1," day"," days"))))</f>
      </c>
      <c r="E70" s="103"/>
      <c r="F70" s="103"/>
      <c r="G70" s="103"/>
      <c r="H70" s="103"/>
      <c r="I70" s="103"/>
      <c r="J70" s="104"/>
      <c r="K70" s="103"/>
      <c r="L70" s="103"/>
      <c r="M70" s="105" t="str">
        <f>IFERROR(VLOOKUP(G70,Reference!$I$2:$J$175,2,FALSE()),"Operations")</f>
        <v>Operations</v>
      </c>
    </row>
    <row r="71" spans="1:13" ht="15" customHeight="1" x14ac:dyDescent="0.25">
      <c r="A71" s="100"/>
      <c r="B71" s="101"/>
      <c r="C71" s="101"/>
      <c r="D71" s="100">
        <f>IF(OR(B71="",C71=""),"",IF(DATEDIF(C71,B71,"y")&gt;=1,DATEDIF(C71,B71,"y")&amp;IF(DATEDIF(C71,B71,"y")=1," year "," years ")&amp;DATEDIF(C71,B71,"ym")&amp;IF(DATEDIF(C71,B71,"ym")=1," month"," months"),IF(DATEDIF(C71,B71,"m")&gt;=1,DATEDIF(C71,B71,"m")&amp;IF(DATEDIF(C71,B71,"m")=1," month"," months"),DATEDIF(C71,B71,"d")&amp;IF(DATEDIF(C71,B71,"d")=1," day"," days"))))</f>
      </c>
      <c r="E71" s="100"/>
      <c r="F71" s="100"/>
      <c r="G71" s="100"/>
      <c r="H71" s="100"/>
      <c r="I71" s="100"/>
      <c r="J71" s="101"/>
      <c r="K71" s="100"/>
      <c r="L71" s="100"/>
      <c r="M71" s="102" t="str">
        <f>IFERROR(VLOOKUP(G71,Reference!$I$2:$J$175,2,FALSE()),"Operations")</f>
        <v>Operations</v>
      </c>
    </row>
    <row r="72" spans="1:13" ht="15" customHeight="1" x14ac:dyDescent="0.25">
      <c r="A72" s="103"/>
      <c r="B72" s="104"/>
      <c r="C72" s="104"/>
      <c r="D72" s="103">
        <f>IF(OR(B72="",C72=""),"",IF(DATEDIF(C72,B72,"y")&gt;=1,DATEDIF(C72,B72,"y")&amp;IF(DATEDIF(C72,B72,"y")=1," year "," years ")&amp;DATEDIF(C72,B72,"ym")&amp;IF(DATEDIF(C72,B72,"ym")=1," month"," months"),IF(DATEDIF(C72,B72,"m")&gt;=1,DATEDIF(C72,B72,"m")&amp;IF(DATEDIF(C72,B72,"m")=1," month"," months"),DATEDIF(C72,B72,"d")&amp;IF(DATEDIF(C72,B72,"d")=1," day"," days"))))</f>
      </c>
      <c r="E72" s="103"/>
      <c r="F72" s="103"/>
      <c r="G72" s="103"/>
      <c r="H72" s="103"/>
      <c r="I72" s="103"/>
      <c r="J72" s="104"/>
      <c r="K72" s="103"/>
      <c r="L72" s="103"/>
      <c r="M72" s="105" t="str">
        <f>IFERROR(VLOOKUP(G72,Reference!$I$2:$J$175,2,FALSE()),"Operations")</f>
        <v>Operations</v>
      </c>
    </row>
    <row r="73" spans="1:13" ht="15" customHeight="1" x14ac:dyDescent="0.25">
      <c r="A73" s="106" t="s">
        <v>163</v>
      </c>
      <c r="B73" s="107">
        <f>COUNTA(A43:A72)</f>
        <v>11</v>
      </c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</row>
    <row r="74" spans="1:13" ht="6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1:13" ht="21.75" customHeight="1" x14ac:dyDescent="0.25">
      <c r="A75" s="163" t="s">
        <v>678</v>
      </c>
      <c r="B75" s="163"/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</row>
    <row r="76" spans="1:13" ht="19.5" customHeight="1" x14ac:dyDescent="0.25">
      <c r="A76" s="64" t="s">
        <v>151</v>
      </c>
      <c r="B76" s="64" t="s">
        <v>152</v>
      </c>
      <c r="C76" s="64" t="s">
        <v>153</v>
      </c>
      <c r="D76" s="64" t="s">
        <v>154</v>
      </c>
      <c r="E76" s="64" t="s">
        <v>155</v>
      </c>
      <c r="F76" s="64" t="s">
        <v>156</v>
      </c>
      <c r="G76" s="64" t="s">
        <v>157</v>
      </c>
      <c r="H76" s="64" t="s">
        <v>158</v>
      </c>
      <c r="I76" s="64" t="s">
        <v>159</v>
      </c>
      <c r="J76" s="64" t="s">
        <v>160</v>
      </c>
      <c r="K76" s="64" t="s">
        <v>134</v>
      </c>
      <c r="L76" s="64" t="s">
        <v>161</v>
      </c>
      <c r="M76" s="64" t="s">
        <v>162</v>
      </c>
    </row>
    <row r="77" spans="1:13" ht="15" customHeight="1" x14ac:dyDescent="0.25">
      <c r="A77" s="77" t="s">
        <v>679</v>
      </c>
      <c r="B77" s="111">
        <v>45355</v>
      </c>
      <c r="C77" s="77"/>
      <c r="D77" s="77" t="s">
        <v>680</v>
      </c>
      <c r="E77" s="77" t="s">
        <v>184</v>
      </c>
      <c r="F77" s="77" t="s">
        <v>191</v>
      </c>
      <c r="G77" s="77" t="s">
        <v>681</v>
      </c>
      <c r="H77" s="77" t="s">
        <v>56</v>
      </c>
      <c r="I77" s="77" t="s">
        <v>439</v>
      </c>
      <c r="J77" s="77"/>
      <c r="K77" s="77" t="s">
        <v>70</v>
      </c>
      <c r="L77" s="77"/>
      <c r="M77" s="102" t="str">
        <f>IFERROR(VLOOKUP(G77,Reference!$I$2:$J$175,2,FALSE()),"Operations")</f>
        <v>Operations</v>
      </c>
    </row>
    <row r="78" spans="1:13" ht="15" customHeight="1" x14ac:dyDescent="0.25">
      <c r="A78" s="80" t="s">
        <v>682</v>
      </c>
      <c r="B78" s="112">
        <v>45355</v>
      </c>
      <c r="C78" s="80"/>
      <c r="D78" s="80" t="s">
        <v>597</v>
      </c>
      <c r="E78" s="80" t="s">
        <v>179</v>
      </c>
      <c r="F78" s="80" t="s">
        <v>191</v>
      </c>
      <c r="G78" s="80" t="s">
        <v>681</v>
      </c>
      <c r="H78" s="80" t="s">
        <v>56</v>
      </c>
      <c r="I78" s="80" t="s">
        <v>377</v>
      </c>
      <c r="J78" s="80"/>
      <c r="K78" s="80" t="s">
        <v>71</v>
      </c>
      <c r="L78" s="80"/>
      <c r="M78" s="105" t="str">
        <f>IFERROR(VLOOKUP(G78,Reference!$I$2:$J$175,2,FALSE()),"Operations")</f>
        <v>Operations</v>
      </c>
    </row>
    <row r="79" spans="1:13" ht="15" customHeight="1" x14ac:dyDescent="0.25">
      <c r="A79" s="77" t="s">
        <v>683</v>
      </c>
      <c r="B79" s="111">
        <v>45355</v>
      </c>
      <c r="C79" s="77"/>
      <c r="D79" s="77" t="s">
        <v>677</v>
      </c>
      <c r="E79" s="77" t="s">
        <v>179</v>
      </c>
      <c r="F79" s="77" t="s">
        <v>191</v>
      </c>
      <c r="G79" s="77" t="s">
        <v>69</v>
      </c>
      <c r="H79" s="77" t="s">
        <v>69</v>
      </c>
      <c r="I79" s="77" t="s">
        <v>617</v>
      </c>
      <c r="J79" s="77"/>
      <c r="K79" s="77" t="s">
        <v>66</v>
      </c>
      <c r="L79" s="77"/>
      <c r="M79" s="102" t="str">
        <f>IFERROR(VLOOKUP(G79,Reference!$I$2:$J$175,2,FALSE()),"Operations")</f>
        <v>Operations</v>
      </c>
    </row>
    <row r="80" spans="1:13" ht="15" customHeight="1" x14ac:dyDescent="0.25">
      <c r="A80" s="80" t="s">
        <v>260</v>
      </c>
      <c r="B80" s="112">
        <v>45354</v>
      </c>
      <c r="C80" s="80"/>
      <c r="D80" s="80" t="s">
        <v>342</v>
      </c>
      <c r="E80" s="80" t="s">
        <v>179</v>
      </c>
      <c r="F80" s="80" t="s">
        <v>191</v>
      </c>
      <c r="G80" s="80" t="s">
        <v>684</v>
      </c>
      <c r="H80" s="80" t="s">
        <v>77</v>
      </c>
      <c r="I80" s="80" t="s">
        <v>617</v>
      </c>
      <c r="J80" s="80"/>
      <c r="K80" s="80" t="s">
        <v>66</v>
      </c>
      <c r="L80" s="80"/>
      <c r="M80" s="105" t="str">
        <f>IFERROR(VLOOKUP(G80,Reference!$I$2:$J$175,2,FALSE()),"Operations")</f>
        <v>Operations</v>
      </c>
    </row>
    <row r="81" spans="1:13" ht="15" customHeight="1" x14ac:dyDescent="0.25">
      <c r="A81" s="77" t="s">
        <v>685</v>
      </c>
      <c r="B81" s="111">
        <v>45358</v>
      </c>
      <c r="C81" s="77"/>
      <c r="D81" s="77" t="s">
        <v>323</v>
      </c>
      <c r="E81" s="77" t="s">
        <v>179</v>
      </c>
      <c r="F81" s="77" t="s">
        <v>191</v>
      </c>
      <c r="G81" s="77" t="s">
        <v>686</v>
      </c>
      <c r="H81" s="77" t="s">
        <v>58</v>
      </c>
      <c r="I81" s="77" t="s">
        <v>235</v>
      </c>
      <c r="J81" s="77"/>
      <c r="K81" s="77" t="s">
        <v>66</v>
      </c>
      <c r="L81" s="77"/>
      <c r="M81" s="102" t="str">
        <f>IFERROR(VLOOKUP(G81,Reference!$I$2:$J$175,2,FALSE()),"Operations")</f>
        <v>Operations</v>
      </c>
    </row>
    <row r="82" spans="1:13" ht="15" customHeight="1" x14ac:dyDescent="0.25">
      <c r="A82" s="80" t="s">
        <v>687</v>
      </c>
      <c r="B82" s="112">
        <v>45359</v>
      </c>
      <c r="C82" s="80"/>
      <c r="D82" s="80" t="s">
        <v>373</v>
      </c>
      <c r="E82" s="80" t="s">
        <v>179</v>
      </c>
      <c r="F82" s="80" t="s">
        <v>180</v>
      </c>
      <c r="G82" s="80" t="s">
        <v>688</v>
      </c>
      <c r="H82" s="80" t="s">
        <v>64</v>
      </c>
      <c r="I82" s="80" t="s">
        <v>657</v>
      </c>
      <c r="J82" s="80"/>
      <c r="K82" s="80" t="s">
        <v>66</v>
      </c>
      <c r="L82" s="80"/>
      <c r="M82" s="105" t="str">
        <f>IFERROR(VLOOKUP(G82,Reference!$I$2:$J$175,2,FALSE()),"Operations")</f>
        <v>Operations</v>
      </c>
    </row>
    <row r="83" spans="1:13" ht="15" customHeight="1" x14ac:dyDescent="0.25">
      <c r="A83" s="77" t="s">
        <v>689</v>
      </c>
      <c r="B83" s="111">
        <v>45359</v>
      </c>
      <c r="C83" s="77"/>
      <c r="D83" s="77" t="s">
        <v>690</v>
      </c>
      <c r="E83" s="77" t="s">
        <v>179</v>
      </c>
      <c r="F83" s="77" t="s">
        <v>191</v>
      </c>
      <c r="G83" s="77" t="s">
        <v>691</v>
      </c>
      <c r="H83" s="77" t="s">
        <v>70</v>
      </c>
      <c r="I83" s="77" t="s">
        <v>657</v>
      </c>
      <c r="J83" s="77"/>
      <c r="K83" s="77" t="s">
        <v>66</v>
      </c>
      <c r="L83" s="77"/>
      <c r="M83" s="102" t="str">
        <f>IFERROR(VLOOKUP(G83,Reference!$I$2:$J$175,2,FALSE()),"Operations")</f>
        <v>Operations</v>
      </c>
    </row>
    <row r="84" spans="1:13" ht="15" customHeight="1" x14ac:dyDescent="0.25">
      <c r="A84" s="80" t="s">
        <v>692</v>
      </c>
      <c r="B84" s="112">
        <v>45363</v>
      </c>
      <c r="C84" s="80"/>
      <c r="D84" s="80" t="s">
        <v>597</v>
      </c>
      <c r="E84" s="80" t="s">
        <v>179</v>
      </c>
      <c r="F84" s="80" t="s">
        <v>191</v>
      </c>
      <c r="G84" s="80" t="s">
        <v>693</v>
      </c>
      <c r="H84" s="80" t="s">
        <v>56</v>
      </c>
      <c r="I84" s="80" t="s">
        <v>661</v>
      </c>
      <c r="J84" s="80"/>
      <c r="K84" s="80" t="s">
        <v>84</v>
      </c>
      <c r="L84" s="80"/>
      <c r="M84" s="105" t="str">
        <f>IFERROR(VLOOKUP(G84,Reference!$I$2:$J$175,2,FALSE()),"Operations")</f>
        <v>Operations</v>
      </c>
    </row>
    <row r="85" spans="1:13" ht="15" customHeight="1" x14ac:dyDescent="0.25">
      <c r="A85" s="77" t="s">
        <v>694</v>
      </c>
      <c r="B85" s="111">
        <v>45366</v>
      </c>
      <c r="C85" s="77"/>
      <c r="D85" s="77" t="s">
        <v>695</v>
      </c>
      <c r="E85" s="77" t="s">
        <v>179</v>
      </c>
      <c r="F85" s="77" t="s">
        <v>191</v>
      </c>
      <c r="G85" s="77" t="s">
        <v>696</v>
      </c>
      <c r="H85" s="77" t="s">
        <v>69</v>
      </c>
      <c r="I85" s="77" t="s">
        <v>377</v>
      </c>
      <c r="J85" s="77"/>
      <c r="K85" s="77" t="s">
        <v>66</v>
      </c>
      <c r="L85" s="77"/>
      <c r="M85" s="102" t="str">
        <f>IFERROR(VLOOKUP(G85,Reference!$I$2:$J$175,2,FALSE()),"Operations")</f>
        <v>Operations</v>
      </c>
    </row>
    <row r="86" spans="1:13" ht="15" customHeight="1" x14ac:dyDescent="0.25">
      <c r="A86" s="80" t="s">
        <v>697</v>
      </c>
      <c r="B86" s="112">
        <v>45372</v>
      </c>
      <c r="C86" s="80"/>
      <c r="D86" s="80" t="s">
        <v>698</v>
      </c>
      <c r="E86" s="80" t="s">
        <v>179</v>
      </c>
      <c r="F86" s="80" t="s">
        <v>180</v>
      </c>
      <c r="G86" s="80" t="s">
        <v>688</v>
      </c>
      <c r="H86" s="80" t="s">
        <v>64</v>
      </c>
      <c r="I86" s="80" t="s">
        <v>682</v>
      </c>
      <c r="J86" s="80"/>
      <c r="K86" s="80" t="s">
        <v>80</v>
      </c>
      <c r="L86" s="80"/>
      <c r="M86" s="105" t="str">
        <f>IFERROR(VLOOKUP(G86,Reference!$I$2:$J$175,2,FALSE()),"Operations")</f>
        <v>Operations</v>
      </c>
    </row>
    <row r="87" spans="1:13" ht="15" customHeight="1" x14ac:dyDescent="0.25">
      <c r="A87" s="77" t="s">
        <v>699</v>
      </c>
      <c r="B87" s="111">
        <v>45373</v>
      </c>
      <c r="C87" s="77"/>
      <c r="D87" s="77" t="s">
        <v>597</v>
      </c>
      <c r="E87" s="77" t="s">
        <v>184</v>
      </c>
      <c r="F87" s="77" t="s">
        <v>191</v>
      </c>
      <c r="G87" s="77" t="s">
        <v>700</v>
      </c>
      <c r="H87" s="77" t="s">
        <v>58</v>
      </c>
      <c r="I87" s="77" t="s">
        <v>278</v>
      </c>
      <c r="J87" s="77"/>
      <c r="K87" s="77" t="s">
        <v>70</v>
      </c>
      <c r="L87" s="77"/>
      <c r="M87" s="102" t="str">
        <f>IFERROR(VLOOKUP(G87,Reference!$I$2:$J$175,2,FALSE()),"Operations")</f>
        <v>Operations</v>
      </c>
    </row>
    <row r="88" spans="1:13" ht="15" customHeight="1" x14ac:dyDescent="0.25">
      <c r="A88" s="80" t="s">
        <v>701</v>
      </c>
      <c r="B88" s="112">
        <v>45376</v>
      </c>
      <c r="C88" s="80"/>
      <c r="D88" s="80" t="s">
        <v>363</v>
      </c>
      <c r="E88" s="80" t="s">
        <v>179</v>
      </c>
      <c r="F88" s="80" t="s">
        <v>191</v>
      </c>
      <c r="G88" s="80" t="s">
        <v>681</v>
      </c>
      <c r="H88" s="80" t="s">
        <v>56</v>
      </c>
      <c r="I88" s="80" t="s">
        <v>182</v>
      </c>
      <c r="J88" s="80"/>
      <c r="K88" s="80" t="s">
        <v>66</v>
      </c>
      <c r="L88" s="80"/>
      <c r="M88" s="105" t="str">
        <f>IFERROR(VLOOKUP(G88,Reference!$I$2:$J$175,2,FALSE()),"Operations")</f>
        <v>Operations</v>
      </c>
    </row>
    <row r="89" spans="1:13" ht="15" customHeight="1" x14ac:dyDescent="0.25">
      <c r="A89" s="77" t="s">
        <v>702</v>
      </c>
      <c r="B89" s="111">
        <v>45376</v>
      </c>
      <c r="C89" s="77"/>
      <c r="D89" s="77" t="s">
        <v>342</v>
      </c>
      <c r="E89" s="77" t="s">
        <v>184</v>
      </c>
      <c r="F89" s="77" t="s">
        <v>191</v>
      </c>
      <c r="G89" s="77" t="s">
        <v>703</v>
      </c>
      <c r="H89" s="77" t="s">
        <v>64</v>
      </c>
      <c r="I89" s="77" t="s">
        <v>331</v>
      </c>
      <c r="J89" s="77"/>
      <c r="K89" s="77" t="s">
        <v>70</v>
      </c>
      <c r="L89" s="77"/>
      <c r="M89" s="102" t="str">
        <f>IFERROR(VLOOKUP(G89,Reference!$I$2:$J$175,2,FALSE()),"Operations")</f>
        <v>Operations</v>
      </c>
    </row>
    <row r="90" spans="1:13" ht="15" customHeight="1" x14ac:dyDescent="0.25">
      <c r="A90" s="80" t="s">
        <v>704</v>
      </c>
      <c r="B90" s="112">
        <v>45382</v>
      </c>
      <c r="C90" s="80"/>
      <c r="D90" s="80" t="s">
        <v>316</v>
      </c>
      <c r="E90" s="80" t="s">
        <v>179</v>
      </c>
      <c r="F90" s="80" t="s">
        <v>191</v>
      </c>
      <c r="G90" s="80" t="s">
        <v>69</v>
      </c>
      <c r="H90" s="80" t="s">
        <v>69</v>
      </c>
      <c r="I90" s="80" t="s">
        <v>182</v>
      </c>
      <c r="J90" s="80"/>
      <c r="K90" s="80" t="s">
        <v>66</v>
      </c>
      <c r="L90" s="80"/>
      <c r="M90" s="105" t="str">
        <f>IFERROR(VLOOKUP(G90,Reference!$I$2:$J$175,2,FALSE()),"Operations")</f>
        <v>Operations</v>
      </c>
    </row>
    <row r="91" spans="1:13" ht="15" customHeight="1" x14ac:dyDescent="0.25">
      <c r="A91" s="100"/>
      <c r="B91" s="101"/>
      <c r="C91" s="101"/>
      <c r="D91" s="100">
        <f>IF(OR(B91="",C91=""),"",IF(DATEDIF(C91,B91,"y")&gt;=1,DATEDIF(C91,B91,"y")&amp;IF(DATEDIF(C91,B91,"y")=1," year "," years ")&amp;DATEDIF(C91,B91,"ym")&amp;IF(DATEDIF(C91,B91,"ym")=1," month"," months"),IF(DATEDIF(C91,B91,"m")&gt;=1,DATEDIF(C91,B91,"m")&amp;IF(DATEDIF(C91,B91,"m")=1," month"," months"),DATEDIF(C91,B91,"d")&amp;IF(DATEDIF(C91,B91,"d")=1," day"," days"))))</f>
      </c>
      <c r="E91" s="100"/>
      <c r="F91" s="100"/>
      <c r="G91" s="100"/>
      <c r="H91" s="100"/>
      <c r="I91" s="100"/>
      <c r="J91" s="101"/>
      <c r="K91" s="100"/>
      <c r="L91" s="100"/>
      <c r="M91" s="102" t="str">
        <f>IFERROR(VLOOKUP(G91,Reference!$I$2:$J$175,2,FALSE()),"Operations")</f>
        <v>Operations</v>
      </c>
    </row>
    <row r="92" spans="1:13" ht="15" customHeight="1" x14ac:dyDescent="0.25">
      <c r="A92" s="103"/>
      <c r="B92" s="104"/>
      <c r="C92" s="104"/>
      <c r="D92" s="103">
        <f>IF(OR(B92="",C92=""),"",IF(DATEDIF(C92,B92,"y")&gt;=1,DATEDIF(C92,B92,"y")&amp;IF(DATEDIF(C92,B92,"y")=1," year "," years ")&amp;DATEDIF(C92,B92,"ym")&amp;IF(DATEDIF(C92,B92,"ym")=1," month"," months"),IF(DATEDIF(C92,B92,"m")&gt;=1,DATEDIF(C92,B92,"m")&amp;IF(DATEDIF(C92,B92,"m")=1," month"," months"),DATEDIF(C92,B92,"d")&amp;IF(DATEDIF(C92,B92,"d")=1," day"," days"))))</f>
      </c>
      <c r="E92" s="103"/>
      <c r="F92" s="103"/>
      <c r="G92" s="103"/>
      <c r="H92" s="103"/>
      <c r="I92" s="103"/>
      <c r="J92" s="104"/>
      <c r="K92" s="103"/>
      <c r="L92" s="103"/>
      <c r="M92" s="105" t="str">
        <f>IFERROR(VLOOKUP(G92,Reference!$I$2:$J$175,2,FALSE()),"Operations")</f>
        <v>Operations</v>
      </c>
    </row>
    <row r="93" spans="1:13" ht="15" customHeight="1" x14ac:dyDescent="0.25">
      <c r="A93" s="100"/>
      <c r="B93" s="101"/>
      <c r="C93" s="101"/>
      <c r="D93" s="100">
        <f>IF(OR(B93="",C93=""),"",IF(DATEDIF(C93,B93,"y")&gt;=1,DATEDIF(C93,B93,"y")&amp;IF(DATEDIF(C93,B93,"y")=1," year "," years ")&amp;DATEDIF(C93,B93,"ym")&amp;IF(DATEDIF(C93,B93,"ym")=1," month"," months"),IF(DATEDIF(C93,B93,"m")&gt;=1,DATEDIF(C93,B93,"m")&amp;IF(DATEDIF(C93,B93,"m")=1," month"," months"),DATEDIF(C93,B93,"d")&amp;IF(DATEDIF(C93,B93,"d")=1," day"," days"))))</f>
      </c>
      <c r="E93" s="100"/>
      <c r="F93" s="100"/>
      <c r="G93" s="100"/>
      <c r="H93" s="100"/>
      <c r="I93" s="100"/>
      <c r="J93" s="101"/>
      <c r="K93" s="100"/>
      <c r="L93" s="100"/>
      <c r="M93" s="102" t="str">
        <f>IFERROR(VLOOKUP(G93,Reference!$I$2:$J$175,2,FALSE()),"Operations")</f>
        <v>Operations</v>
      </c>
    </row>
    <row r="94" spans="1:13" ht="15" customHeight="1" x14ac:dyDescent="0.25">
      <c r="A94" s="103"/>
      <c r="B94" s="104"/>
      <c r="C94" s="104"/>
      <c r="D94" s="103">
        <f>IF(OR(B94="",C94=""),"",IF(DATEDIF(C94,B94,"y")&gt;=1,DATEDIF(C94,B94,"y")&amp;IF(DATEDIF(C94,B94,"y")=1," year "," years ")&amp;DATEDIF(C94,B94,"ym")&amp;IF(DATEDIF(C94,B94,"ym")=1," month"," months"),IF(DATEDIF(C94,B94,"m")&gt;=1,DATEDIF(C94,B94,"m")&amp;IF(DATEDIF(C94,B94,"m")=1," month"," months"),DATEDIF(C94,B94,"d")&amp;IF(DATEDIF(C94,B94,"d")=1," day"," days"))))</f>
      </c>
      <c r="E94" s="103"/>
      <c r="F94" s="103"/>
      <c r="G94" s="103"/>
      <c r="H94" s="103"/>
      <c r="I94" s="103"/>
      <c r="J94" s="104"/>
      <c r="K94" s="103"/>
      <c r="L94" s="103"/>
      <c r="M94" s="105" t="str">
        <f>IFERROR(VLOOKUP(G94,Reference!$I$2:$J$175,2,FALSE()),"Operations")</f>
        <v>Operations</v>
      </c>
    </row>
    <row r="95" spans="1:13" ht="15" customHeight="1" x14ac:dyDescent="0.25">
      <c r="A95" s="100"/>
      <c r="B95" s="101"/>
      <c r="C95" s="101"/>
      <c r="D95" s="100">
        <f>IF(OR(B95="",C95=""),"",IF(DATEDIF(C95,B95,"y")&gt;=1,DATEDIF(C95,B95,"y")&amp;IF(DATEDIF(C95,B95,"y")=1," year "," years ")&amp;DATEDIF(C95,B95,"ym")&amp;IF(DATEDIF(C95,B95,"ym")=1," month"," months"),IF(DATEDIF(C95,B95,"m")&gt;=1,DATEDIF(C95,B95,"m")&amp;IF(DATEDIF(C95,B95,"m")=1," month"," months"),DATEDIF(C95,B95,"d")&amp;IF(DATEDIF(C95,B95,"d")=1," day"," days"))))</f>
      </c>
      <c r="E95" s="100"/>
      <c r="F95" s="100"/>
      <c r="G95" s="100"/>
      <c r="H95" s="100"/>
      <c r="I95" s="100"/>
      <c r="J95" s="101"/>
      <c r="K95" s="100"/>
      <c r="L95" s="100"/>
      <c r="M95" s="102" t="str">
        <f>IFERROR(VLOOKUP(G95,Reference!$I$2:$J$175,2,FALSE()),"Operations")</f>
        <v>Operations</v>
      </c>
    </row>
    <row r="96" spans="1:13" ht="15" customHeight="1" x14ac:dyDescent="0.25">
      <c r="A96" s="103"/>
      <c r="B96" s="104"/>
      <c r="C96" s="104"/>
      <c r="D96" s="103">
        <f>IF(OR(B96="",C96=""),"",IF(DATEDIF(C96,B96,"y")&gt;=1,DATEDIF(C96,B96,"y")&amp;IF(DATEDIF(C96,B96,"y")=1," year "," years ")&amp;DATEDIF(C96,B96,"ym")&amp;IF(DATEDIF(C96,B96,"ym")=1," month"," months"),IF(DATEDIF(C96,B96,"m")&gt;=1,DATEDIF(C96,B96,"m")&amp;IF(DATEDIF(C96,B96,"m")=1," month"," months"),DATEDIF(C96,B96,"d")&amp;IF(DATEDIF(C96,B96,"d")=1," day"," days"))))</f>
      </c>
      <c r="E96" s="103"/>
      <c r="F96" s="103"/>
      <c r="G96" s="103"/>
      <c r="H96" s="103"/>
      <c r="I96" s="103"/>
      <c r="J96" s="104"/>
      <c r="K96" s="103"/>
      <c r="L96" s="103"/>
      <c r="M96" s="105" t="str">
        <f>IFERROR(VLOOKUP(G96,Reference!$I$2:$J$175,2,FALSE()),"Operations")</f>
        <v>Operations</v>
      </c>
    </row>
    <row r="97" spans="1:13" ht="15" customHeight="1" x14ac:dyDescent="0.25">
      <c r="A97" s="100"/>
      <c r="B97" s="101"/>
      <c r="C97" s="101"/>
      <c r="D97" s="100">
        <f>IF(OR(B97="",C97=""),"",IF(DATEDIF(C97,B97,"y")&gt;=1,DATEDIF(C97,B97,"y")&amp;IF(DATEDIF(C97,B97,"y")=1," year "," years ")&amp;DATEDIF(C97,B97,"ym")&amp;IF(DATEDIF(C97,B97,"ym")=1," month"," months"),IF(DATEDIF(C97,B97,"m")&gt;=1,DATEDIF(C97,B97,"m")&amp;IF(DATEDIF(C97,B97,"m")=1," month"," months"),DATEDIF(C97,B97,"d")&amp;IF(DATEDIF(C97,B97,"d")=1," day"," days"))))</f>
      </c>
      <c r="E97" s="100"/>
      <c r="F97" s="100"/>
      <c r="G97" s="100"/>
      <c r="H97" s="100"/>
      <c r="I97" s="100"/>
      <c r="J97" s="101"/>
      <c r="K97" s="100"/>
      <c r="L97" s="100"/>
      <c r="M97" s="102" t="str">
        <f>IFERROR(VLOOKUP(G97,Reference!$I$2:$J$175,2,FALSE()),"Operations")</f>
        <v>Operations</v>
      </c>
    </row>
    <row r="98" spans="1:13" ht="15" customHeight="1" x14ac:dyDescent="0.25">
      <c r="A98" s="103"/>
      <c r="B98" s="104"/>
      <c r="C98" s="104"/>
      <c r="D98" s="103">
        <f>IF(OR(B98="",C98=""),"",IF(DATEDIF(C98,B98,"y")&gt;=1,DATEDIF(C98,B98,"y")&amp;IF(DATEDIF(C98,B98,"y")=1," year "," years ")&amp;DATEDIF(C98,B98,"ym")&amp;IF(DATEDIF(C98,B98,"ym")=1," month"," months"),IF(DATEDIF(C98,B98,"m")&gt;=1,DATEDIF(C98,B98,"m")&amp;IF(DATEDIF(C98,B98,"m")=1," month"," months"),DATEDIF(C98,B98,"d")&amp;IF(DATEDIF(C98,B98,"d")=1," day"," days"))))</f>
      </c>
      <c r="E98" s="103"/>
      <c r="F98" s="103"/>
      <c r="G98" s="103"/>
      <c r="H98" s="103"/>
      <c r="I98" s="103"/>
      <c r="J98" s="104"/>
      <c r="K98" s="103"/>
      <c r="L98" s="103"/>
      <c r="M98" s="105" t="str">
        <f>IFERROR(VLOOKUP(G98,Reference!$I$2:$J$175,2,FALSE()),"Operations")</f>
        <v>Operations</v>
      </c>
    </row>
    <row r="99" spans="1:13" ht="15" customHeight="1" x14ac:dyDescent="0.25">
      <c r="A99" s="100"/>
      <c r="B99" s="101"/>
      <c r="C99" s="101"/>
      <c r="D99" s="100">
        <f>IF(OR(B99="",C99=""),"",IF(DATEDIF(C99,B99,"y")&gt;=1,DATEDIF(C99,B99,"y")&amp;IF(DATEDIF(C99,B99,"y")=1," year "," years ")&amp;DATEDIF(C99,B99,"ym")&amp;IF(DATEDIF(C99,B99,"ym")=1," month"," months"),IF(DATEDIF(C99,B99,"m")&gt;=1,DATEDIF(C99,B99,"m")&amp;IF(DATEDIF(C99,B99,"m")=1," month"," months"),DATEDIF(C99,B99,"d")&amp;IF(DATEDIF(C99,B99,"d")=1," day"," days"))))</f>
      </c>
      <c r="E99" s="100"/>
      <c r="F99" s="100"/>
      <c r="G99" s="100"/>
      <c r="H99" s="100"/>
      <c r="I99" s="100"/>
      <c r="J99" s="101"/>
      <c r="K99" s="100"/>
      <c r="L99" s="100"/>
      <c r="M99" s="102" t="str">
        <f>IFERROR(VLOOKUP(G99,Reference!$I$2:$J$175,2,FALSE()),"Operations")</f>
        <v>Operations</v>
      </c>
    </row>
    <row r="100" spans="1:13" ht="15" customHeight="1" x14ac:dyDescent="0.25">
      <c r="A100" s="103"/>
      <c r="B100" s="104"/>
      <c r="C100" s="104"/>
      <c r="D100" s="103">
        <f>IF(OR(B100="",C100=""),"",IF(DATEDIF(C100,B100,"y")&gt;=1,DATEDIF(C100,B100,"y")&amp;IF(DATEDIF(C100,B100,"y")=1," year "," years ")&amp;DATEDIF(C100,B100,"ym")&amp;IF(DATEDIF(C100,B100,"ym")=1," month"," months"),IF(DATEDIF(C100,B100,"m")&gt;=1,DATEDIF(C100,B100,"m")&amp;IF(DATEDIF(C100,B100,"m")=1," month"," months"),DATEDIF(C100,B100,"d")&amp;IF(DATEDIF(C100,B100,"d")=1," day"," days"))))</f>
      </c>
      <c r="E100" s="103"/>
      <c r="F100" s="103"/>
      <c r="G100" s="103"/>
      <c r="H100" s="103"/>
      <c r="I100" s="103"/>
      <c r="J100" s="104"/>
      <c r="K100" s="103"/>
      <c r="L100" s="103"/>
      <c r="M100" s="105" t="str">
        <f>IFERROR(VLOOKUP(G100,Reference!$I$2:$J$175,2,FALSE()),"Operations")</f>
        <v>Operations</v>
      </c>
    </row>
    <row r="101" spans="1:13" ht="15" customHeight="1" x14ac:dyDescent="0.25">
      <c r="A101" s="100"/>
      <c r="B101" s="101"/>
      <c r="C101" s="101"/>
      <c r="D101" s="100">
        <f>IF(OR(B101="",C101=""),"",IF(DATEDIF(C101,B101,"y")&gt;=1,DATEDIF(C101,B101,"y")&amp;IF(DATEDIF(C101,B101,"y")=1," year "," years ")&amp;DATEDIF(C101,B101,"ym")&amp;IF(DATEDIF(C101,B101,"ym")=1," month"," months"),IF(DATEDIF(C101,B101,"m")&gt;=1,DATEDIF(C101,B101,"m")&amp;IF(DATEDIF(C101,B101,"m")=1," month"," months"),DATEDIF(C101,B101,"d")&amp;IF(DATEDIF(C101,B101,"d")=1," day"," days"))))</f>
      </c>
      <c r="E101" s="100"/>
      <c r="F101" s="100"/>
      <c r="G101" s="100"/>
      <c r="H101" s="100"/>
      <c r="I101" s="100"/>
      <c r="J101" s="101"/>
      <c r="K101" s="100"/>
      <c r="L101" s="100"/>
      <c r="M101" s="102" t="str">
        <f>IFERROR(VLOOKUP(G101,Reference!$I$2:$J$175,2,FALSE()),"Operations")</f>
        <v>Operations</v>
      </c>
    </row>
    <row r="102" spans="1:13" ht="15" customHeight="1" x14ac:dyDescent="0.25">
      <c r="A102" s="103"/>
      <c r="B102" s="104"/>
      <c r="C102" s="104"/>
      <c r="D102" s="103">
        <f>IF(OR(B102="",C102=""),"",IF(DATEDIF(C102,B102,"y")&gt;=1,DATEDIF(C102,B102,"y")&amp;IF(DATEDIF(C102,B102,"y")=1," year "," years ")&amp;DATEDIF(C102,B102,"ym")&amp;IF(DATEDIF(C102,B102,"ym")=1," month"," months"),IF(DATEDIF(C102,B102,"m")&gt;=1,DATEDIF(C102,B102,"m")&amp;IF(DATEDIF(C102,B102,"m")=1," month"," months"),DATEDIF(C102,B102,"d")&amp;IF(DATEDIF(C102,B102,"d")=1," day"," days"))))</f>
      </c>
      <c r="E102" s="103"/>
      <c r="F102" s="103"/>
      <c r="G102" s="103"/>
      <c r="H102" s="103"/>
      <c r="I102" s="103"/>
      <c r="J102" s="104"/>
      <c r="K102" s="103"/>
      <c r="L102" s="103"/>
      <c r="M102" s="105" t="str">
        <f>IFERROR(VLOOKUP(G102,Reference!$I$2:$J$175,2,FALSE()),"Operations")</f>
        <v>Operations</v>
      </c>
    </row>
    <row r="103" spans="1:13" ht="15" customHeight="1" x14ac:dyDescent="0.25">
      <c r="A103" s="100"/>
      <c r="B103" s="101"/>
      <c r="C103" s="101"/>
      <c r="D103" s="100">
        <f>IF(OR(B103="",C103=""),"",IF(DATEDIF(C103,B103,"y")&gt;=1,DATEDIF(C103,B103,"y")&amp;IF(DATEDIF(C103,B103,"y")=1," year "," years ")&amp;DATEDIF(C103,B103,"ym")&amp;IF(DATEDIF(C103,B103,"ym")=1," month"," months"),IF(DATEDIF(C103,B103,"m")&gt;=1,DATEDIF(C103,B103,"m")&amp;IF(DATEDIF(C103,B103,"m")=1," month"," months"),DATEDIF(C103,B103,"d")&amp;IF(DATEDIF(C103,B103,"d")=1," day"," days"))))</f>
      </c>
      <c r="E103" s="100"/>
      <c r="F103" s="100"/>
      <c r="G103" s="100"/>
      <c r="H103" s="100"/>
      <c r="I103" s="100"/>
      <c r="J103" s="101"/>
      <c r="K103" s="100"/>
      <c r="L103" s="100"/>
      <c r="M103" s="102" t="str">
        <f>IFERROR(VLOOKUP(G103,Reference!$I$2:$J$175,2,FALSE()),"Operations")</f>
        <v>Operations</v>
      </c>
    </row>
    <row r="104" spans="1:13" ht="15" customHeight="1" x14ac:dyDescent="0.25">
      <c r="A104" s="103"/>
      <c r="B104" s="104"/>
      <c r="C104" s="104"/>
      <c r="D104" s="103">
        <f>IF(OR(B104="",C104=""),"",IF(DATEDIF(C104,B104,"y")&gt;=1,DATEDIF(C104,B104,"y")&amp;IF(DATEDIF(C104,B104,"y")=1," year "," years ")&amp;DATEDIF(C104,B104,"ym")&amp;IF(DATEDIF(C104,B104,"ym")=1," month"," months"),IF(DATEDIF(C104,B104,"m")&gt;=1,DATEDIF(C104,B104,"m")&amp;IF(DATEDIF(C104,B104,"m")=1," month"," months"),DATEDIF(C104,B104,"d")&amp;IF(DATEDIF(C104,B104,"d")=1," day"," days"))))</f>
      </c>
      <c r="E104" s="103"/>
      <c r="F104" s="103"/>
      <c r="G104" s="103"/>
      <c r="H104" s="103"/>
      <c r="I104" s="103"/>
      <c r="J104" s="104"/>
      <c r="K104" s="103"/>
      <c r="L104" s="103"/>
      <c r="M104" s="105" t="str">
        <f>IFERROR(VLOOKUP(G104,Reference!$I$2:$J$175,2,FALSE()),"Operations")</f>
        <v>Operations</v>
      </c>
    </row>
    <row r="105" spans="1:13" ht="15" customHeight="1" x14ac:dyDescent="0.25">
      <c r="A105" s="100"/>
      <c r="B105" s="101"/>
      <c r="C105" s="101"/>
      <c r="D105" s="100">
        <f>IF(OR(B105="",C105=""),"",IF(DATEDIF(C105,B105,"y")&gt;=1,DATEDIF(C105,B105,"y")&amp;IF(DATEDIF(C105,B105,"y")=1," year "," years ")&amp;DATEDIF(C105,B105,"ym")&amp;IF(DATEDIF(C105,B105,"ym")=1," month"," months"),IF(DATEDIF(C105,B105,"m")&gt;=1,DATEDIF(C105,B105,"m")&amp;IF(DATEDIF(C105,B105,"m")=1," month"," months"),DATEDIF(C105,B105,"d")&amp;IF(DATEDIF(C105,B105,"d")=1," day"," days"))))</f>
      </c>
      <c r="E105" s="100"/>
      <c r="F105" s="100"/>
      <c r="G105" s="100"/>
      <c r="H105" s="100"/>
      <c r="I105" s="100"/>
      <c r="J105" s="101"/>
      <c r="K105" s="100"/>
      <c r="L105" s="100"/>
      <c r="M105" s="102" t="str">
        <f>IFERROR(VLOOKUP(G105,Reference!$I$2:$J$175,2,FALSE()),"Operations")</f>
        <v>Operations</v>
      </c>
    </row>
    <row r="106" spans="1:13" ht="15" customHeight="1" x14ac:dyDescent="0.25">
      <c r="A106" s="103"/>
      <c r="B106" s="104"/>
      <c r="C106" s="104"/>
      <c r="D106" s="103">
        <f>IF(OR(B106="",C106=""),"",IF(DATEDIF(C106,B106,"y")&gt;=1,DATEDIF(C106,B106,"y")&amp;IF(DATEDIF(C106,B106,"y")=1," year "," years ")&amp;DATEDIF(C106,B106,"ym")&amp;IF(DATEDIF(C106,B106,"ym")=1," month"," months"),IF(DATEDIF(C106,B106,"m")&gt;=1,DATEDIF(C106,B106,"m")&amp;IF(DATEDIF(C106,B106,"m")=1," month"," months"),DATEDIF(C106,B106,"d")&amp;IF(DATEDIF(C106,B106,"d")=1," day"," days"))))</f>
      </c>
      <c r="E106" s="103"/>
      <c r="F106" s="103"/>
      <c r="G106" s="103"/>
      <c r="H106" s="103"/>
      <c r="I106" s="103"/>
      <c r="J106" s="104"/>
      <c r="K106" s="103"/>
      <c r="L106" s="103"/>
      <c r="M106" s="105" t="str">
        <f>IFERROR(VLOOKUP(G106,Reference!$I$2:$J$175,2,FALSE()),"Operations")</f>
        <v>Operations</v>
      </c>
    </row>
    <row r="107" spans="1:13" ht="15" customHeight="1" x14ac:dyDescent="0.25">
      <c r="A107" s="106" t="s">
        <v>163</v>
      </c>
      <c r="B107" s="107">
        <f>COUNTA(A77:A106)</f>
        <v>14</v>
      </c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</row>
    <row r="108" spans="1:13" ht="6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 spans="1:13" ht="21.75" customHeight="1" x14ac:dyDescent="0.25">
      <c r="A109" s="163" t="s">
        <v>705</v>
      </c>
      <c r="B109" s="163"/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</row>
    <row r="110" spans="1:13" ht="19.5" customHeight="1" x14ac:dyDescent="0.25">
      <c r="A110" s="64" t="s">
        <v>151</v>
      </c>
      <c r="B110" s="64" t="s">
        <v>152</v>
      </c>
      <c r="C110" s="64" t="s">
        <v>153</v>
      </c>
      <c r="D110" s="64" t="s">
        <v>154</v>
      </c>
      <c r="E110" s="64" t="s">
        <v>155</v>
      </c>
      <c r="F110" s="64" t="s">
        <v>156</v>
      </c>
      <c r="G110" s="64" t="s">
        <v>157</v>
      </c>
      <c r="H110" s="64" t="s">
        <v>158</v>
      </c>
      <c r="I110" s="64" t="s">
        <v>159</v>
      </c>
      <c r="J110" s="64" t="s">
        <v>160</v>
      </c>
      <c r="K110" s="64" t="s">
        <v>134</v>
      </c>
      <c r="L110" s="64" t="s">
        <v>161</v>
      </c>
      <c r="M110" s="64" t="s">
        <v>162</v>
      </c>
    </row>
    <row r="111" spans="1:13" ht="15" customHeight="1" x14ac:dyDescent="0.25">
      <c r="A111" s="77" t="s">
        <v>706</v>
      </c>
      <c r="B111" s="111">
        <v>45397</v>
      </c>
      <c r="C111" s="77"/>
      <c r="D111" s="77" t="s">
        <v>382</v>
      </c>
      <c r="E111" s="77" t="s">
        <v>184</v>
      </c>
      <c r="F111" s="77" t="s">
        <v>191</v>
      </c>
      <c r="G111" s="77" t="s">
        <v>76</v>
      </c>
      <c r="H111" s="77" t="s">
        <v>60</v>
      </c>
      <c r="I111" s="77" t="s">
        <v>404</v>
      </c>
      <c r="J111" s="77"/>
      <c r="K111" s="77" t="s">
        <v>76</v>
      </c>
      <c r="L111" s="77"/>
      <c r="M111" s="102" t="str">
        <f>IFERROR(VLOOKUP(G111,Reference!$I$2:$J$175,2,FALSE()),"Operations")</f>
        <v>Children Services</v>
      </c>
    </row>
    <row r="112" spans="1:13" ht="15" customHeight="1" x14ac:dyDescent="0.25">
      <c r="A112" s="80" t="s">
        <v>707</v>
      </c>
      <c r="B112" s="112">
        <v>45392</v>
      </c>
      <c r="C112" s="80"/>
      <c r="D112" s="80" t="s">
        <v>708</v>
      </c>
      <c r="E112" s="80" t="s">
        <v>184</v>
      </c>
      <c r="F112" s="80" t="s">
        <v>191</v>
      </c>
      <c r="G112" s="80" t="s">
        <v>426</v>
      </c>
      <c r="H112" s="80" t="s">
        <v>56</v>
      </c>
      <c r="I112" s="80" t="s">
        <v>377</v>
      </c>
      <c r="J112" s="80"/>
      <c r="K112" s="80" t="s">
        <v>66</v>
      </c>
      <c r="L112" s="80"/>
      <c r="M112" s="105" t="str">
        <f>IFERROR(VLOOKUP(G112,Reference!$I$2:$J$175,2,FALSE()),"Operations")</f>
        <v>Operations</v>
      </c>
    </row>
    <row r="113" spans="1:13" ht="15" customHeight="1" x14ac:dyDescent="0.25">
      <c r="A113" s="77" t="s">
        <v>709</v>
      </c>
      <c r="B113" s="111">
        <v>45394</v>
      </c>
      <c r="C113" s="77"/>
      <c r="D113" s="77" t="s">
        <v>302</v>
      </c>
      <c r="E113" s="77" t="s">
        <v>179</v>
      </c>
      <c r="F113" s="77" t="s">
        <v>191</v>
      </c>
      <c r="G113" s="77" t="s">
        <v>76</v>
      </c>
      <c r="H113" s="77" t="s">
        <v>56</v>
      </c>
      <c r="I113" s="77" t="s">
        <v>404</v>
      </c>
      <c r="J113" s="77"/>
      <c r="K113" s="77" t="s">
        <v>76</v>
      </c>
      <c r="L113" s="77"/>
      <c r="M113" s="102" t="str">
        <f>IFERROR(VLOOKUP(G113,Reference!$I$2:$J$175,2,FALSE()),"Operations")</f>
        <v>Children Services</v>
      </c>
    </row>
    <row r="114" spans="1:13" ht="15" customHeight="1" x14ac:dyDescent="0.25">
      <c r="A114" s="80" t="s">
        <v>710</v>
      </c>
      <c r="B114" s="112">
        <v>45387</v>
      </c>
      <c r="C114" s="80"/>
      <c r="D114" s="80" t="s">
        <v>373</v>
      </c>
      <c r="E114" s="80" t="s">
        <v>179</v>
      </c>
      <c r="F114" s="80" t="s">
        <v>191</v>
      </c>
      <c r="G114" s="80" t="s">
        <v>711</v>
      </c>
      <c r="H114" s="80" t="s">
        <v>69</v>
      </c>
      <c r="I114" s="80" t="s">
        <v>617</v>
      </c>
      <c r="J114" s="80"/>
      <c r="K114" s="80" t="s">
        <v>66</v>
      </c>
      <c r="L114" s="80"/>
      <c r="M114" s="105" t="str">
        <f>IFERROR(VLOOKUP(G114,Reference!$I$2:$J$175,2,FALSE()),"Operations")</f>
        <v>Operations</v>
      </c>
    </row>
    <row r="115" spans="1:13" ht="15" customHeight="1" x14ac:dyDescent="0.25">
      <c r="A115" s="77" t="s">
        <v>712</v>
      </c>
      <c r="B115" s="111">
        <v>45391</v>
      </c>
      <c r="C115" s="77"/>
      <c r="D115" s="77" t="s">
        <v>713</v>
      </c>
      <c r="E115" s="77" t="s">
        <v>179</v>
      </c>
      <c r="F115" s="77" t="s">
        <v>191</v>
      </c>
      <c r="G115" s="77" t="s">
        <v>714</v>
      </c>
      <c r="H115" s="77" t="s">
        <v>69</v>
      </c>
      <c r="I115" s="77" t="s">
        <v>657</v>
      </c>
      <c r="J115" s="77"/>
      <c r="K115" s="77" t="s">
        <v>66</v>
      </c>
      <c r="L115" s="77"/>
      <c r="M115" s="102" t="str">
        <f>IFERROR(VLOOKUP(G115,Reference!$I$2:$J$175,2,FALSE()),"Operations")</f>
        <v>Operations</v>
      </c>
    </row>
    <row r="116" spans="1:13" ht="15" customHeight="1" x14ac:dyDescent="0.25">
      <c r="A116" s="80" t="s">
        <v>715</v>
      </c>
      <c r="B116" s="112">
        <v>45391</v>
      </c>
      <c r="C116" s="80"/>
      <c r="D116" s="80" t="s">
        <v>713</v>
      </c>
      <c r="E116" s="80" t="s">
        <v>179</v>
      </c>
      <c r="F116" s="80" t="s">
        <v>191</v>
      </c>
      <c r="G116" s="80" t="s">
        <v>656</v>
      </c>
      <c r="H116" s="80" t="s">
        <v>69</v>
      </c>
      <c r="I116" s="80" t="s">
        <v>657</v>
      </c>
      <c r="J116" s="80"/>
      <c r="K116" s="80" t="s">
        <v>66</v>
      </c>
      <c r="L116" s="80"/>
      <c r="M116" s="105" t="str">
        <f>IFERROR(VLOOKUP(G116,Reference!$I$2:$J$175,2,FALSE()),"Operations")</f>
        <v>Operations</v>
      </c>
    </row>
    <row r="117" spans="1:13" ht="15" customHeight="1" x14ac:dyDescent="0.25">
      <c r="A117" s="77" t="s">
        <v>716</v>
      </c>
      <c r="B117" s="111">
        <v>45391</v>
      </c>
      <c r="C117" s="77"/>
      <c r="D117" s="77" t="s">
        <v>713</v>
      </c>
      <c r="E117" s="77" t="s">
        <v>464</v>
      </c>
      <c r="F117" s="77" t="s">
        <v>191</v>
      </c>
      <c r="G117" s="77" t="s">
        <v>656</v>
      </c>
      <c r="H117" s="77" t="s">
        <v>69</v>
      </c>
      <c r="I117" s="77" t="s">
        <v>657</v>
      </c>
      <c r="J117" s="77"/>
      <c r="K117" s="77" t="s">
        <v>66</v>
      </c>
      <c r="L117" s="77"/>
      <c r="M117" s="102" t="str">
        <f>IFERROR(VLOOKUP(G117,Reference!$I$2:$J$175,2,FALSE()),"Operations")</f>
        <v>Operations</v>
      </c>
    </row>
    <row r="118" spans="1:13" ht="15" customHeight="1" x14ac:dyDescent="0.25">
      <c r="A118" s="80" t="s">
        <v>717</v>
      </c>
      <c r="B118" s="112">
        <v>45393</v>
      </c>
      <c r="C118" s="80"/>
      <c r="D118" s="80" t="s">
        <v>695</v>
      </c>
      <c r="E118" s="80" t="s">
        <v>179</v>
      </c>
      <c r="F118" s="80" t="s">
        <v>191</v>
      </c>
      <c r="G118" s="80" t="s">
        <v>616</v>
      </c>
      <c r="H118" s="80" t="s">
        <v>58</v>
      </c>
      <c r="I118" s="80" t="s">
        <v>617</v>
      </c>
      <c r="J118" s="80"/>
      <c r="K118" s="80" t="s">
        <v>66</v>
      </c>
      <c r="L118" s="80"/>
      <c r="M118" s="105" t="str">
        <f>IFERROR(VLOOKUP(G118,Reference!$I$2:$J$175,2,FALSE()),"Operations")</f>
        <v>Operations</v>
      </c>
    </row>
    <row r="119" spans="1:13" ht="15" customHeight="1" x14ac:dyDescent="0.25">
      <c r="A119" s="77" t="s">
        <v>718</v>
      </c>
      <c r="B119" s="111">
        <v>45399</v>
      </c>
      <c r="C119" s="77"/>
      <c r="D119" s="77" t="s">
        <v>713</v>
      </c>
      <c r="E119" s="77" t="s">
        <v>179</v>
      </c>
      <c r="F119" s="77" t="s">
        <v>191</v>
      </c>
      <c r="G119" s="77" t="s">
        <v>719</v>
      </c>
      <c r="H119" s="77" t="s">
        <v>69</v>
      </c>
      <c r="I119" s="77" t="s">
        <v>182</v>
      </c>
      <c r="J119" s="77"/>
      <c r="K119" s="77" t="s">
        <v>66</v>
      </c>
      <c r="L119" s="77"/>
      <c r="M119" s="102" t="str">
        <f>IFERROR(VLOOKUP(G119,Reference!$I$2:$J$175,2,FALSE()),"Operations")</f>
        <v>Operations</v>
      </c>
    </row>
    <row r="120" spans="1:13" ht="15" customHeight="1" x14ac:dyDescent="0.25">
      <c r="A120" s="80" t="s">
        <v>720</v>
      </c>
      <c r="B120" s="112">
        <v>45405</v>
      </c>
      <c r="C120" s="80"/>
      <c r="D120" s="80" t="s">
        <v>313</v>
      </c>
      <c r="E120" s="80" t="s">
        <v>184</v>
      </c>
      <c r="F120" s="80" t="s">
        <v>191</v>
      </c>
      <c r="G120" s="80" t="s">
        <v>631</v>
      </c>
      <c r="H120" s="80" t="s">
        <v>58</v>
      </c>
      <c r="I120" s="80" t="s">
        <v>235</v>
      </c>
      <c r="J120" s="80"/>
      <c r="K120" s="80" t="s">
        <v>66</v>
      </c>
      <c r="L120" s="80"/>
      <c r="M120" s="105" t="str">
        <f>IFERROR(VLOOKUP(G120,Reference!$I$2:$J$175,2,FALSE()),"Operations")</f>
        <v>Operations</v>
      </c>
    </row>
    <row r="121" spans="1:13" ht="15" customHeight="1" x14ac:dyDescent="0.25">
      <c r="A121" s="77" t="s">
        <v>721</v>
      </c>
      <c r="B121" s="111">
        <v>45408</v>
      </c>
      <c r="C121" s="77"/>
      <c r="D121" s="77" t="s">
        <v>677</v>
      </c>
      <c r="E121" s="77" t="s">
        <v>179</v>
      </c>
      <c r="F121" s="77" t="s">
        <v>191</v>
      </c>
      <c r="G121" s="77" t="s">
        <v>722</v>
      </c>
      <c r="H121" s="77" t="s">
        <v>69</v>
      </c>
      <c r="I121" s="77" t="s">
        <v>182</v>
      </c>
      <c r="J121" s="77"/>
      <c r="K121" s="77" t="s">
        <v>66</v>
      </c>
      <c r="L121" s="77"/>
      <c r="M121" s="102" t="str">
        <f>IFERROR(VLOOKUP(G121,Reference!$I$2:$J$175,2,FALSE()),"Operations")</f>
        <v>Operations</v>
      </c>
    </row>
    <row r="122" spans="1:13" ht="15" customHeight="1" x14ac:dyDescent="0.25">
      <c r="A122" s="80" t="s">
        <v>723</v>
      </c>
      <c r="B122" s="112">
        <v>45412</v>
      </c>
      <c r="C122" s="80"/>
      <c r="D122" s="80" t="s">
        <v>313</v>
      </c>
      <c r="E122" s="80" t="s">
        <v>179</v>
      </c>
      <c r="F122" s="80" t="s">
        <v>191</v>
      </c>
      <c r="G122" s="80" t="s">
        <v>637</v>
      </c>
      <c r="H122" s="80" t="s">
        <v>60</v>
      </c>
      <c r="I122" s="80" t="s">
        <v>235</v>
      </c>
      <c r="J122" s="80"/>
      <c r="K122" s="80" t="s">
        <v>66</v>
      </c>
      <c r="L122" s="80"/>
      <c r="M122" s="105" t="str">
        <f>IFERROR(VLOOKUP(G122,Reference!$I$2:$J$175,2,FALSE()),"Operations")</f>
        <v>Operations</v>
      </c>
    </row>
    <row r="123" spans="1:13" ht="15" customHeight="1" x14ac:dyDescent="0.25">
      <c r="A123" s="77" t="s">
        <v>724</v>
      </c>
      <c r="B123" s="111">
        <v>45411</v>
      </c>
      <c r="C123" s="77"/>
      <c r="D123" s="77" t="s">
        <v>695</v>
      </c>
      <c r="E123" s="77" t="s">
        <v>179</v>
      </c>
      <c r="F123" s="77" t="s">
        <v>191</v>
      </c>
      <c r="G123" s="77" t="s">
        <v>725</v>
      </c>
      <c r="H123" s="77" t="s">
        <v>58</v>
      </c>
      <c r="I123" s="77" t="s">
        <v>617</v>
      </c>
      <c r="J123" s="77"/>
      <c r="K123" s="77" t="s">
        <v>66</v>
      </c>
      <c r="L123" s="77"/>
      <c r="M123" s="102" t="str">
        <f>IFERROR(VLOOKUP(G123,Reference!$I$2:$J$175,2,FALSE()),"Operations")</f>
        <v>Operations</v>
      </c>
    </row>
    <row r="124" spans="1:13" ht="15" customHeight="1" x14ac:dyDescent="0.25">
      <c r="A124" s="103"/>
      <c r="B124" s="104"/>
      <c r="C124" s="104"/>
      <c r="D124" s="103">
        <f>IF(OR(B124="",C124=""),"",IF(DATEDIF(C124,B124,"y")&gt;=1,DATEDIF(C124,B124,"y")&amp;IF(DATEDIF(C124,B124,"y")=1," year "," years ")&amp;DATEDIF(C124,B124,"ym")&amp;IF(DATEDIF(C124,B124,"ym")=1," month"," months"),IF(DATEDIF(C124,B124,"m")&gt;=1,DATEDIF(C124,B124,"m")&amp;IF(DATEDIF(C124,B124,"m")=1," month"," months"),DATEDIF(C124,B124,"d")&amp;IF(DATEDIF(C124,B124,"d")=1," day"," days"))))</f>
      </c>
      <c r="E124" s="103"/>
      <c r="F124" s="103"/>
      <c r="G124" s="103"/>
      <c r="H124" s="103"/>
      <c r="I124" s="103"/>
      <c r="J124" s="104"/>
      <c r="K124" s="103"/>
      <c r="L124" s="103"/>
      <c r="M124" s="105" t="str">
        <f>IFERROR(VLOOKUP(G124,Reference!$I$2:$J$175,2,FALSE()),"Operations")</f>
        <v>Operations</v>
      </c>
    </row>
    <row r="125" spans="1:13" ht="15" customHeight="1" x14ac:dyDescent="0.25">
      <c r="A125" s="100"/>
      <c r="B125" s="101"/>
      <c r="C125" s="101"/>
      <c r="D125" s="100">
        <f>IF(OR(B125="",C125=""),"",IF(DATEDIF(C125,B125,"y")&gt;=1,DATEDIF(C125,B125,"y")&amp;IF(DATEDIF(C125,B125,"y")=1," year "," years ")&amp;DATEDIF(C125,B125,"ym")&amp;IF(DATEDIF(C125,B125,"ym")=1," month"," months"),IF(DATEDIF(C125,B125,"m")&gt;=1,DATEDIF(C125,B125,"m")&amp;IF(DATEDIF(C125,B125,"m")=1," month"," months"),DATEDIF(C125,B125,"d")&amp;IF(DATEDIF(C125,B125,"d")=1," day"," days"))))</f>
      </c>
      <c r="E125" s="100"/>
      <c r="F125" s="100"/>
      <c r="G125" s="100"/>
      <c r="H125" s="100"/>
      <c r="I125" s="100"/>
      <c r="J125" s="101"/>
      <c r="K125" s="100"/>
      <c r="L125" s="100"/>
      <c r="M125" s="102" t="str">
        <f>IFERROR(VLOOKUP(G125,Reference!$I$2:$J$175,2,FALSE()),"Operations")</f>
        <v>Operations</v>
      </c>
    </row>
    <row r="126" spans="1:13" ht="15" customHeight="1" x14ac:dyDescent="0.25">
      <c r="A126" s="103"/>
      <c r="B126" s="104"/>
      <c r="C126" s="104"/>
      <c r="D126" s="103">
        <f>IF(OR(B126="",C126=""),"",IF(DATEDIF(C126,B126,"y")&gt;=1,DATEDIF(C126,B126,"y")&amp;IF(DATEDIF(C126,B126,"y")=1," year "," years ")&amp;DATEDIF(C126,B126,"ym")&amp;IF(DATEDIF(C126,B126,"ym")=1," month"," months"),IF(DATEDIF(C126,B126,"m")&gt;=1,DATEDIF(C126,B126,"m")&amp;IF(DATEDIF(C126,B126,"m")=1," month"," months"),DATEDIF(C126,B126,"d")&amp;IF(DATEDIF(C126,B126,"d")=1," day"," days"))))</f>
      </c>
      <c r="E126" s="103"/>
      <c r="F126" s="103"/>
      <c r="G126" s="103"/>
      <c r="H126" s="103"/>
      <c r="I126" s="103"/>
      <c r="J126" s="104"/>
      <c r="K126" s="103"/>
      <c r="L126" s="103"/>
      <c r="M126" s="105" t="str">
        <f>IFERROR(VLOOKUP(G126,Reference!$I$2:$J$175,2,FALSE()),"Operations")</f>
        <v>Operations</v>
      </c>
    </row>
    <row r="127" spans="1:13" ht="15" customHeight="1" x14ac:dyDescent="0.25">
      <c r="A127" s="100"/>
      <c r="B127" s="101"/>
      <c r="C127" s="101"/>
      <c r="D127" s="100">
        <f>IF(OR(B127="",C127=""),"",IF(DATEDIF(C127,B127,"y")&gt;=1,DATEDIF(C127,B127,"y")&amp;IF(DATEDIF(C127,B127,"y")=1," year "," years ")&amp;DATEDIF(C127,B127,"ym")&amp;IF(DATEDIF(C127,B127,"ym")=1," month"," months"),IF(DATEDIF(C127,B127,"m")&gt;=1,DATEDIF(C127,B127,"m")&amp;IF(DATEDIF(C127,B127,"m")=1," month"," months"),DATEDIF(C127,B127,"d")&amp;IF(DATEDIF(C127,B127,"d")=1," day"," days"))))</f>
      </c>
      <c r="E127" s="100"/>
      <c r="F127" s="100"/>
      <c r="G127" s="100"/>
      <c r="H127" s="100"/>
      <c r="I127" s="100"/>
      <c r="J127" s="101"/>
      <c r="K127" s="100"/>
      <c r="L127" s="100"/>
      <c r="M127" s="102" t="str">
        <f>IFERROR(VLOOKUP(G127,Reference!$I$2:$J$175,2,FALSE()),"Operations")</f>
        <v>Operations</v>
      </c>
    </row>
    <row r="128" spans="1:13" ht="15" customHeight="1" x14ac:dyDescent="0.25">
      <c r="A128" s="103"/>
      <c r="B128" s="104"/>
      <c r="C128" s="104"/>
      <c r="D128" s="103">
        <f>IF(OR(B128="",C128=""),"",IF(DATEDIF(C128,B128,"y")&gt;=1,DATEDIF(C128,B128,"y")&amp;IF(DATEDIF(C128,B128,"y")=1," year "," years ")&amp;DATEDIF(C128,B128,"ym")&amp;IF(DATEDIF(C128,B128,"ym")=1," month"," months"),IF(DATEDIF(C128,B128,"m")&gt;=1,DATEDIF(C128,B128,"m")&amp;IF(DATEDIF(C128,B128,"m")=1," month"," months"),DATEDIF(C128,B128,"d")&amp;IF(DATEDIF(C128,B128,"d")=1," day"," days"))))</f>
      </c>
      <c r="E128" s="103"/>
      <c r="F128" s="103"/>
      <c r="G128" s="103"/>
      <c r="H128" s="103"/>
      <c r="I128" s="103"/>
      <c r="J128" s="104"/>
      <c r="K128" s="103"/>
      <c r="L128" s="103"/>
      <c r="M128" s="105" t="str">
        <f>IFERROR(VLOOKUP(G128,Reference!$I$2:$J$175,2,FALSE()),"Operations")</f>
        <v>Operations</v>
      </c>
    </row>
    <row r="129" spans="1:13" ht="15" customHeight="1" x14ac:dyDescent="0.25">
      <c r="A129" s="100"/>
      <c r="B129" s="101"/>
      <c r="C129" s="101"/>
      <c r="D129" s="100">
        <f>IF(OR(B129="",C129=""),"",IF(DATEDIF(C129,B129,"y")&gt;=1,DATEDIF(C129,B129,"y")&amp;IF(DATEDIF(C129,B129,"y")=1," year "," years ")&amp;DATEDIF(C129,B129,"ym")&amp;IF(DATEDIF(C129,B129,"ym")=1," month"," months"),IF(DATEDIF(C129,B129,"m")&gt;=1,DATEDIF(C129,B129,"m")&amp;IF(DATEDIF(C129,B129,"m")=1," month"," months"),DATEDIF(C129,B129,"d")&amp;IF(DATEDIF(C129,B129,"d")=1," day"," days"))))</f>
      </c>
      <c r="E129" s="100"/>
      <c r="F129" s="100"/>
      <c r="G129" s="100"/>
      <c r="H129" s="100"/>
      <c r="I129" s="100"/>
      <c r="J129" s="101"/>
      <c r="K129" s="100"/>
      <c r="L129" s="100"/>
      <c r="M129" s="102" t="str">
        <f>IFERROR(VLOOKUP(G129,Reference!$I$2:$J$175,2,FALSE()),"Operations")</f>
        <v>Operations</v>
      </c>
    </row>
    <row r="130" spans="1:13" ht="15" customHeight="1" x14ac:dyDescent="0.25">
      <c r="A130" s="103"/>
      <c r="B130" s="104"/>
      <c r="C130" s="104"/>
      <c r="D130" s="103">
        <f>IF(OR(B130="",C130=""),"",IF(DATEDIF(C130,B130,"y")&gt;=1,DATEDIF(C130,B130,"y")&amp;IF(DATEDIF(C130,B130,"y")=1," year "," years ")&amp;DATEDIF(C130,B130,"ym")&amp;IF(DATEDIF(C130,B130,"ym")=1," month"," months"),IF(DATEDIF(C130,B130,"m")&gt;=1,DATEDIF(C130,B130,"m")&amp;IF(DATEDIF(C130,B130,"m")=1," month"," months"),DATEDIF(C130,B130,"d")&amp;IF(DATEDIF(C130,B130,"d")=1," day"," days"))))</f>
      </c>
      <c r="E130" s="103"/>
      <c r="F130" s="103"/>
      <c r="G130" s="103"/>
      <c r="H130" s="103"/>
      <c r="I130" s="103"/>
      <c r="J130" s="104"/>
      <c r="K130" s="103"/>
      <c r="L130" s="103"/>
      <c r="M130" s="105" t="str">
        <f>IFERROR(VLOOKUP(G130,Reference!$I$2:$J$175,2,FALSE()),"Operations")</f>
        <v>Operations</v>
      </c>
    </row>
    <row r="131" spans="1:13" ht="15" customHeight="1" x14ac:dyDescent="0.25">
      <c r="A131" s="100"/>
      <c r="B131" s="101"/>
      <c r="C131" s="101"/>
      <c r="D131" s="100">
        <f>IF(OR(B131="",C131=""),"",IF(DATEDIF(C131,B131,"y")&gt;=1,DATEDIF(C131,B131,"y")&amp;IF(DATEDIF(C131,B131,"y")=1," year "," years ")&amp;DATEDIF(C131,B131,"ym")&amp;IF(DATEDIF(C131,B131,"ym")=1," month"," months"),IF(DATEDIF(C131,B131,"m")&gt;=1,DATEDIF(C131,B131,"m")&amp;IF(DATEDIF(C131,B131,"m")=1," month"," months"),DATEDIF(C131,B131,"d")&amp;IF(DATEDIF(C131,B131,"d")=1," day"," days"))))</f>
      </c>
      <c r="E131" s="100"/>
      <c r="F131" s="100"/>
      <c r="G131" s="100"/>
      <c r="H131" s="100"/>
      <c r="I131" s="100"/>
      <c r="J131" s="101"/>
      <c r="K131" s="100"/>
      <c r="L131" s="100"/>
      <c r="M131" s="102" t="str">
        <f>IFERROR(VLOOKUP(G131,Reference!$I$2:$J$175,2,FALSE()),"Operations")</f>
        <v>Operations</v>
      </c>
    </row>
    <row r="132" spans="1:13" ht="15" customHeight="1" x14ac:dyDescent="0.25">
      <c r="A132" s="103"/>
      <c r="B132" s="104"/>
      <c r="C132" s="104"/>
      <c r="D132" s="103">
        <f>IF(OR(B132="",C132=""),"",IF(DATEDIF(C132,B132,"y")&gt;=1,DATEDIF(C132,B132,"y")&amp;IF(DATEDIF(C132,B132,"y")=1," year "," years ")&amp;DATEDIF(C132,B132,"ym")&amp;IF(DATEDIF(C132,B132,"ym")=1," month"," months"),IF(DATEDIF(C132,B132,"m")&gt;=1,DATEDIF(C132,B132,"m")&amp;IF(DATEDIF(C132,B132,"m")=1," month"," months"),DATEDIF(C132,B132,"d")&amp;IF(DATEDIF(C132,B132,"d")=1," day"," days"))))</f>
      </c>
      <c r="E132" s="103"/>
      <c r="F132" s="103"/>
      <c r="G132" s="103"/>
      <c r="H132" s="103"/>
      <c r="I132" s="103"/>
      <c r="J132" s="104"/>
      <c r="K132" s="103"/>
      <c r="L132" s="103"/>
      <c r="M132" s="105" t="str">
        <f>IFERROR(VLOOKUP(G132,Reference!$I$2:$J$175,2,FALSE()),"Operations")</f>
        <v>Operations</v>
      </c>
    </row>
    <row r="133" spans="1:13" ht="15" customHeight="1" x14ac:dyDescent="0.25">
      <c r="A133" s="100"/>
      <c r="B133" s="101"/>
      <c r="C133" s="101"/>
      <c r="D133" s="100">
        <f>IF(OR(B133="",C133=""),"",IF(DATEDIF(C133,B133,"y")&gt;=1,DATEDIF(C133,B133,"y")&amp;IF(DATEDIF(C133,B133,"y")=1," year "," years ")&amp;DATEDIF(C133,B133,"ym")&amp;IF(DATEDIF(C133,B133,"ym")=1," month"," months"),IF(DATEDIF(C133,B133,"m")&gt;=1,DATEDIF(C133,B133,"m")&amp;IF(DATEDIF(C133,B133,"m")=1," month"," months"),DATEDIF(C133,B133,"d")&amp;IF(DATEDIF(C133,B133,"d")=1," day"," days"))))</f>
      </c>
      <c r="E133" s="100"/>
      <c r="F133" s="100"/>
      <c r="G133" s="100"/>
      <c r="H133" s="100"/>
      <c r="I133" s="100"/>
      <c r="J133" s="101"/>
      <c r="K133" s="100"/>
      <c r="L133" s="100"/>
      <c r="M133" s="102" t="str">
        <f>IFERROR(VLOOKUP(G133,Reference!$I$2:$J$175,2,FALSE()),"Operations")</f>
        <v>Operations</v>
      </c>
    </row>
    <row r="134" spans="1:13" ht="15" customHeight="1" x14ac:dyDescent="0.25">
      <c r="A134" s="103"/>
      <c r="B134" s="104"/>
      <c r="C134" s="104"/>
      <c r="D134" s="103">
        <f>IF(OR(B134="",C134=""),"",IF(DATEDIF(C134,B134,"y")&gt;=1,DATEDIF(C134,B134,"y")&amp;IF(DATEDIF(C134,B134,"y")=1," year "," years ")&amp;DATEDIF(C134,B134,"ym")&amp;IF(DATEDIF(C134,B134,"ym")=1," month"," months"),IF(DATEDIF(C134,B134,"m")&gt;=1,DATEDIF(C134,B134,"m")&amp;IF(DATEDIF(C134,B134,"m")=1," month"," months"),DATEDIF(C134,B134,"d")&amp;IF(DATEDIF(C134,B134,"d")=1," day"," days"))))</f>
      </c>
      <c r="E134" s="103"/>
      <c r="F134" s="103"/>
      <c r="G134" s="103"/>
      <c r="H134" s="103"/>
      <c r="I134" s="103"/>
      <c r="J134" s="104"/>
      <c r="K134" s="103"/>
      <c r="L134" s="103"/>
      <c r="M134" s="105" t="str">
        <f>IFERROR(VLOOKUP(G134,Reference!$I$2:$J$175,2,FALSE()),"Operations")</f>
        <v>Operations</v>
      </c>
    </row>
    <row r="135" spans="1:13" ht="15" customHeight="1" x14ac:dyDescent="0.25">
      <c r="A135" s="100"/>
      <c r="B135" s="101"/>
      <c r="C135" s="101"/>
      <c r="D135" s="100">
        <f>IF(OR(B135="",C135=""),"",IF(DATEDIF(C135,B135,"y")&gt;=1,DATEDIF(C135,B135,"y")&amp;IF(DATEDIF(C135,B135,"y")=1," year "," years ")&amp;DATEDIF(C135,B135,"ym")&amp;IF(DATEDIF(C135,B135,"ym")=1," month"," months"),IF(DATEDIF(C135,B135,"m")&gt;=1,DATEDIF(C135,B135,"m")&amp;IF(DATEDIF(C135,B135,"m")=1," month"," months"),DATEDIF(C135,B135,"d")&amp;IF(DATEDIF(C135,B135,"d")=1," day"," days"))))</f>
      </c>
      <c r="E135" s="100"/>
      <c r="F135" s="100"/>
      <c r="G135" s="100"/>
      <c r="H135" s="100"/>
      <c r="I135" s="100"/>
      <c r="J135" s="101"/>
      <c r="K135" s="100"/>
      <c r="L135" s="100"/>
      <c r="M135" s="102" t="str">
        <f>IFERROR(VLOOKUP(G135,Reference!$I$2:$J$175,2,FALSE()),"Operations")</f>
        <v>Operations</v>
      </c>
    </row>
    <row r="136" spans="1:13" ht="15" customHeight="1" x14ac:dyDescent="0.25">
      <c r="A136" s="103"/>
      <c r="B136" s="104"/>
      <c r="C136" s="104"/>
      <c r="D136" s="103">
        <f>IF(OR(B136="",C136=""),"",IF(DATEDIF(C136,B136,"y")&gt;=1,DATEDIF(C136,B136,"y")&amp;IF(DATEDIF(C136,B136,"y")=1," year "," years ")&amp;DATEDIF(C136,B136,"ym")&amp;IF(DATEDIF(C136,B136,"ym")=1," month"," months"),IF(DATEDIF(C136,B136,"m")&gt;=1,DATEDIF(C136,B136,"m")&amp;IF(DATEDIF(C136,B136,"m")=1," month"," months"),DATEDIF(C136,B136,"d")&amp;IF(DATEDIF(C136,B136,"d")=1," day"," days"))))</f>
      </c>
      <c r="E136" s="103"/>
      <c r="F136" s="103"/>
      <c r="G136" s="103"/>
      <c r="H136" s="103"/>
      <c r="I136" s="103"/>
      <c r="J136" s="104"/>
      <c r="K136" s="103"/>
      <c r="L136" s="103"/>
      <c r="M136" s="105" t="str">
        <f>IFERROR(VLOOKUP(G136,Reference!$I$2:$J$175,2,FALSE()),"Operations")</f>
        <v>Operations</v>
      </c>
    </row>
    <row r="137" spans="1:13" ht="15" customHeight="1" x14ac:dyDescent="0.25">
      <c r="A137" s="100"/>
      <c r="B137" s="101"/>
      <c r="C137" s="101"/>
      <c r="D137" s="100">
        <f>IF(OR(B137="",C137=""),"",IF(DATEDIF(C137,B137,"y")&gt;=1,DATEDIF(C137,B137,"y")&amp;IF(DATEDIF(C137,B137,"y")=1," year "," years ")&amp;DATEDIF(C137,B137,"ym")&amp;IF(DATEDIF(C137,B137,"ym")=1," month"," months"),IF(DATEDIF(C137,B137,"m")&gt;=1,DATEDIF(C137,B137,"m")&amp;IF(DATEDIF(C137,B137,"m")=1," month"," months"),DATEDIF(C137,B137,"d")&amp;IF(DATEDIF(C137,B137,"d")=1," day"," days"))))</f>
      </c>
      <c r="E137" s="100"/>
      <c r="F137" s="100"/>
      <c r="G137" s="100"/>
      <c r="H137" s="100"/>
      <c r="I137" s="100"/>
      <c r="J137" s="101"/>
      <c r="K137" s="100"/>
      <c r="L137" s="100"/>
      <c r="M137" s="102" t="str">
        <f>IFERROR(VLOOKUP(G137,Reference!$I$2:$J$175,2,FALSE()),"Operations")</f>
        <v>Operations</v>
      </c>
    </row>
    <row r="138" spans="1:13" ht="15" customHeight="1" x14ac:dyDescent="0.25">
      <c r="A138" s="103"/>
      <c r="B138" s="104"/>
      <c r="C138" s="104"/>
      <c r="D138" s="103">
        <f>IF(OR(B138="",C138=""),"",IF(DATEDIF(C138,B138,"y")&gt;=1,DATEDIF(C138,B138,"y")&amp;IF(DATEDIF(C138,B138,"y")=1," year "," years ")&amp;DATEDIF(C138,B138,"ym")&amp;IF(DATEDIF(C138,B138,"ym")=1," month"," months"),IF(DATEDIF(C138,B138,"m")&gt;=1,DATEDIF(C138,B138,"m")&amp;IF(DATEDIF(C138,B138,"m")=1," month"," months"),DATEDIF(C138,B138,"d")&amp;IF(DATEDIF(C138,B138,"d")=1," day"," days"))))</f>
      </c>
      <c r="E138" s="103"/>
      <c r="F138" s="103"/>
      <c r="G138" s="103"/>
      <c r="H138" s="103"/>
      <c r="I138" s="103"/>
      <c r="J138" s="104"/>
      <c r="K138" s="103"/>
      <c r="L138" s="103"/>
      <c r="M138" s="105" t="str">
        <f>IFERROR(VLOOKUP(G138,Reference!$I$2:$J$175,2,FALSE()),"Operations")</f>
        <v>Operations</v>
      </c>
    </row>
    <row r="139" spans="1:13" ht="15" customHeight="1" x14ac:dyDescent="0.25">
      <c r="A139" s="100"/>
      <c r="B139" s="101"/>
      <c r="C139" s="101"/>
      <c r="D139" s="100">
        <f>IF(OR(B139="",C139=""),"",IF(DATEDIF(C139,B139,"y")&gt;=1,DATEDIF(C139,B139,"y")&amp;IF(DATEDIF(C139,B139,"y")=1," year "," years ")&amp;DATEDIF(C139,B139,"ym")&amp;IF(DATEDIF(C139,B139,"ym")=1," month"," months"),IF(DATEDIF(C139,B139,"m")&gt;=1,DATEDIF(C139,B139,"m")&amp;IF(DATEDIF(C139,B139,"m")=1," month"," months"),DATEDIF(C139,B139,"d")&amp;IF(DATEDIF(C139,B139,"d")=1," day"," days"))))</f>
      </c>
      <c r="E139" s="100"/>
      <c r="F139" s="100"/>
      <c r="G139" s="100"/>
      <c r="H139" s="100"/>
      <c r="I139" s="100"/>
      <c r="J139" s="101"/>
      <c r="K139" s="100"/>
      <c r="L139" s="100"/>
      <c r="M139" s="102" t="str">
        <f>IFERROR(VLOOKUP(G139,Reference!$I$2:$J$175,2,FALSE()),"Operations")</f>
        <v>Operations</v>
      </c>
    </row>
    <row r="140" spans="1:13" ht="15" customHeight="1" x14ac:dyDescent="0.25">
      <c r="A140" s="103"/>
      <c r="B140" s="104"/>
      <c r="C140" s="104"/>
      <c r="D140" s="103">
        <f>IF(OR(B140="",C140=""),"",IF(DATEDIF(C140,B140,"y")&gt;=1,DATEDIF(C140,B140,"y")&amp;IF(DATEDIF(C140,B140,"y")=1," year "," years ")&amp;DATEDIF(C140,B140,"ym")&amp;IF(DATEDIF(C140,B140,"ym")=1," month"," months"),IF(DATEDIF(C140,B140,"m")&gt;=1,DATEDIF(C140,B140,"m")&amp;IF(DATEDIF(C140,B140,"m")=1," month"," months"),DATEDIF(C140,B140,"d")&amp;IF(DATEDIF(C140,B140,"d")=1," day"," days"))))</f>
      </c>
      <c r="E140" s="103"/>
      <c r="F140" s="103"/>
      <c r="G140" s="103"/>
      <c r="H140" s="103"/>
      <c r="I140" s="103"/>
      <c r="J140" s="104"/>
      <c r="K140" s="103"/>
      <c r="L140" s="103"/>
      <c r="M140" s="105" t="str">
        <f>IFERROR(VLOOKUP(G140,Reference!$I$2:$J$175,2,FALSE()),"Operations")</f>
        <v>Operations</v>
      </c>
    </row>
    <row r="141" spans="1:13" ht="15" customHeight="1" x14ac:dyDescent="0.25">
      <c r="A141" s="106" t="s">
        <v>163</v>
      </c>
      <c r="B141" s="107">
        <f>COUNTA(A111:A140)</f>
        <v>13</v>
      </c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</row>
    <row r="142" spans="1:13" ht="6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</row>
    <row r="143" spans="1:13" ht="21.75" customHeight="1" x14ac:dyDescent="0.25">
      <c r="A143" s="163" t="s">
        <v>726</v>
      </c>
      <c r="B143" s="163"/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</row>
    <row r="144" spans="1:13" ht="19.5" customHeight="1" x14ac:dyDescent="0.25">
      <c r="A144" s="64" t="s">
        <v>151</v>
      </c>
      <c r="B144" s="64" t="s">
        <v>152</v>
      </c>
      <c r="C144" s="64" t="s">
        <v>153</v>
      </c>
      <c r="D144" s="64" t="s">
        <v>154</v>
      </c>
      <c r="E144" s="64" t="s">
        <v>155</v>
      </c>
      <c r="F144" s="64" t="s">
        <v>156</v>
      </c>
      <c r="G144" s="64" t="s">
        <v>157</v>
      </c>
      <c r="H144" s="64" t="s">
        <v>158</v>
      </c>
      <c r="I144" s="64" t="s">
        <v>159</v>
      </c>
      <c r="J144" s="64" t="s">
        <v>160</v>
      </c>
      <c r="K144" s="64" t="s">
        <v>134</v>
      </c>
      <c r="L144" s="64" t="s">
        <v>161</v>
      </c>
      <c r="M144" s="64" t="s">
        <v>162</v>
      </c>
    </row>
    <row r="145" spans="1:13" ht="15" customHeight="1" x14ac:dyDescent="0.25">
      <c r="A145" s="77" t="s">
        <v>727</v>
      </c>
      <c r="B145" s="111">
        <v>45420</v>
      </c>
      <c r="C145" s="77"/>
      <c r="D145" s="77" t="s">
        <v>615</v>
      </c>
      <c r="E145" s="77" t="s">
        <v>184</v>
      </c>
      <c r="F145" s="77" t="s">
        <v>191</v>
      </c>
      <c r="G145" s="77" t="s">
        <v>728</v>
      </c>
      <c r="H145" s="77" t="s">
        <v>681</v>
      </c>
      <c r="I145" s="77" t="s">
        <v>657</v>
      </c>
      <c r="J145" s="77"/>
      <c r="K145" s="77" t="s">
        <v>66</v>
      </c>
      <c r="L145" s="77"/>
      <c r="M145" s="102" t="str">
        <f>IFERROR(VLOOKUP(G145,Reference!$I$2:$J$175,2,FALSE()),"Operations")</f>
        <v>Operations</v>
      </c>
    </row>
    <row r="146" spans="1:13" ht="15" customHeight="1" x14ac:dyDescent="0.25">
      <c r="A146" s="80" t="s">
        <v>729</v>
      </c>
      <c r="B146" s="112">
        <v>45421</v>
      </c>
      <c r="C146" s="80"/>
      <c r="D146" s="80" t="s">
        <v>677</v>
      </c>
      <c r="E146" s="80" t="s">
        <v>179</v>
      </c>
      <c r="F146" s="80" t="s">
        <v>191</v>
      </c>
      <c r="G146" s="80" t="s">
        <v>730</v>
      </c>
      <c r="H146" s="80" t="s">
        <v>69</v>
      </c>
      <c r="I146" s="80" t="s">
        <v>731</v>
      </c>
      <c r="J146" s="80"/>
      <c r="K146" s="80" t="s">
        <v>66</v>
      </c>
      <c r="L146" s="80"/>
      <c r="M146" s="105" t="str">
        <f>IFERROR(VLOOKUP(G146,Reference!$I$2:$J$175,2,FALSE()),"Operations")</f>
        <v>Operations</v>
      </c>
    </row>
    <row r="147" spans="1:13" ht="15" customHeight="1" x14ac:dyDescent="0.25">
      <c r="A147" s="77" t="s">
        <v>732</v>
      </c>
      <c r="B147" s="111">
        <v>45423</v>
      </c>
      <c r="C147" s="77"/>
      <c r="D147" s="77" t="s">
        <v>690</v>
      </c>
      <c r="E147" s="77" t="s">
        <v>179</v>
      </c>
      <c r="F147" s="77" t="s">
        <v>191</v>
      </c>
      <c r="G147" s="77" t="s">
        <v>299</v>
      </c>
      <c r="H147" s="77" t="s">
        <v>58</v>
      </c>
      <c r="I147" s="77" t="s">
        <v>731</v>
      </c>
      <c r="J147" s="77"/>
      <c r="K147" s="77" t="s">
        <v>66</v>
      </c>
      <c r="L147" s="77"/>
      <c r="M147" s="102" t="str">
        <f>IFERROR(VLOOKUP(G147,Reference!$I$2:$J$175,2,FALSE()),"Operations")</f>
        <v>Operations</v>
      </c>
    </row>
    <row r="148" spans="1:13" ht="15" customHeight="1" x14ac:dyDescent="0.25">
      <c r="A148" s="80" t="s">
        <v>733</v>
      </c>
      <c r="B148" s="112">
        <v>45427</v>
      </c>
      <c r="C148" s="80"/>
      <c r="D148" s="80" t="s">
        <v>734</v>
      </c>
      <c r="E148" s="80" t="s">
        <v>184</v>
      </c>
      <c r="F148" s="80" t="s">
        <v>191</v>
      </c>
      <c r="G148" s="80" t="s">
        <v>380</v>
      </c>
      <c r="H148" s="80" t="s">
        <v>56</v>
      </c>
      <c r="I148" s="80" t="s">
        <v>735</v>
      </c>
      <c r="J148" s="80"/>
      <c r="K148" s="80" t="s">
        <v>66</v>
      </c>
      <c r="L148" s="80"/>
      <c r="M148" s="105" t="str">
        <f>IFERROR(VLOOKUP(G148,Reference!$I$2:$J$175,2,FALSE()),"Operations")</f>
        <v>Operations</v>
      </c>
    </row>
    <row r="149" spans="1:13" ht="15" customHeight="1" x14ac:dyDescent="0.25">
      <c r="A149" s="77" t="s">
        <v>736</v>
      </c>
      <c r="B149" s="111">
        <v>45428</v>
      </c>
      <c r="C149" s="77"/>
      <c r="D149" s="77" t="s">
        <v>737</v>
      </c>
      <c r="E149" s="77" t="s">
        <v>184</v>
      </c>
      <c r="F149" s="77" t="s">
        <v>191</v>
      </c>
      <c r="G149" s="77" t="s">
        <v>738</v>
      </c>
      <c r="H149" s="77" t="s">
        <v>64</v>
      </c>
      <c r="I149" s="77" t="s">
        <v>415</v>
      </c>
      <c r="J149" s="77"/>
      <c r="K149" s="77" t="s">
        <v>66</v>
      </c>
      <c r="L149" s="77"/>
      <c r="M149" s="102" t="str">
        <f>IFERROR(VLOOKUP(G149,Reference!$I$2:$J$175,2,FALSE()),"Operations")</f>
        <v>Employment Services</v>
      </c>
    </row>
    <row r="150" spans="1:13" ht="15" customHeight="1" x14ac:dyDescent="0.25">
      <c r="A150" s="80" t="s">
        <v>739</v>
      </c>
      <c r="B150" s="112">
        <v>45428</v>
      </c>
      <c r="C150" s="80"/>
      <c r="D150" s="80" t="s">
        <v>363</v>
      </c>
      <c r="E150" s="80" t="s">
        <v>179</v>
      </c>
      <c r="F150" s="80" t="s">
        <v>191</v>
      </c>
      <c r="G150" s="80" t="s">
        <v>380</v>
      </c>
      <c r="H150" s="80" t="s">
        <v>58</v>
      </c>
      <c r="I150" s="80" t="s">
        <v>235</v>
      </c>
      <c r="J150" s="80"/>
      <c r="K150" s="80" t="s">
        <v>66</v>
      </c>
      <c r="L150" s="80"/>
      <c r="M150" s="105" t="str">
        <f>IFERROR(VLOOKUP(G150,Reference!$I$2:$J$175,2,FALSE()),"Operations")</f>
        <v>Operations</v>
      </c>
    </row>
    <row r="151" spans="1:13" ht="15" customHeight="1" x14ac:dyDescent="0.25">
      <c r="A151" s="77" t="s">
        <v>740</v>
      </c>
      <c r="B151" s="111">
        <v>45434</v>
      </c>
      <c r="C151" s="77"/>
      <c r="D151" s="77" t="s">
        <v>597</v>
      </c>
      <c r="E151" s="77" t="s">
        <v>179</v>
      </c>
      <c r="F151" s="77" t="s">
        <v>180</v>
      </c>
      <c r="G151" s="77" t="s">
        <v>741</v>
      </c>
      <c r="H151" s="77" t="s">
        <v>64</v>
      </c>
      <c r="I151" s="77" t="s">
        <v>742</v>
      </c>
      <c r="J151" s="77"/>
      <c r="K151" s="77" t="s">
        <v>66</v>
      </c>
      <c r="L151" s="77"/>
      <c r="M151" s="102" t="str">
        <f>IFERROR(VLOOKUP(G151,Reference!$I$2:$J$175,2,FALSE()),"Operations")</f>
        <v>Operations</v>
      </c>
    </row>
    <row r="152" spans="1:13" ht="15" customHeight="1" x14ac:dyDescent="0.25">
      <c r="A152" s="80" t="s">
        <v>743</v>
      </c>
      <c r="B152" s="112">
        <v>45436</v>
      </c>
      <c r="C152" s="80"/>
      <c r="D152" s="80" t="s">
        <v>302</v>
      </c>
      <c r="E152" s="80" t="s">
        <v>179</v>
      </c>
      <c r="F152" s="80" t="s">
        <v>191</v>
      </c>
      <c r="G152" s="80" t="s">
        <v>744</v>
      </c>
      <c r="H152" s="80" t="s">
        <v>58</v>
      </c>
      <c r="I152" s="80" t="s">
        <v>657</v>
      </c>
      <c r="J152" s="80"/>
      <c r="K152" s="80" t="s">
        <v>66</v>
      </c>
      <c r="L152" s="80"/>
      <c r="M152" s="105" t="str">
        <f>IFERROR(VLOOKUP(G152,Reference!$I$2:$J$175,2,FALSE()),"Operations")</f>
        <v>Operations</v>
      </c>
    </row>
    <row r="153" spans="1:13" ht="15" customHeight="1" x14ac:dyDescent="0.25">
      <c r="A153" s="77" t="s">
        <v>745</v>
      </c>
      <c r="B153" s="111">
        <v>45438</v>
      </c>
      <c r="C153" s="77"/>
      <c r="D153" s="77" t="s">
        <v>302</v>
      </c>
      <c r="E153" s="77" t="s">
        <v>184</v>
      </c>
      <c r="F153" s="77" t="s">
        <v>191</v>
      </c>
      <c r="G153" s="77" t="s">
        <v>355</v>
      </c>
      <c r="H153" s="77" t="s">
        <v>60</v>
      </c>
      <c r="I153" s="77" t="s">
        <v>235</v>
      </c>
      <c r="J153" s="77"/>
      <c r="K153" s="77" t="s">
        <v>66</v>
      </c>
      <c r="L153" s="77"/>
      <c r="M153" s="102" t="str">
        <f>IFERROR(VLOOKUP(G153,Reference!$I$2:$J$175,2,FALSE()),"Operations")</f>
        <v>Operations</v>
      </c>
    </row>
    <row r="154" spans="1:13" ht="15" customHeight="1" x14ac:dyDescent="0.25">
      <c r="A154" s="80" t="s">
        <v>746</v>
      </c>
      <c r="B154" s="112">
        <v>45438</v>
      </c>
      <c r="C154" s="80"/>
      <c r="D154" s="80" t="s">
        <v>373</v>
      </c>
      <c r="E154" s="80" t="s">
        <v>179</v>
      </c>
      <c r="F154" s="80" t="s">
        <v>191</v>
      </c>
      <c r="G154" s="80" t="s">
        <v>747</v>
      </c>
      <c r="H154" s="80" t="s">
        <v>58</v>
      </c>
      <c r="I154" s="80" t="s">
        <v>182</v>
      </c>
      <c r="J154" s="80"/>
      <c r="K154" s="80" t="s">
        <v>66</v>
      </c>
      <c r="L154" s="80"/>
      <c r="M154" s="105" t="str">
        <f>IFERROR(VLOOKUP(G154,Reference!$I$2:$J$175,2,FALSE()),"Operations")</f>
        <v>Operations</v>
      </c>
    </row>
    <row r="155" spans="1:13" ht="15" customHeight="1" x14ac:dyDescent="0.25">
      <c r="A155" s="77" t="s">
        <v>748</v>
      </c>
      <c r="B155" s="111">
        <v>45440</v>
      </c>
      <c r="C155" s="77"/>
      <c r="D155" s="77" t="s">
        <v>713</v>
      </c>
      <c r="E155" s="77" t="s">
        <v>179</v>
      </c>
      <c r="F155" s="77" t="s">
        <v>191</v>
      </c>
      <c r="G155" s="77" t="s">
        <v>728</v>
      </c>
      <c r="H155" s="77" t="s">
        <v>75</v>
      </c>
      <c r="I155" s="77" t="s">
        <v>657</v>
      </c>
      <c r="J155" s="77"/>
      <c r="K155" s="77" t="s">
        <v>66</v>
      </c>
      <c r="L155" s="77"/>
      <c r="M155" s="102" t="str">
        <f>IFERROR(VLOOKUP(G155,Reference!$I$2:$J$175,2,FALSE()),"Operations")</f>
        <v>Operations</v>
      </c>
    </row>
    <row r="156" spans="1:13" ht="15" customHeight="1" x14ac:dyDescent="0.25">
      <c r="A156" s="80" t="s">
        <v>749</v>
      </c>
      <c r="B156" s="112">
        <v>45441</v>
      </c>
      <c r="C156" s="80"/>
      <c r="D156" s="80" t="s">
        <v>626</v>
      </c>
      <c r="E156" s="80" t="s">
        <v>184</v>
      </c>
      <c r="F156" s="80" t="s">
        <v>191</v>
      </c>
      <c r="G156" s="80" t="s">
        <v>750</v>
      </c>
      <c r="H156" s="80" t="s">
        <v>56</v>
      </c>
      <c r="I156" s="80" t="s">
        <v>751</v>
      </c>
      <c r="J156" s="80"/>
      <c r="K156" s="80" t="s">
        <v>68</v>
      </c>
      <c r="L156" s="80"/>
      <c r="M156" s="105" t="str">
        <f>IFERROR(VLOOKUP(G156,Reference!$I$2:$J$175,2,FALSE()),"Operations")</f>
        <v>Operations</v>
      </c>
    </row>
    <row r="157" spans="1:13" ht="15" customHeight="1" x14ac:dyDescent="0.25">
      <c r="A157" s="77" t="s">
        <v>752</v>
      </c>
      <c r="B157" s="111">
        <v>45443</v>
      </c>
      <c r="C157" s="77"/>
      <c r="D157" s="77" t="s">
        <v>318</v>
      </c>
      <c r="E157" s="77" t="s">
        <v>184</v>
      </c>
      <c r="F157" s="77" t="s">
        <v>191</v>
      </c>
      <c r="G157" s="77" t="s">
        <v>259</v>
      </c>
      <c r="H157" s="77" t="s">
        <v>60</v>
      </c>
      <c r="I157" s="77" t="s">
        <v>331</v>
      </c>
      <c r="J157" s="77"/>
      <c r="K157" s="77" t="s">
        <v>70</v>
      </c>
      <c r="L157" s="77"/>
      <c r="M157" s="102" t="str">
        <f>IFERROR(VLOOKUP(G157,Reference!$I$2:$J$175,2,FALSE()),"Operations")</f>
        <v>Behavioral Health</v>
      </c>
    </row>
    <row r="158" spans="1:13" ht="15" customHeight="1" x14ac:dyDescent="0.25">
      <c r="A158" s="80" t="s">
        <v>753</v>
      </c>
      <c r="B158" s="112">
        <v>45443</v>
      </c>
      <c r="C158" s="80"/>
      <c r="D158" s="80" t="s">
        <v>373</v>
      </c>
      <c r="E158" s="80" t="s">
        <v>184</v>
      </c>
      <c r="F158" s="80" t="s">
        <v>191</v>
      </c>
      <c r="G158" s="80" t="s">
        <v>76</v>
      </c>
      <c r="H158" s="80" t="s">
        <v>56</v>
      </c>
      <c r="I158" s="80" t="s">
        <v>439</v>
      </c>
      <c r="J158" s="80"/>
      <c r="K158" s="80" t="s">
        <v>76</v>
      </c>
      <c r="L158" s="80"/>
      <c r="M158" s="105" t="str">
        <f>IFERROR(VLOOKUP(G158,Reference!$I$2:$J$175,2,FALSE()),"Operations")</f>
        <v>Children Services</v>
      </c>
    </row>
    <row r="159" spans="1:13" ht="15" customHeight="1" x14ac:dyDescent="0.25">
      <c r="A159" s="77" t="s">
        <v>754</v>
      </c>
      <c r="B159" s="111">
        <v>45440</v>
      </c>
      <c r="C159" s="77"/>
      <c r="D159" s="77" t="s">
        <v>313</v>
      </c>
      <c r="E159" s="77" t="s">
        <v>179</v>
      </c>
      <c r="F159" s="77" t="s">
        <v>191</v>
      </c>
      <c r="G159" s="77" t="s">
        <v>755</v>
      </c>
      <c r="H159" s="77" t="s">
        <v>58</v>
      </c>
      <c r="I159" s="77" t="s">
        <v>657</v>
      </c>
      <c r="J159" s="77"/>
      <c r="K159" s="77" t="s">
        <v>66</v>
      </c>
      <c r="L159" s="77"/>
      <c r="M159" s="102" t="str">
        <f>IFERROR(VLOOKUP(G159,Reference!$I$2:$J$175,2,FALSE()),"Operations")</f>
        <v>Operations</v>
      </c>
    </row>
    <row r="160" spans="1:13" ht="15" customHeight="1" x14ac:dyDescent="0.25">
      <c r="A160" s="80" t="s">
        <v>756</v>
      </c>
      <c r="B160" s="112">
        <v>45442</v>
      </c>
      <c r="C160" s="80"/>
      <c r="D160" s="80" t="s">
        <v>595</v>
      </c>
      <c r="E160" s="80" t="s">
        <v>179</v>
      </c>
      <c r="F160" s="80" t="s">
        <v>180</v>
      </c>
      <c r="G160" s="80" t="s">
        <v>310</v>
      </c>
      <c r="H160" s="80" t="s">
        <v>64</v>
      </c>
      <c r="I160" s="80" t="s">
        <v>235</v>
      </c>
      <c r="J160" s="80"/>
      <c r="K160" s="80" t="s">
        <v>66</v>
      </c>
      <c r="L160" s="80"/>
      <c r="M160" s="105" t="str">
        <f>IFERROR(VLOOKUP(G160,Reference!$I$2:$J$175,2,FALSE()),"Operations")</f>
        <v>Operations</v>
      </c>
    </row>
    <row r="161" spans="1:13" ht="15" customHeight="1" x14ac:dyDescent="0.25">
      <c r="A161" s="77" t="s">
        <v>757</v>
      </c>
      <c r="B161" s="111">
        <v>45442</v>
      </c>
      <c r="C161" s="77"/>
      <c r="D161" s="77" t="s">
        <v>695</v>
      </c>
      <c r="E161" s="77" t="s">
        <v>184</v>
      </c>
      <c r="F161" s="77" t="s">
        <v>191</v>
      </c>
      <c r="G161" s="77" t="s">
        <v>319</v>
      </c>
      <c r="H161" s="77" t="s">
        <v>69</v>
      </c>
      <c r="I161" s="77" t="s">
        <v>182</v>
      </c>
      <c r="J161" s="77"/>
      <c r="K161" s="77" t="s">
        <v>66</v>
      </c>
      <c r="L161" s="77"/>
      <c r="M161" s="102" t="str">
        <f>IFERROR(VLOOKUP(G161,Reference!$I$2:$J$175,2,FALSE()),"Operations")</f>
        <v>Operations</v>
      </c>
    </row>
    <row r="162" spans="1:13" ht="15" customHeight="1" x14ac:dyDescent="0.25">
      <c r="A162" s="103"/>
      <c r="B162" s="104"/>
      <c r="C162" s="104"/>
      <c r="D162" s="103">
        <f>IF(OR(B162="",C162=""),"",IF(DATEDIF(C162,B162,"y")&gt;=1,DATEDIF(C162,B162,"y")&amp;IF(DATEDIF(C162,B162,"y")=1," year "," years ")&amp;DATEDIF(C162,B162,"ym")&amp;IF(DATEDIF(C162,B162,"ym")=1," month"," months"),IF(DATEDIF(C162,B162,"m")&gt;=1,DATEDIF(C162,B162,"m")&amp;IF(DATEDIF(C162,B162,"m")=1," month"," months"),DATEDIF(C162,B162,"d")&amp;IF(DATEDIF(C162,B162,"d")=1," day"," days"))))</f>
      </c>
      <c r="E162" s="103"/>
      <c r="F162" s="103"/>
      <c r="G162" s="103"/>
      <c r="H162" s="103"/>
      <c r="I162" s="103"/>
      <c r="J162" s="104"/>
      <c r="K162" s="103"/>
      <c r="L162" s="103"/>
      <c r="M162" s="105" t="str">
        <f>IFERROR(VLOOKUP(G162,Reference!$I$2:$J$175,2,FALSE()),"Operations")</f>
        <v>Operations</v>
      </c>
    </row>
    <row r="163" spans="1:13" ht="15" customHeight="1" x14ac:dyDescent="0.25">
      <c r="A163" s="100"/>
      <c r="B163" s="101"/>
      <c r="C163" s="101"/>
      <c r="D163" s="100">
        <f>IF(OR(B163="",C163=""),"",IF(DATEDIF(C163,B163,"y")&gt;=1,DATEDIF(C163,B163,"y")&amp;IF(DATEDIF(C163,B163,"y")=1," year "," years ")&amp;DATEDIF(C163,B163,"ym")&amp;IF(DATEDIF(C163,B163,"ym")=1," month"," months"),IF(DATEDIF(C163,B163,"m")&gt;=1,DATEDIF(C163,B163,"m")&amp;IF(DATEDIF(C163,B163,"m")=1," month"," months"),DATEDIF(C163,B163,"d")&amp;IF(DATEDIF(C163,B163,"d")=1," day"," days"))))</f>
      </c>
      <c r="E163" s="100"/>
      <c r="F163" s="100"/>
      <c r="G163" s="100"/>
      <c r="H163" s="100"/>
      <c r="I163" s="100"/>
      <c r="J163" s="101"/>
      <c r="K163" s="100"/>
      <c r="L163" s="100"/>
      <c r="M163" s="102" t="str">
        <f>IFERROR(VLOOKUP(G163,Reference!$I$2:$J$175,2,FALSE()),"Operations")</f>
        <v>Operations</v>
      </c>
    </row>
    <row r="164" spans="1:13" ht="15" customHeight="1" x14ac:dyDescent="0.25">
      <c r="A164" s="103"/>
      <c r="B164" s="104"/>
      <c r="C164" s="104"/>
      <c r="D164" s="103">
        <f>IF(OR(B164="",C164=""),"",IF(DATEDIF(C164,B164,"y")&gt;=1,DATEDIF(C164,B164,"y")&amp;IF(DATEDIF(C164,B164,"y")=1," year "," years ")&amp;DATEDIF(C164,B164,"ym")&amp;IF(DATEDIF(C164,B164,"ym")=1," month"," months"),IF(DATEDIF(C164,B164,"m")&gt;=1,DATEDIF(C164,B164,"m")&amp;IF(DATEDIF(C164,B164,"m")=1," month"," months"),DATEDIF(C164,B164,"d")&amp;IF(DATEDIF(C164,B164,"d")=1," day"," days"))))</f>
      </c>
      <c r="E164" s="103"/>
      <c r="F164" s="103"/>
      <c r="G164" s="103"/>
      <c r="H164" s="103"/>
      <c r="I164" s="103"/>
      <c r="J164" s="104"/>
      <c r="K164" s="103"/>
      <c r="L164" s="103"/>
      <c r="M164" s="105" t="str">
        <f>IFERROR(VLOOKUP(G164,Reference!$I$2:$J$175,2,FALSE()),"Operations")</f>
        <v>Operations</v>
      </c>
    </row>
    <row r="165" spans="1:13" ht="15" customHeight="1" x14ac:dyDescent="0.25">
      <c r="A165" s="100"/>
      <c r="B165" s="101"/>
      <c r="C165" s="101"/>
      <c r="D165" s="100">
        <f>IF(OR(B165="",C165=""),"",IF(DATEDIF(C165,B165,"y")&gt;=1,DATEDIF(C165,B165,"y")&amp;IF(DATEDIF(C165,B165,"y")=1," year "," years ")&amp;DATEDIF(C165,B165,"ym")&amp;IF(DATEDIF(C165,B165,"ym")=1," month"," months"),IF(DATEDIF(C165,B165,"m")&gt;=1,DATEDIF(C165,B165,"m")&amp;IF(DATEDIF(C165,B165,"m")=1," month"," months"),DATEDIF(C165,B165,"d")&amp;IF(DATEDIF(C165,B165,"d")=1," day"," days"))))</f>
      </c>
      <c r="E165" s="100"/>
      <c r="F165" s="100"/>
      <c r="G165" s="100"/>
      <c r="H165" s="100"/>
      <c r="I165" s="100"/>
      <c r="J165" s="101"/>
      <c r="K165" s="100"/>
      <c r="L165" s="100"/>
      <c r="M165" s="102" t="str">
        <f>IFERROR(VLOOKUP(G165,Reference!$I$2:$J$175,2,FALSE()),"Operations")</f>
        <v>Operations</v>
      </c>
    </row>
    <row r="166" spans="1:13" ht="15" customHeight="1" x14ac:dyDescent="0.25">
      <c r="A166" s="103"/>
      <c r="B166" s="104"/>
      <c r="C166" s="104"/>
      <c r="D166" s="103">
        <f>IF(OR(B166="",C166=""),"",IF(DATEDIF(C166,B166,"y")&gt;=1,DATEDIF(C166,B166,"y")&amp;IF(DATEDIF(C166,B166,"y")=1," year "," years ")&amp;DATEDIF(C166,B166,"ym")&amp;IF(DATEDIF(C166,B166,"ym")=1," month"," months"),IF(DATEDIF(C166,B166,"m")&gt;=1,DATEDIF(C166,B166,"m")&amp;IF(DATEDIF(C166,B166,"m")=1," month"," months"),DATEDIF(C166,B166,"d")&amp;IF(DATEDIF(C166,B166,"d")=1," day"," days"))))</f>
      </c>
      <c r="E166" s="103"/>
      <c r="F166" s="103"/>
      <c r="G166" s="103"/>
      <c r="H166" s="103"/>
      <c r="I166" s="103"/>
      <c r="J166" s="104"/>
      <c r="K166" s="103"/>
      <c r="L166" s="103"/>
      <c r="M166" s="105" t="str">
        <f>IFERROR(VLOOKUP(G166,Reference!$I$2:$J$175,2,FALSE()),"Operations")</f>
        <v>Operations</v>
      </c>
    </row>
    <row r="167" spans="1:13" ht="15" customHeight="1" x14ac:dyDescent="0.25">
      <c r="A167" s="100"/>
      <c r="B167" s="101"/>
      <c r="C167" s="101"/>
      <c r="D167" s="100">
        <f>IF(OR(B167="",C167=""),"",IF(DATEDIF(C167,B167,"y")&gt;=1,DATEDIF(C167,B167,"y")&amp;IF(DATEDIF(C167,B167,"y")=1," year "," years ")&amp;DATEDIF(C167,B167,"ym")&amp;IF(DATEDIF(C167,B167,"ym")=1," month"," months"),IF(DATEDIF(C167,B167,"m")&gt;=1,DATEDIF(C167,B167,"m")&amp;IF(DATEDIF(C167,B167,"m")=1," month"," months"),DATEDIF(C167,B167,"d")&amp;IF(DATEDIF(C167,B167,"d")=1," day"," days"))))</f>
      </c>
      <c r="E167" s="100"/>
      <c r="F167" s="100"/>
      <c r="G167" s="100"/>
      <c r="H167" s="100"/>
      <c r="I167" s="100"/>
      <c r="J167" s="101"/>
      <c r="K167" s="100"/>
      <c r="L167" s="100"/>
      <c r="M167" s="102" t="str">
        <f>IFERROR(VLOOKUP(G167,Reference!$I$2:$J$175,2,FALSE()),"Operations")</f>
        <v>Operations</v>
      </c>
    </row>
    <row r="168" spans="1:13" ht="15" customHeight="1" x14ac:dyDescent="0.25">
      <c r="A168" s="103"/>
      <c r="B168" s="104"/>
      <c r="C168" s="104"/>
      <c r="D168" s="103">
        <f>IF(OR(B168="",C168=""),"",IF(DATEDIF(C168,B168,"y")&gt;=1,DATEDIF(C168,B168,"y")&amp;IF(DATEDIF(C168,B168,"y")=1," year "," years ")&amp;DATEDIF(C168,B168,"ym")&amp;IF(DATEDIF(C168,B168,"ym")=1," month"," months"),IF(DATEDIF(C168,B168,"m")&gt;=1,DATEDIF(C168,B168,"m")&amp;IF(DATEDIF(C168,B168,"m")=1," month"," months"),DATEDIF(C168,B168,"d")&amp;IF(DATEDIF(C168,B168,"d")=1," day"," days"))))</f>
      </c>
      <c r="E168" s="103"/>
      <c r="F168" s="103"/>
      <c r="G168" s="103"/>
      <c r="H168" s="103"/>
      <c r="I168" s="103"/>
      <c r="J168" s="104"/>
      <c r="K168" s="103"/>
      <c r="L168" s="103"/>
      <c r="M168" s="105" t="str">
        <f>IFERROR(VLOOKUP(G168,Reference!$I$2:$J$175,2,FALSE()),"Operations")</f>
        <v>Operations</v>
      </c>
    </row>
    <row r="169" spans="1:13" ht="15" customHeight="1" x14ac:dyDescent="0.25">
      <c r="A169" s="100"/>
      <c r="B169" s="101"/>
      <c r="C169" s="101"/>
      <c r="D169" s="100">
        <f>IF(OR(B169="",C169=""),"",IF(DATEDIF(C169,B169,"y")&gt;=1,DATEDIF(C169,B169,"y")&amp;IF(DATEDIF(C169,B169,"y")=1," year "," years ")&amp;DATEDIF(C169,B169,"ym")&amp;IF(DATEDIF(C169,B169,"ym")=1," month"," months"),IF(DATEDIF(C169,B169,"m")&gt;=1,DATEDIF(C169,B169,"m")&amp;IF(DATEDIF(C169,B169,"m")=1," month"," months"),DATEDIF(C169,B169,"d")&amp;IF(DATEDIF(C169,B169,"d")=1," day"," days"))))</f>
      </c>
      <c r="E169" s="100"/>
      <c r="F169" s="100"/>
      <c r="G169" s="100"/>
      <c r="H169" s="100"/>
      <c r="I169" s="100"/>
      <c r="J169" s="101"/>
      <c r="K169" s="100"/>
      <c r="L169" s="100"/>
      <c r="M169" s="102" t="str">
        <f>IFERROR(VLOOKUP(G169,Reference!$I$2:$J$175,2,FALSE()),"Operations")</f>
        <v>Operations</v>
      </c>
    </row>
    <row r="170" spans="1:13" ht="15" customHeight="1" x14ac:dyDescent="0.25">
      <c r="A170" s="103"/>
      <c r="B170" s="104"/>
      <c r="C170" s="104"/>
      <c r="D170" s="103">
        <f>IF(OR(B170="",C170=""),"",IF(DATEDIF(C170,B170,"y")&gt;=1,DATEDIF(C170,B170,"y")&amp;IF(DATEDIF(C170,B170,"y")=1," year "," years ")&amp;DATEDIF(C170,B170,"ym")&amp;IF(DATEDIF(C170,B170,"ym")=1," month"," months"),IF(DATEDIF(C170,B170,"m")&gt;=1,DATEDIF(C170,B170,"m")&amp;IF(DATEDIF(C170,B170,"m")=1," month"," months"),DATEDIF(C170,B170,"d")&amp;IF(DATEDIF(C170,B170,"d")=1," day"," days"))))</f>
      </c>
      <c r="E170" s="103"/>
      <c r="F170" s="103"/>
      <c r="G170" s="103"/>
      <c r="H170" s="103"/>
      <c r="I170" s="103"/>
      <c r="J170" s="104"/>
      <c r="K170" s="103"/>
      <c r="L170" s="103"/>
      <c r="M170" s="105" t="str">
        <f>IFERROR(VLOOKUP(G170,Reference!$I$2:$J$175,2,FALSE()),"Operations")</f>
        <v>Operations</v>
      </c>
    </row>
    <row r="171" spans="1:13" ht="15" customHeight="1" x14ac:dyDescent="0.25">
      <c r="A171" s="100"/>
      <c r="B171" s="101"/>
      <c r="C171" s="101"/>
      <c r="D171" s="100">
        <f>IF(OR(B171="",C171=""),"",IF(DATEDIF(C171,B171,"y")&gt;=1,DATEDIF(C171,B171,"y")&amp;IF(DATEDIF(C171,B171,"y")=1," year "," years ")&amp;DATEDIF(C171,B171,"ym")&amp;IF(DATEDIF(C171,B171,"ym")=1," month"," months"),IF(DATEDIF(C171,B171,"m")&gt;=1,DATEDIF(C171,B171,"m")&amp;IF(DATEDIF(C171,B171,"m")=1," month"," months"),DATEDIF(C171,B171,"d")&amp;IF(DATEDIF(C171,B171,"d")=1," day"," days"))))</f>
      </c>
      <c r="E171" s="100"/>
      <c r="F171" s="100"/>
      <c r="G171" s="100"/>
      <c r="H171" s="100"/>
      <c r="I171" s="100"/>
      <c r="J171" s="101"/>
      <c r="K171" s="100"/>
      <c r="L171" s="100"/>
      <c r="M171" s="102" t="str">
        <f>IFERROR(VLOOKUP(G171,Reference!$I$2:$J$175,2,FALSE()),"Operations")</f>
        <v>Operations</v>
      </c>
    </row>
    <row r="172" spans="1:13" ht="15" customHeight="1" x14ac:dyDescent="0.25">
      <c r="A172" s="103"/>
      <c r="B172" s="104"/>
      <c r="C172" s="104"/>
      <c r="D172" s="103">
        <f>IF(OR(B172="",C172=""),"",IF(DATEDIF(C172,B172,"y")&gt;=1,DATEDIF(C172,B172,"y")&amp;IF(DATEDIF(C172,B172,"y")=1," year "," years ")&amp;DATEDIF(C172,B172,"ym")&amp;IF(DATEDIF(C172,B172,"ym")=1," month"," months"),IF(DATEDIF(C172,B172,"m")&gt;=1,DATEDIF(C172,B172,"m")&amp;IF(DATEDIF(C172,B172,"m")=1," month"," months"),DATEDIF(C172,B172,"d")&amp;IF(DATEDIF(C172,B172,"d")=1," day"," days"))))</f>
      </c>
      <c r="E172" s="103"/>
      <c r="F172" s="103"/>
      <c r="G172" s="103"/>
      <c r="H172" s="103"/>
      <c r="I172" s="103"/>
      <c r="J172" s="104"/>
      <c r="K172" s="103"/>
      <c r="L172" s="103"/>
      <c r="M172" s="105" t="str">
        <f>IFERROR(VLOOKUP(G172,Reference!$I$2:$J$175,2,FALSE()),"Operations")</f>
        <v>Operations</v>
      </c>
    </row>
    <row r="173" spans="1:13" ht="15" customHeight="1" x14ac:dyDescent="0.25">
      <c r="A173" s="100"/>
      <c r="B173" s="101"/>
      <c r="C173" s="101"/>
      <c r="D173" s="100">
        <f>IF(OR(B173="",C173=""),"",IF(DATEDIF(C173,B173,"y")&gt;=1,DATEDIF(C173,B173,"y")&amp;IF(DATEDIF(C173,B173,"y")=1," year "," years ")&amp;DATEDIF(C173,B173,"ym")&amp;IF(DATEDIF(C173,B173,"ym")=1," month"," months"),IF(DATEDIF(C173,B173,"m")&gt;=1,DATEDIF(C173,B173,"m")&amp;IF(DATEDIF(C173,B173,"m")=1," month"," months"),DATEDIF(C173,B173,"d")&amp;IF(DATEDIF(C173,B173,"d")=1," day"," days"))))</f>
      </c>
      <c r="E173" s="100"/>
      <c r="F173" s="100"/>
      <c r="G173" s="100"/>
      <c r="H173" s="100"/>
      <c r="I173" s="100"/>
      <c r="J173" s="101"/>
      <c r="K173" s="100"/>
      <c r="L173" s="100"/>
      <c r="M173" s="102" t="str">
        <f>IFERROR(VLOOKUP(G173,Reference!$I$2:$J$175,2,FALSE()),"Operations")</f>
        <v>Operations</v>
      </c>
    </row>
    <row r="174" spans="1:13" ht="15" customHeight="1" x14ac:dyDescent="0.25">
      <c r="A174" s="103"/>
      <c r="B174" s="104"/>
      <c r="C174" s="104"/>
      <c r="D174" s="103">
        <f>IF(OR(B174="",C174=""),"",IF(DATEDIF(C174,B174,"y")&gt;=1,DATEDIF(C174,B174,"y")&amp;IF(DATEDIF(C174,B174,"y")=1," year "," years ")&amp;DATEDIF(C174,B174,"ym")&amp;IF(DATEDIF(C174,B174,"ym")=1," month"," months"),IF(DATEDIF(C174,B174,"m")&gt;=1,DATEDIF(C174,B174,"m")&amp;IF(DATEDIF(C174,B174,"m")=1," month"," months"),DATEDIF(C174,B174,"d")&amp;IF(DATEDIF(C174,B174,"d")=1," day"," days"))))</f>
      </c>
      <c r="E174" s="103"/>
      <c r="F174" s="103"/>
      <c r="G174" s="103"/>
      <c r="H174" s="103"/>
      <c r="I174" s="103"/>
      <c r="J174" s="104"/>
      <c r="K174" s="103"/>
      <c r="L174" s="103"/>
      <c r="M174" s="105" t="str">
        <f>IFERROR(VLOOKUP(G174,Reference!$I$2:$J$175,2,FALSE()),"Operations")</f>
        <v>Operations</v>
      </c>
    </row>
    <row r="175" spans="1:13" ht="15" customHeight="1" x14ac:dyDescent="0.25">
      <c r="A175" s="106" t="s">
        <v>163</v>
      </c>
      <c r="B175" s="107">
        <f>COUNTA(A145:A174)</f>
        <v>17</v>
      </c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</row>
    <row r="176" spans="1:13" ht="6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</row>
    <row r="177" spans="1:13" ht="21.75" customHeight="1" x14ac:dyDescent="0.25">
      <c r="A177" s="163" t="s">
        <v>758</v>
      </c>
      <c r="B177" s="163"/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</row>
    <row r="178" spans="1:13" ht="19.5" customHeight="1" x14ac:dyDescent="0.25">
      <c r="A178" s="64" t="s">
        <v>151</v>
      </c>
      <c r="B178" s="64" t="s">
        <v>152</v>
      </c>
      <c r="C178" s="64" t="s">
        <v>153</v>
      </c>
      <c r="D178" s="64" t="s">
        <v>154</v>
      </c>
      <c r="E178" s="64" t="s">
        <v>155</v>
      </c>
      <c r="F178" s="64" t="s">
        <v>156</v>
      </c>
      <c r="G178" s="64" t="s">
        <v>157</v>
      </c>
      <c r="H178" s="64" t="s">
        <v>158</v>
      </c>
      <c r="I178" s="64" t="s">
        <v>159</v>
      </c>
      <c r="J178" s="64" t="s">
        <v>160</v>
      </c>
      <c r="K178" s="64" t="s">
        <v>134</v>
      </c>
      <c r="L178" s="64" t="s">
        <v>161</v>
      </c>
      <c r="M178" s="64" t="s">
        <v>162</v>
      </c>
    </row>
    <row r="179" spans="1:13" ht="15" customHeight="1" x14ac:dyDescent="0.25">
      <c r="A179" s="77" t="s">
        <v>759</v>
      </c>
      <c r="B179" s="111">
        <v>45447</v>
      </c>
      <c r="C179" s="77"/>
      <c r="D179" s="77" t="s">
        <v>313</v>
      </c>
      <c r="E179" s="77" t="s">
        <v>179</v>
      </c>
      <c r="F179" s="77" t="s">
        <v>191</v>
      </c>
      <c r="G179" s="77" t="s">
        <v>656</v>
      </c>
      <c r="H179" s="77" t="s">
        <v>75</v>
      </c>
      <c r="I179" s="77" t="s">
        <v>657</v>
      </c>
      <c r="J179" s="77"/>
      <c r="K179" s="77" t="s">
        <v>66</v>
      </c>
      <c r="L179" s="77"/>
      <c r="M179" s="102" t="str">
        <f>IFERROR(VLOOKUP(G179,Reference!$I$2:$J$175,2,FALSE()),"Operations")</f>
        <v>Operations</v>
      </c>
    </row>
    <row r="180" spans="1:13" ht="15" customHeight="1" x14ac:dyDescent="0.25">
      <c r="A180" s="80" t="s">
        <v>760</v>
      </c>
      <c r="B180" s="112">
        <v>45447</v>
      </c>
      <c r="C180" s="80"/>
      <c r="D180" s="80" t="s">
        <v>695</v>
      </c>
      <c r="E180" s="80" t="s">
        <v>179</v>
      </c>
      <c r="F180" s="80" t="s">
        <v>191</v>
      </c>
      <c r="G180" s="80" t="s">
        <v>285</v>
      </c>
      <c r="H180" s="80" t="s">
        <v>70</v>
      </c>
      <c r="I180" s="80" t="s">
        <v>304</v>
      </c>
      <c r="J180" s="80"/>
      <c r="K180" s="80" t="s">
        <v>483</v>
      </c>
      <c r="L180" s="80"/>
      <c r="M180" s="105" t="str">
        <f>IFERROR(VLOOKUP(G180,Reference!$I$2:$J$175,2,FALSE()),"Operations")</f>
        <v>Children Services</v>
      </c>
    </row>
    <row r="181" spans="1:13" ht="15" customHeight="1" x14ac:dyDescent="0.25">
      <c r="A181" s="77" t="s">
        <v>761</v>
      </c>
      <c r="B181" s="111">
        <v>45448</v>
      </c>
      <c r="C181" s="77"/>
      <c r="D181" s="77" t="s">
        <v>644</v>
      </c>
      <c r="E181" s="77" t="s">
        <v>179</v>
      </c>
      <c r="F181" s="77" t="s">
        <v>191</v>
      </c>
      <c r="G181" s="77" t="s">
        <v>307</v>
      </c>
      <c r="H181" s="77" t="s">
        <v>64</v>
      </c>
      <c r="I181" s="77" t="s">
        <v>762</v>
      </c>
      <c r="J181" s="77"/>
      <c r="K181" s="77" t="s">
        <v>66</v>
      </c>
      <c r="L181" s="77"/>
      <c r="M181" s="102" t="str">
        <f>IFERROR(VLOOKUP(G181,Reference!$I$2:$J$175,2,FALSE()),"Operations")</f>
        <v>Operations</v>
      </c>
    </row>
    <row r="182" spans="1:13" ht="15" customHeight="1" x14ac:dyDescent="0.25">
      <c r="A182" s="80" t="s">
        <v>763</v>
      </c>
      <c r="B182" s="112">
        <v>45450</v>
      </c>
      <c r="C182" s="80"/>
      <c r="D182" s="80" t="s">
        <v>677</v>
      </c>
      <c r="E182" s="80" t="s">
        <v>179</v>
      </c>
      <c r="F182" s="80" t="s">
        <v>191</v>
      </c>
      <c r="G182" s="80" t="s">
        <v>355</v>
      </c>
      <c r="H182" s="80" t="s">
        <v>75</v>
      </c>
      <c r="I182" s="80" t="s">
        <v>235</v>
      </c>
      <c r="J182" s="80"/>
      <c r="K182" s="80" t="s">
        <v>66</v>
      </c>
      <c r="L182" s="80"/>
      <c r="M182" s="105" t="str">
        <f>IFERROR(VLOOKUP(G182,Reference!$I$2:$J$175,2,FALSE()),"Operations")</f>
        <v>Operations</v>
      </c>
    </row>
    <row r="183" spans="1:13" ht="15" customHeight="1" x14ac:dyDescent="0.25">
      <c r="A183" s="77" t="s">
        <v>764</v>
      </c>
      <c r="B183" s="111">
        <v>45455</v>
      </c>
      <c r="C183" s="77"/>
      <c r="D183" s="77" t="s">
        <v>644</v>
      </c>
      <c r="E183" s="77" t="s">
        <v>179</v>
      </c>
      <c r="F183" s="77" t="s">
        <v>191</v>
      </c>
      <c r="G183" s="77" t="s">
        <v>355</v>
      </c>
      <c r="H183" s="77" t="s">
        <v>69</v>
      </c>
      <c r="I183" s="77" t="s">
        <v>235</v>
      </c>
      <c r="J183" s="77"/>
      <c r="K183" s="77" t="s">
        <v>66</v>
      </c>
      <c r="L183" s="77"/>
      <c r="M183" s="102" t="str">
        <f>IFERROR(VLOOKUP(G183,Reference!$I$2:$J$175,2,FALSE()),"Operations")</f>
        <v>Operations</v>
      </c>
    </row>
    <row r="184" spans="1:13" ht="15" customHeight="1" x14ac:dyDescent="0.25">
      <c r="A184" s="80" t="s">
        <v>765</v>
      </c>
      <c r="B184" s="112">
        <v>45457</v>
      </c>
      <c r="C184" s="80"/>
      <c r="D184" s="80" t="s">
        <v>595</v>
      </c>
      <c r="E184" s="80" t="s">
        <v>184</v>
      </c>
      <c r="F184" s="80" t="s">
        <v>191</v>
      </c>
      <c r="G184" s="80" t="s">
        <v>285</v>
      </c>
      <c r="H184" s="80" t="s">
        <v>58</v>
      </c>
      <c r="I184" s="80" t="s">
        <v>304</v>
      </c>
      <c r="J184" s="80"/>
      <c r="K184" s="80" t="s">
        <v>81</v>
      </c>
      <c r="L184" s="80"/>
      <c r="M184" s="105" t="str">
        <f>IFERROR(VLOOKUP(G184,Reference!$I$2:$J$175,2,FALSE()),"Operations")</f>
        <v>Children Services</v>
      </c>
    </row>
    <row r="185" spans="1:13" ht="15" customHeight="1" x14ac:dyDescent="0.25">
      <c r="A185" s="77" t="s">
        <v>766</v>
      </c>
      <c r="B185" s="111">
        <v>45457</v>
      </c>
      <c r="C185" s="77"/>
      <c r="D185" s="77" t="s">
        <v>358</v>
      </c>
      <c r="E185" s="77" t="s">
        <v>179</v>
      </c>
      <c r="F185" s="77" t="s">
        <v>191</v>
      </c>
      <c r="G185" s="77" t="s">
        <v>181</v>
      </c>
      <c r="H185" s="77" t="s">
        <v>75</v>
      </c>
      <c r="I185" s="77" t="s">
        <v>617</v>
      </c>
      <c r="J185" s="77"/>
      <c r="K185" s="77" t="s">
        <v>66</v>
      </c>
      <c r="L185" s="77"/>
      <c r="M185" s="102" t="str">
        <f>IFERROR(VLOOKUP(G185,Reference!$I$2:$J$175,2,FALSE()),"Operations")</f>
        <v>Operations</v>
      </c>
    </row>
    <row r="186" spans="1:13" ht="15" customHeight="1" x14ac:dyDescent="0.25">
      <c r="A186" s="80" t="s">
        <v>767</v>
      </c>
      <c r="B186" s="112">
        <v>45457</v>
      </c>
      <c r="C186" s="80"/>
      <c r="D186" s="80" t="s">
        <v>677</v>
      </c>
      <c r="E186" s="80" t="s">
        <v>179</v>
      </c>
      <c r="F186" s="80" t="s">
        <v>191</v>
      </c>
      <c r="G186" s="80" t="s">
        <v>319</v>
      </c>
      <c r="H186" s="80" t="s">
        <v>70</v>
      </c>
      <c r="I186" s="80" t="s">
        <v>182</v>
      </c>
      <c r="J186" s="80"/>
      <c r="K186" s="80" t="s">
        <v>66</v>
      </c>
      <c r="L186" s="80"/>
      <c r="M186" s="105" t="str">
        <f>IFERROR(VLOOKUP(G186,Reference!$I$2:$J$175,2,FALSE()),"Operations")</f>
        <v>Operations</v>
      </c>
    </row>
    <row r="187" spans="1:13" ht="15" customHeight="1" x14ac:dyDescent="0.25">
      <c r="A187" s="77" t="s">
        <v>768</v>
      </c>
      <c r="B187" s="111">
        <v>45459</v>
      </c>
      <c r="C187" s="77"/>
      <c r="D187" s="77" t="s">
        <v>342</v>
      </c>
      <c r="E187" s="77" t="s">
        <v>184</v>
      </c>
      <c r="F187" s="77" t="s">
        <v>191</v>
      </c>
      <c r="G187" s="77" t="s">
        <v>475</v>
      </c>
      <c r="H187" s="77" t="s">
        <v>70</v>
      </c>
      <c r="I187" s="77" t="s">
        <v>182</v>
      </c>
      <c r="J187" s="77"/>
      <c r="K187" s="77" t="s">
        <v>66</v>
      </c>
      <c r="L187" s="77"/>
      <c r="M187" s="102" t="str">
        <f>IFERROR(VLOOKUP(G187,Reference!$I$2:$J$175,2,FALSE()),"Operations")</f>
        <v>Operations</v>
      </c>
    </row>
    <row r="188" spans="1:13" ht="15" customHeight="1" x14ac:dyDescent="0.25">
      <c r="A188" s="80" t="s">
        <v>769</v>
      </c>
      <c r="B188" s="112">
        <v>45463</v>
      </c>
      <c r="C188" s="80"/>
      <c r="D188" s="80" t="s">
        <v>367</v>
      </c>
      <c r="E188" s="80" t="s">
        <v>184</v>
      </c>
      <c r="F188" s="80" t="s">
        <v>191</v>
      </c>
      <c r="G188" s="80" t="s">
        <v>738</v>
      </c>
      <c r="H188" s="80" t="s">
        <v>60</v>
      </c>
      <c r="I188" s="80" t="s">
        <v>608</v>
      </c>
      <c r="J188" s="80"/>
      <c r="K188" s="80" t="s">
        <v>84</v>
      </c>
      <c r="L188" s="80"/>
      <c r="M188" s="105" t="str">
        <f>IFERROR(VLOOKUP(G188,Reference!$I$2:$J$175,2,FALSE()),"Operations")</f>
        <v>Employment Services</v>
      </c>
    </row>
    <row r="189" spans="1:13" ht="15" customHeight="1" x14ac:dyDescent="0.25">
      <c r="A189" s="77" t="s">
        <v>770</v>
      </c>
      <c r="B189" s="111">
        <v>45464</v>
      </c>
      <c r="C189" s="77"/>
      <c r="D189" s="77" t="s">
        <v>302</v>
      </c>
      <c r="E189" s="77" t="s">
        <v>179</v>
      </c>
      <c r="F189" s="77" t="s">
        <v>180</v>
      </c>
      <c r="G189" s="77" t="s">
        <v>223</v>
      </c>
      <c r="H189" s="77" t="s">
        <v>64</v>
      </c>
      <c r="I189" s="77" t="s">
        <v>762</v>
      </c>
      <c r="J189" s="77"/>
      <c r="K189" s="77" t="s">
        <v>66</v>
      </c>
      <c r="L189" s="77"/>
      <c r="M189" s="102" t="str">
        <f>IFERROR(VLOOKUP(G189,Reference!$I$2:$J$175,2,FALSE()),"Operations")</f>
        <v>Operations</v>
      </c>
    </row>
    <row r="190" spans="1:13" ht="15" customHeight="1" x14ac:dyDescent="0.25">
      <c r="A190" s="80" t="s">
        <v>771</v>
      </c>
      <c r="B190" s="112">
        <v>45470</v>
      </c>
      <c r="C190" s="80"/>
      <c r="D190" s="80" t="s">
        <v>677</v>
      </c>
      <c r="E190" s="80" t="s">
        <v>179</v>
      </c>
      <c r="F190" s="80" t="s">
        <v>180</v>
      </c>
      <c r="G190" s="80" t="s">
        <v>285</v>
      </c>
      <c r="H190" s="80" t="s">
        <v>70</v>
      </c>
      <c r="I190" s="80" t="s">
        <v>304</v>
      </c>
      <c r="J190" s="80"/>
      <c r="K190" s="80" t="s">
        <v>81</v>
      </c>
      <c r="L190" s="80"/>
      <c r="M190" s="105" t="str">
        <f>IFERROR(VLOOKUP(G190,Reference!$I$2:$J$175,2,FALSE()),"Operations")</f>
        <v>Children Services</v>
      </c>
    </row>
    <row r="191" spans="1:13" ht="15" customHeight="1" x14ac:dyDescent="0.25">
      <c r="A191" s="100"/>
      <c r="B191" s="101"/>
      <c r="C191" s="101"/>
      <c r="D191" s="100">
        <f>IF(OR(B191="",C191=""),"",IF(DATEDIF(C191,B191,"y")&gt;=1,DATEDIF(C191,B191,"y")&amp;IF(DATEDIF(C191,B191,"y")=1," year "," years ")&amp;DATEDIF(C191,B191,"ym")&amp;IF(DATEDIF(C191,B191,"ym")=1," month"," months"),IF(DATEDIF(C191,B191,"m")&gt;=1,DATEDIF(C191,B191,"m")&amp;IF(DATEDIF(C191,B191,"m")=1," month"," months"),DATEDIF(C191,B191,"d")&amp;IF(DATEDIF(C191,B191,"d")=1," day"," days"))))</f>
      </c>
      <c r="E191" s="100"/>
      <c r="F191" s="100"/>
      <c r="G191" s="100"/>
      <c r="H191" s="100"/>
      <c r="I191" s="100"/>
      <c r="J191" s="101"/>
      <c r="K191" s="100"/>
      <c r="L191" s="100"/>
      <c r="M191" s="102" t="str">
        <f>IFERROR(VLOOKUP(G191,Reference!$I$2:$J$175,2,FALSE()),"Operations")</f>
        <v>Operations</v>
      </c>
    </row>
    <row r="192" spans="1:13" ht="15" customHeight="1" x14ac:dyDescent="0.25">
      <c r="A192" s="103"/>
      <c r="B192" s="104"/>
      <c r="C192" s="104"/>
      <c r="D192" s="103">
        <f>IF(OR(B192="",C192=""),"",IF(DATEDIF(C192,B192,"y")&gt;=1,DATEDIF(C192,B192,"y")&amp;IF(DATEDIF(C192,B192,"y")=1," year "," years ")&amp;DATEDIF(C192,B192,"ym")&amp;IF(DATEDIF(C192,B192,"ym")=1," month"," months"),IF(DATEDIF(C192,B192,"m")&gt;=1,DATEDIF(C192,B192,"m")&amp;IF(DATEDIF(C192,B192,"m")=1," month"," months"),DATEDIF(C192,B192,"d")&amp;IF(DATEDIF(C192,B192,"d")=1," day"," days"))))</f>
      </c>
      <c r="E192" s="103"/>
      <c r="F192" s="103"/>
      <c r="G192" s="103"/>
      <c r="H192" s="103"/>
      <c r="I192" s="103"/>
      <c r="J192" s="104"/>
      <c r="K192" s="103"/>
      <c r="L192" s="103"/>
      <c r="M192" s="105" t="str">
        <f>IFERROR(VLOOKUP(G192,Reference!$I$2:$J$175,2,FALSE()),"Operations")</f>
        <v>Operations</v>
      </c>
    </row>
    <row r="193" spans="1:13" ht="15" customHeight="1" x14ac:dyDescent="0.25">
      <c r="A193" s="100"/>
      <c r="B193" s="101"/>
      <c r="C193" s="101"/>
      <c r="D193" s="100">
        <f>IF(OR(B193="",C193=""),"",IF(DATEDIF(C193,B193,"y")&gt;=1,DATEDIF(C193,B193,"y")&amp;IF(DATEDIF(C193,B193,"y")=1," year "," years ")&amp;DATEDIF(C193,B193,"ym")&amp;IF(DATEDIF(C193,B193,"ym")=1," month"," months"),IF(DATEDIF(C193,B193,"m")&gt;=1,DATEDIF(C193,B193,"m")&amp;IF(DATEDIF(C193,B193,"m")=1," month"," months"),DATEDIF(C193,B193,"d")&amp;IF(DATEDIF(C193,B193,"d")=1," day"," days"))))</f>
      </c>
      <c r="E193" s="100"/>
      <c r="F193" s="100"/>
      <c r="G193" s="100"/>
      <c r="H193" s="100"/>
      <c r="I193" s="100"/>
      <c r="J193" s="101"/>
      <c r="K193" s="100"/>
      <c r="L193" s="100"/>
      <c r="M193" s="102" t="str">
        <f>IFERROR(VLOOKUP(G193,Reference!$I$2:$J$175,2,FALSE()),"Operations")</f>
        <v>Operations</v>
      </c>
    </row>
    <row r="194" spans="1:13" ht="15" customHeight="1" x14ac:dyDescent="0.25">
      <c r="A194" s="103"/>
      <c r="B194" s="104"/>
      <c r="C194" s="104"/>
      <c r="D194" s="103">
        <f>IF(OR(B194="",C194=""),"",IF(DATEDIF(C194,B194,"y")&gt;=1,DATEDIF(C194,B194,"y")&amp;IF(DATEDIF(C194,B194,"y")=1," year "," years ")&amp;DATEDIF(C194,B194,"ym")&amp;IF(DATEDIF(C194,B194,"ym")=1," month"," months"),IF(DATEDIF(C194,B194,"m")&gt;=1,DATEDIF(C194,B194,"m")&amp;IF(DATEDIF(C194,B194,"m")=1," month"," months"),DATEDIF(C194,B194,"d")&amp;IF(DATEDIF(C194,B194,"d")=1," day"," days"))))</f>
      </c>
      <c r="E194" s="103"/>
      <c r="F194" s="103"/>
      <c r="G194" s="103"/>
      <c r="H194" s="103"/>
      <c r="I194" s="103"/>
      <c r="J194" s="104"/>
      <c r="K194" s="103"/>
      <c r="L194" s="103"/>
      <c r="M194" s="105" t="str">
        <f>IFERROR(VLOOKUP(G194,Reference!$I$2:$J$175,2,FALSE()),"Operations")</f>
        <v>Operations</v>
      </c>
    </row>
    <row r="195" spans="1:13" ht="15" customHeight="1" x14ac:dyDescent="0.25">
      <c r="A195" s="100"/>
      <c r="B195" s="101"/>
      <c r="C195" s="101"/>
      <c r="D195" s="100">
        <f>IF(OR(B195="",C195=""),"",IF(DATEDIF(C195,B195,"y")&gt;=1,DATEDIF(C195,B195,"y")&amp;IF(DATEDIF(C195,B195,"y")=1," year "," years ")&amp;DATEDIF(C195,B195,"ym")&amp;IF(DATEDIF(C195,B195,"ym")=1," month"," months"),IF(DATEDIF(C195,B195,"m")&gt;=1,DATEDIF(C195,B195,"m")&amp;IF(DATEDIF(C195,B195,"m")=1," month"," months"),DATEDIF(C195,B195,"d")&amp;IF(DATEDIF(C195,B195,"d")=1," day"," days"))))</f>
      </c>
      <c r="E195" s="100"/>
      <c r="F195" s="100"/>
      <c r="G195" s="100"/>
      <c r="H195" s="100"/>
      <c r="I195" s="100"/>
      <c r="J195" s="101"/>
      <c r="K195" s="100"/>
      <c r="L195" s="100"/>
      <c r="M195" s="102" t="str">
        <f>IFERROR(VLOOKUP(G195,Reference!$I$2:$J$175,2,FALSE()),"Operations")</f>
        <v>Operations</v>
      </c>
    </row>
    <row r="196" spans="1:13" ht="15" customHeight="1" x14ac:dyDescent="0.25">
      <c r="A196" s="103"/>
      <c r="B196" s="104"/>
      <c r="C196" s="104"/>
      <c r="D196" s="103">
        <f>IF(OR(B196="",C196=""),"",IF(DATEDIF(C196,B196,"y")&gt;=1,DATEDIF(C196,B196,"y")&amp;IF(DATEDIF(C196,B196,"y")=1," year "," years ")&amp;DATEDIF(C196,B196,"ym")&amp;IF(DATEDIF(C196,B196,"ym")=1," month"," months"),IF(DATEDIF(C196,B196,"m")&gt;=1,DATEDIF(C196,B196,"m")&amp;IF(DATEDIF(C196,B196,"m")=1," month"," months"),DATEDIF(C196,B196,"d")&amp;IF(DATEDIF(C196,B196,"d")=1," day"," days"))))</f>
      </c>
      <c r="E196" s="103"/>
      <c r="F196" s="103"/>
      <c r="G196" s="103"/>
      <c r="H196" s="103"/>
      <c r="I196" s="103"/>
      <c r="J196" s="104"/>
      <c r="K196" s="103"/>
      <c r="L196" s="103"/>
      <c r="M196" s="105" t="str">
        <f>IFERROR(VLOOKUP(G196,Reference!$I$2:$J$175,2,FALSE()),"Operations")</f>
        <v>Operations</v>
      </c>
    </row>
    <row r="197" spans="1:13" ht="15" customHeight="1" x14ac:dyDescent="0.25">
      <c r="A197" s="100"/>
      <c r="B197" s="101"/>
      <c r="C197" s="101"/>
      <c r="D197" s="100">
        <f>IF(OR(B197="",C197=""),"",IF(DATEDIF(C197,B197,"y")&gt;=1,DATEDIF(C197,B197,"y")&amp;IF(DATEDIF(C197,B197,"y")=1," year "," years ")&amp;DATEDIF(C197,B197,"ym")&amp;IF(DATEDIF(C197,B197,"ym")=1," month"," months"),IF(DATEDIF(C197,B197,"m")&gt;=1,DATEDIF(C197,B197,"m")&amp;IF(DATEDIF(C197,B197,"m")=1," month"," months"),DATEDIF(C197,B197,"d")&amp;IF(DATEDIF(C197,B197,"d")=1," day"," days"))))</f>
      </c>
      <c r="E197" s="100"/>
      <c r="F197" s="100"/>
      <c r="G197" s="100"/>
      <c r="H197" s="100"/>
      <c r="I197" s="100"/>
      <c r="J197" s="101"/>
      <c r="K197" s="100"/>
      <c r="L197" s="100"/>
      <c r="M197" s="102" t="str">
        <f>IFERROR(VLOOKUP(G197,Reference!$I$2:$J$175,2,FALSE()),"Operations")</f>
        <v>Operations</v>
      </c>
    </row>
    <row r="198" spans="1:13" ht="15" customHeight="1" x14ac:dyDescent="0.25">
      <c r="A198" s="103"/>
      <c r="B198" s="104"/>
      <c r="C198" s="104"/>
      <c r="D198" s="103">
        <f>IF(OR(B198="",C198=""),"",IF(DATEDIF(C198,B198,"y")&gt;=1,DATEDIF(C198,B198,"y")&amp;IF(DATEDIF(C198,B198,"y")=1," year "," years ")&amp;DATEDIF(C198,B198,"ym")&amp;IF(DATEDIF(C198,B198,"ym")=1," month"," months"),IF(DATEDIF(C198,B198,"m")&gt;=1,DATEDIF(C198,B198,"m")&amp;IF(DATEDIF(C198,B198,"m")=1," month"," months"),DATEDIF(C198,B198,"d")&amp;IF(DATEDIF(C198,B198,"d")=1," day"," days"))))</f>
      </c>
      <c r="E198" s="103"/>
      <c r="F198" s="103"/>
      <c r="G198" s="103"/>
      <c r="H198" s="103"/>
      <c r="I198" s="103"/>
      <c r="J198" s="104"/>
      <c r="K198" s="103"/>
      <c r="L198" s="103"/>
      <c r="M198" s="105" t="str">
        <f>IFERROR(VLOOKUP(G198,Reference!$I$2:$J$175,2,FALSE()),"Operations")</f>
        <v>Operations</v>
      </c>
    </row>
    <row r="199" spans="1:13" ht="15" customHeight="1" x14ac:dyDescent="0.25">
      <c r="A199" s="100"/>
      <c r="B199" s="101"/>
      <c r="C199" s="101"/>
      <c r="D199" s="100">
        <f>IF(OR(B199="",C199=""),"",IF(DATEDIF(C199,B199,"y")&gt;=1,DATEDIF(C199,B199,"y")&amp;IF(DATEDIF(C199,B199,"y")=1," year "," years ")&amp;DATEDIF(C199,B199,"ym")&amp;IF(DATEDIF(C199,B199,"ym")=1," month"," months"),IF(DATEDIF(C199,B199,"m")&gt;=1,DATEDIF(C199,B199,"m")&amp;IF(DATEDIF(C199,B199,"m")=1," month"," months"),DATEDIF(C199,B199,"d")&amp;IF(DATEDIF(C199,B199,"d")=1," day"," days"))))</f>
      </c>
      <c r="E199" s="100"/>
      <c r="F199" s="100"/>
      <c r="G199" s="100"/>
      <c r="H199" s="100"/>
      <c r="I199" s="100"/>
      <c r="J199" s="101"/>
      <c r="K199" s="100"/>
      <c r="L199" s="100"/>
      <c r="M199" s="102" t="str">
        <f>IFERROR(VLOOKUP(G199,Reference!$I$2:$J$175,2,FALSE()),"Operations")</f>
        <v>Operations</v>
      </c>
    </row>
    <row r="200" spans="1:13" ht="15" customHeight="1" x14ac:dyDescent="0.25">
      <c r="A200" s="103"/>
      <c r="B200" s="104"/>
      <c r="C200" s="104"/>
      <c r="D200" s="103">
        <f>IF(OR(B200="",C200=""),"",IF(DATEDIF(C200,B200,"y")&gt;=1,DATEDIF(C200,B200,"y")&amp;IF(DATEDIF(C200,B200,"y")=1," year "," years ")&amp;DATEDIF(C200,B200,"ym")&amp;IF(DATEDIF(C200,B200,"ym")=1," month"," months"),IF(DATEDIF(C200,B200,"m")&gt;=1,DATEDIF(C200,B200,"m")&amp;IF(DATEDIF(C200,B200,"m")=1," month"," months"),DATEDIF(C200,B200,"d")&amp;IF(DATEDIF(C200,B200,"d")=1," day"," days"))))</f>
      </c>
      <c r="E200" s="103"/>
      <c r="F200" s="103"/>
      <c r="G200" s="103"/>
      <c r="H200" s="103"/>
      <c r="I200" s="103"/>
      <c r="J200" s="104"/>
      <c r="K200" s="103"/>
      <c r="L200" s="103"/>
      <c r="M200" s="105" t="str">
        <f>IFERROR(VLOOKUP(G200,Reference!$I$2:$J$175,2,FALSE()),"Operations")</f>
        <v>Operations</v>
      </c>
    </row>
    <row r="201" spans="1:13" ht="15" customHeight="1" x14ac:dyDescent="0.25">
      <c r="A201" s="100"/>
      <c r="B201" s="101"/>
      <c r="C201" s="101"/>
      <c r="D201" s="100">
        <f>IF(OR(B201="",C201=""),"",IF(DATEDIF(C201,B201,"y")&gt;=1,DATEDIF(C201,B201,"y")&amp;IF(DATEDIF(C201,B201,"y")=1," year "," years ")&amp;DATEDIF(C201,B201,"ym")&amp;IF(DATEDIF(C201,B201,"ym")=1," month"," months"),IF(DATEDIF(C201,B201,"m")&gt;=1,DATEDIF(C201,B201,"m")&amp;IF(DATEDIF(C201,B201,"m")=1," month"," months"),DATEDIF(C201,B201,"d")&amp;IF(DATEDIF(C201,B201,"d")=1," day"," days"))))</f>
      </c>
      <c r="E201" s="100"/>
      <c r="F201" s="100"/>
      <c r="G201" s="100"/>
      <c r="H201" s="100"/>
      <c r="I201" s="100"/>
      <c r="J201" s="101"/>
      <c r="K201" s="100"/>
      <c r="L201" s="100"/>
      <c r="M201" s="102" t="str">
        <f>IFERROR(VLOOKUP(G201,Reference!$I$2:$J$175,2,FALSE()),"Operations")</f>
        <v>Operations</v>
      </c>
    </row>
    <row r="202" spans="1:13" ht="15" customHeight="1" x14ac:dyDescent="0.25">
      <c r="A202" s="103"/>
      <c r="B202" s="104"/>
      <c r="C202" s="104"/>
      <c r="D202" s="103">
        <f>IF(OR(B202="",C202=""),"",IF(DATEDIF(C202,B202,"y")&gt;=1,DATEDIF(C202,B202,"y")&amp;IF(DATEDIF(C202,B202,"y")=1," year "," years ")&amp;DATEDIF(C202,B202,"ym")&amp;IF(DATEDIF(C202,B202,"ym")=1," month"," months"),IF(DATEDIF(C202,B202,"m")&gt;=1,DATEDIF(C202,B202,"m")&amp;IF(DATEDIF(C202,B202,"m")=1," month"," months"),DATEDIF(C202,B202,"d")&amp;IF(DATEDIF(C202,B202,"d")=1," day"," days"))))</f>
      </c>
      <c r="E202" s="103"/>
      <c r="F202" s="103"/>
      <c r="G202" s="103"/>
      <c r="H202" s="103"/>
      <c r="I202" s="103"/>
      <c r="J202" s="104"/>
      <c r="K202" s="103"/>
      <c r="L202" s="103"/>
      <c r="M202" s="105" t="str">
        <f>IFERROR(VLOOKUP(G202,Reference!$I$2:$J$175,2,FALSE()),"Operations")</f>
        <v>Operations</v>
      </c>
    </row>
    <row r="203" spans="1:13" ht="15" customHeight="1" x14ac:dyDescent="0.25">
      <c r="A203" s="100"/>
      <c r="B203" s="101"/>
      <c r="C203" s="101"/>
      <c r="D203" s="100">
        <f>IF(OR(B203="",C203=""),"",IF(DATEDIF(C203,B203,"y")&gt;=1,DATEDIF(C203,B203,"y")&amp;IF(DATEDIF(C203,B203,"y")=1," year "," years ")&amp;DATEDIF(C203,B203,"ym")&amp;IF(DATEDIF(C203,B203,"ym")=1," month"," months"),IF(DATEDIF(C203,B203,"m")&gt;=1,DATEDIF(C203,B203,"m")&amp;IF(DATEDIF(C203,B203,"m")=1," month"," months"),DATEDIF(C203,B203,"d")&amp;IF(DATEDIF(C203,B203,"d")=1," day"," days"))))</f>
      </c>
      <c r="E203" s="100"/>
      <c r="F203" s="100"/>
      <c r="G203" s="100"/>
      <c r="H203" s="100"/>
      <c r="I203" s="100"/>
      <c r="J203" s="101"/>
      <c r="K203" s="100"/>
      <c r="L203" s="100"/>
      <c r="M203" s="102" t="str">
        <f>IFERROR(VLOOKUP(G203,Reference!$I$2:$J$175,2,FALSE()),"Operations")</f>
        <v>Operations</v>
      </c>
    </row>
    <row r="204" spans="1:13" ht="15" customHeight="1" x14ac:dyDescent="0.25">
      <c r="A204" s="103"/>
      <c r="B204" s="104"/>
      <c r="C204" s="104"/>
      <c r="D204" s="103">
        <f>IF(OR(B204="",C204=""),"",IF(DATEDIF(C204,B204,"y")&gt;=1,DATEDIF(C204,B204,"y")&amp;IF(DATEDIF(C204,B204,"y")=1," year "," years ")&amp;DATEDIF(C204,B204,"ym")&amp;IF(DATEDIF(C204,B204,"ym")=1," month"," months"),IF(DATEDIF(C204,B204,"m")&gt;=1,DATEDIF(C204,B204,"m")&amp;IF(DATEDIF(C204,B204,"m")=1," month"," months"),DATEDIF(C204,B204,"d")&amp;IF(DATEDIF(C204,B204,"d")=1," day"," days"))))</f>
      </c>
      <c r="E204" s="103"/>
      <c r="F204" s="103"/>
      <c r="G204" s="103"/>
      <c r="H204" s="103"/>
      <c r="I204" s="103"/>
      <c r="J204" s="104"/>
      <c r="K204" s="103"/>
      <c r="L204" s="103"/>
      <c r="M204" s="105" t="str">
        <f>IFERROR(VLOOKUP(G204,Reference!$I$2:$J$175,2,FALSE()),"Operations")</f>
        <v>Operations</v>
      </c>
    </row>
    <row r="205" spans="1:13" ht="15" customHeight="1" x14ac:dyDescent="0.25">
      <c r="A205" s="100"/>
      <c r="B205" s="101"/>
      <c r="C205" s="101"/>
      <c r="D205" s="100">
        <f>IF(OR(B205="",C205=""),"",IF(DATEDIF(C205,B205,"y")&gt;=1,DATEDIF(C205,B205,"y")&amp;IF(DATEDIF(C205,B205,"y")=1," year "," years ")&amp;DATEDIF(C205,B205,"ym")&amp;IF(DATEDIF(C205,B205,"ym")=1," month"," months"),IF(DATEDIF(C205,B205,"m")&gt;=1,DATEDIF(C205,B205,"m")&amp;IF(DATEDIF(C205,B205,"m")=1," month"," months"),DATEDIF(C205,B205,"d")&amp;IF(DATEDIF(C205,B205,"d")=1," day"," days"))))</f>
      </c>
      <c r="E205" s="100"/>
      <c r="F205" s="100"/>
      <c r="G205" s="100"/>
      <c r="H205" s="100"/>
      <c r="I205" s="100"/>
      <c r="J205" s="101"/>
      <c r="K205" s="100"/>
      <c r="L205" s="100"/>
      <c r="M205" s="102" t="str">
        <f>IFERROR(VLOOKUP(G205,Reference!$I$2:$J$175,2,FALSE()),"Operations")</f>
        <v>Operations</v>
      </c>
    </row>
    <row r="206" spans="1:13" ht="15" customHeight="1" x14ac:dyDescent="0.25">
      <c r="A206" s="103"/>
      <c r="B206" s="104"/>
      <c r="C206" s="104"/>
      <c r="D206" s="103">
        <f>IF(OR(B206="",C206=""),"",IF(DATEDIF(C206,B206,"y")&gt;=1,DATEDIF(C206,B206,"y")&amp;IF(DATEDIF(C206,B206,"y")=1," year "," years ")&amp;DATEDIF(C206,B206,"ym")&amp;IF(DATEDIF(C206,B206,"ym")=1," month"," months"),IF(DATEDIF(C206,B206,"m")&gt;=1,DATEDIF(C206,B206,"m")&amp;IF(DATEDIF(C206,B206,"m")=1," month"," months"),DATEDIF(C206,B206,"d")&amp;IF(DATEDIF(C206,B206,"d")=1," day"," days"))))</f>
      </c>
      <c r="E206" s="103"/>
      <c r="F206" s="103"/>
      <c r="G206" s="103"/>
      <c r="H206" s="103"/>
      <c r="I206" s="103"/>
      <c r="J206" s="104"/>
      <c r="K206" s="103"/>
      <c r="L206" s="103"/>
      <c r="M206" s="105" t="str">
        <f>IFERROR(VLOOKUP(G206,Reference!$I$2:$J$175,2,FALSE()),"Operations")</f>
        <v>Operations</v>
      </c>
    </row>
    <row r="207" spans="1:13" ht="15" customHeight="1" x14ac:dyDescent="0.25">
      <c r="A207" s="100"/>
      <c r="B207" s="101"/>
      <c r="C207" s="101"/>
      <c r="D207" s="100">
        <f>IF(OR(B207="",C207=""),"",IF(DATEDIF(C207,B207,"y")&gt;=1,DATEDIF(C207,B207,"y")&amp;IF(DATEDIF(C207,B207,"y")=1," year "," years ")&amp;DATEDIF(C207,B207,"ym")&amp;IF(DATEDIF(C207,B207,"ym")=1," month"," months"),IF(DATEDIF(C207,B207,"m")&gt;=1,DATEDIF(C207,B207,"m")&amp;IF(DATEDIF(C207,B207,"m")=1," month"," months"),DATEDIF(C207,B207,"d")&amp;IF(DATEDIF(C207,B207,"d")=1," day"," days"))))</f>
      </c>
      <c r="E207" s="100"/>
      <c r="F207" s="100"/>
      <c r="G207" s="100"/>
      <c r="H207" s="100"/>
      <c r="I207" s="100"/>
      <c r="J207" s="101"/>
      <c r="K207" s="100"/>
      <c r="L207" s="100"/>
      <c r="M207" s="102" t="str">
        <f>IFERROR(VLOOKUP(G207,Reference!$I$2:$J$175,2,FALSE()),"Operations")</f>
        <v>Operations</v>
      </c>
    </row>
    <row r="208" spans="1:13" ht="15" customHeight="1" x14ac:dyDescent="0.25">
      <c r="A208" s="103"/>
      <c r="B208" s="104"/>
      <c r="C208" s="104"/>
      <c r="D208" s="103">
        <f>IF(OR(B208="",C208=""),"",IF(DATEDIF(C208,B208,"y")&gt;=1,DATEDIF(C208,B208,"y")&amp;IF(DATEDIF(C208,B208,"y")=1," year "," years ")&amp;DATEDIF(C208,B208,"ym")&amp;IF(DATEDIF(C208,B208,"ym")=1," month"," months"),IF(DATEDIF(C208,B208,"m")&gt;=1,DATEDIF(C208,B208,"m")&amp;IF(DATEDIF(C208,B208,"m")=1," month"," months"),DATEDIF(C208,B208,"d")&amp;IF(DATEDIF(C208,B208,"d")=1," day"," days"))))</f>
      </c>
      <c r="E208" s="103"/>
      <c r="F208" s="103"/>
      <c r="G208" s="103"/>
      <c r="H208" s="103"/>
      <c r="I208" s="103"/>
      <c r="J208" s="104"/>
      <c r="K208" s="103"/>
      <c r="L208" s="103"/>
      <c r="M208" s="105" t="str">
        <f>IFERROR(VLOOKUP(G208,Reference!$I$2:$J$175,2,FALSE()),"Operations")</f>
        <v>Operations</v>
      </c>
    </row>
    <row r="209" spans="1:13" ht="15" customHeight="1" x14ac:dyDescent="0.25">
      <c r="A209" s="106" t="s">
        <v>163</v>
      </c>
      <c r="B209" s="107">
        <f>COUNTA(A179:A208)</f>
        <v>12</v>
      </c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</row>
    <row r="210" spans="1:13" ht="6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</row>
    <row r="211" spans="1:13" ht="21.75" customHeight="1" x14ac:dyDescent="0.25">
      <c r="A211" s="163" t="s">
        <v>772</v>
      </c>
      <c r="B211" s="163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</row>
    <row r="212" spans="1:13" ht="19.5" customHeight="1" x14ac:dyDescent="0.25">
      <c r="A212" s="64" t="s">
        <v>151</v>
      </c>
      <c r="B212" s="64" t="s">
        <v>152</v>
      </c>
      <c r="C212" s="64" t="s">
        <v>153</v>
      </c>
      <c r="D212" s="64" t="s">
        <v>154</v>
      </c>
      <c r="E212" s="64" t="s">
        <v>155</v>
      </c>
      <c r="F212" s="64" t="s">
        <v>156</v>
      </c>
      <c r="G212" s="64" t="s">
        <v>157</v>
      </c>
      <c r="H212" s="64" t="s">
        <v>158</v>
      </c>
      <c r="I212" s="64" t="s">
        <v>159</v>
      </c>
      <c r="J212" s="64" t="s">
        <v>160</v>
      </c>
      <c r="K212" s="64" t="s">
        <v>134</v>
      </c>
      <c r="L212" s="64" t="s">
        <v>161</v>
      </c>
      <c r="M212" s="64" t="s">
        <v>162</v>
      </c>
    </row>
    <row r="213" spans="1:13" ht="15" customHeight="1" x14ac:dyDescent="0.25">
      <c r="A213" s="77" t="s">
        <v>773</v>
      </c>
      <c r="B213" s="111">
        <v>45474</v>
      </c>
      <c r="C213" s="77"/>
      <c r="D213" s="77" t="s">
        <v>774</v>
      </c>
      <c r="E213" s="77" t="s">
        <v>179</v>
      </c>
      <c r="F213" s="77" t="s">
        <v>191</v>
      </c>
      <c r="G213" s="77" t="s">
        <v>775</v>
      </c>
      <c r="H213" s="77" t="s">
        <v>56</v>
      </c>
      <c r="I213" s="77" t="s">
        <v>235</v>
      </c>
      <c r="J213" s="77"/>
      <c r="K213" s="77" t="s">
        <v>68</v>
      </c>
      <c r="L213" s="77"/>
      <c r="M213" s="102" t="str">
        <f>IFERROR(VLOOKUP(G213,Reference!$I$2:$J$175,2,FALSE()),"Operations")</f>
        <v>Operations</v>
      </c>
    </row>
    <row r="214" spans="1:13" ht="15" customHeight="1" x14ac:dyDescent="0.25">
      <c r="A214" s="80" t="s">
        <v>776</v>
      </c>
      <c r="B214" s="112">
        <v>45474</v>
      </c>
      <c r="C214" s="80"/>
      <c r="D214" s="80" t="s">
        <v>777</v>
      </c>
      <c r="E214" s="80" t="s">
        <v>179</v>
      </c>
      <c r="F214" s="80" t="s">
        <v>191</v>
      </c>
      <c r="G214" s="80" t="s">
        <v>778</v>
      </c>
      <c r="H214" s="80" t="s">
        <v>58</v>
      </c>
      <c r="I214" s="80" t="s">
        <v>415</v>
      </c>
      <c r="J214" s="80"/>
      <c r="K214" s="80" t="s">
        <v>66</v>
      </c>
      <c r="L214" s="80"/>
      <c r="M214" s="105" t="str">
        <f>IFERROR(VLOOKUP(G214,Reference!$I$2:$J$175,2,FALSE()),"Operations")</f>
        <v>Operations</v>
      </c>
    </row>
    <row r="215" spans="1:13" ht="15" customHeight="1" x14ac:dyDescent="0.25">
      <c r="A215" s="77" t="s">
        <v>779</v>
      </c>
      <c r="B215" s="111">
        <v>45474</v>
      </c>
      <c r="C215" s="77"/>
      <c r="D215" s="77" t="s">
        <v>695</v>
      </c>
      <c r="E215" s="77" t="s">
        <v>184</v>
      </c>
      <c r="F215" s="77" t="s">
        <v>191</v>
      </c>
      <c r="G215" s="77" t="s">
        <v>380</v>
      </c>
      <c r="H215" s="77" t="s">
        <v>60</v>
      </c>
      <c r="I215" s="77" t="s">
        <v>235</v>
      </c>
      <c r="J215" s="77"/>
      <c r="K215" s="77" t="s">
        <v>66</v>
      </c>
      <c r="L215" s="77"/>
      <c r="M215" s="102" t="str">
        <f>IFERROR(VLOOKUP(G215,Reference!$I$2:$J$175,2,FALSE()),"Operations")</f>
        <v>Operations</v>
      </c>
    </row>
    <row r="216" spans="1:13" ht="15" customHeight="1" x14ac:dyDescent="0.25">
      <c r="A216" s="80" t="s">
        <v>780</v>
      </c>
      <c r="B216" s="112">
        <v>45474</v>
      </c>
      <c r="C216" s="80"/>
      <c r="D216" s="80" t="s">
        <v>777</v>
      </c>
      <c r="E216" s="80" t="s">
        <v>179</v>
      </c>
      <c r="F216" s="80" t="s">
        <v>191</v>
      </c>
      <c r="G216" s="80" t="s">
        <v>479</v>
      </c>
      <c r="H216" s="80" t="s">
        <v>56</v>
      </c>
      <c r="I216" s="80" t="s">
        <v>762</v>
      </c>
      <c r="J216" s="80"/>
      <c r="K216" s="80" t="s">
        <v>66</v>
      </c>
      <c r="L216" s="80"/>
      <c r="M216" s="105" t="str">
        <f>IFERROR(VLOOKUP(G216,Reference!$I$2:$J$175,2,FALSE()),"Operations")</f>
        <v>Operations</v>
      </c>
    </row>
    <row r="217" spans="1:13" ht="15" customHeight="1" x14ac:dyDescent="0.25">
      <c r="A217" s="77" t="s">
        <v>781</v>
      </c>
      <c r="B217" s="111">
        <v>45475</v>
      </c>
      <c r="C217" s="77"/>
      <c r="D217" s="77" t="s">
        <v>782</v>
      </c>
      <c r="E217" s="77" t="s">
        <v>184</v>
      </c>
      <c r="F217" s="77" t="s">
        <v>191</v>
      </c>
      <c r="G217" s="77" t="s">
        <v>371</v>
      </c>
      <c r="H217" s="77" t="s">
        <v>56</v>
      </c>
      <c r="I217" s="77" t="s">
        <v>617</v>
      </c>
      <c r="J217" s="77"/>
      <c r="K217" s="77" t="s">
        <v>66</v>
      </c>
      <c r="L217" s="77"/>
      <c r="M217" s="102" t="str">
        <f>IFERROR(VLOOKUP(G217,Reference!$I$2:$J$175,2,FALSE()),"Operations")</f>
        <v>Operations</v>
      </c>
    </row>
    <row r="218" spans="1:13" ht="15" customHeight="1" x14ac:dyDescent="0.25">
      <c r="A218" s="80" t="s">
        <v>783</v>
      </c>
      <c r="B218" s="112">
        <v>45488</v>
      </c>
      <c r="C218" s="80"/>
      <c r="D218" s="80" t="s">
        <v>644</v>
      </c>
      <c r="E218" s="80" t="s">
        <v>179</v>
      </c>
      <c r="F218" s="80" t="s">
        <v>191</v>
      </c>
      <c r="G218" s="80" t="s">
        <v>293</v>
      </c>
      <c r="H218" s="80" t="s">
        <v>69</v>
      </c>
      <c r="I218" s="80" t="s">
        <v>762</v>
      </c>
      <c r="J218" s="80"/>
      <c r="K218" s="80" t="s">
        <v>66</v>
      </c>
      <c r="L218" s="80"/>
      <c r="M218" s="105" t="str">
        <f>IFERROR(VLOOKUP(G218,Reference!$I$2:$J$175,2,FALSE()),"Operations")</f>
        <v>Operations</v>
      </c>
    </row>
    <row r="219" spans="1:13" ht="15" customHeight="1" x14ac:dyDescent="0.25">
      <c r="A219" s="77" t="s">
        <v>784</v>
      </c>
      <c r="B219" s="111">
        <v>45489</v>
      </c>
      <c r="C219" s="77"/>
      <c r="D219" s="77" t="s">
        <v>785</v>
      </c>
      <c r="E219" s="77" t="s">
        <v>179</v>
      </c>
      <c r="F219" s="77" t="s">
        <v>191</v>
      </c>
      <c r="G219" s="77" t="s">
        <v>371</v>
      </c>
      <c r="H219" s="77" t="s">
        <v>69</v>
      </c>
      <c r="I219" s="77" t="s">
        <v>235</v>
      </c>
      <c r="J219" s="77"/>
      <c r="K219" s="77" t="s">
        <v>66</v>
      </c>
      <c r="L219" s="77"/>
      <c r="M219" s="102" t="str">
        <f>IFERROR(VLOOKUP(G219,Reference!$I$2:$J$175,2,FALSE()),"Operations")</f>
        <v>Operations</v>
      </c>
    </row>
    <row r="220" spans="1:13" ht="15" customHeight="1" x14ac:dyDescent="0.25">
      <c r="A220" s="80" t="s">
        <v>786</v>
      </c>
      <c r="B220" s="112">
        <v>45490</v>
      </c>
      <c r="C220" s="80"/>
      <c r="D220" s="80" t="s">
        <v>734</v>
      </c>
      <c r="E220" s="80" t="s">
        <v>179</v>
      </c>
      <c r="F220" s="80" t="s">
        <v>191</v>
      </c>
      <c r="G220" s="80" t="s">
        <v>747</v>
      </c>
      <c r="H220" s="80" t="s">
        <v>56</v>
      </c>
      <c r="I220" s="80" t="s">
        <v>182</v>
      </c>
      <c r="J220" s="80"/>
      <c r="K220" s="80" t="s">
        <v>66</v>
      </c>
      <c r="L220" s="80"/>
      <c r="M220" s="105" t="str">
        <f>IFERROR(VLOOKUP(G220,Reference!$I$2:$J$175,2,FALSE()),"Operations")</f>
        <v>Operations</v>
      </c>
    </row>
    <row r="221" spans="1:13" ht="15" customHeight="1" x14ac:dyDescent="0.25">
      <c r="A221" s="77" t="s">
        <v>787</v>
      </c>
      <c r="B221" s="111">
        <v>45491</v>
      </c>
      <c r="C221" s="77"/>
      <c r="D221" s="77" t="s">
        <v>677</v>
      </c>
      <c r="E221" s="77" t="s">
        <v>179</v>
      </c>
      <c r="F221" s="77" t="s">
        <v>180</v>
      </c>
      <c r="G221" s="77" t="s">
        <v>775</v>
      </c>
      <c r="H221" s="77" t="s">
        <v>64</v>
      </c>
      <c r="I221" s="77" t="s">
        <v>235</v>
      </c>
      <c r="J221" s="77"/>
      <c r="K221" s="77" t="s">
        <v>66</v>
      </c>
      <c r="L221" s="77"/>
      <c r="M221" s="102" t="str">
        <f>IFERROR(VLOOKUP(G221,Reference!$I$2:$J$175,2,FALSE()),"Operations")</f>
        <v>Operations</v>
      </c>
    </row>
    <row r="222" spans="1:13" ht="15" customHeight="1" x14ac:dyDescent="0.25">
      <c r="A222" s="80" t="s">
        <v>788</v>
      </c>
      <c r="B222" s="112">
        <v>45495</v>
      </c>
      <c r="C222" s="80"/>
      <c r="D222" s="80" t="s">
        <v>382</v>
      </c>
      <c r="E222" s="80" t="s">
        <v>179</v>
      </c>
      <c r="F222" s="80" t="s">
        <v>191</v>
      </c>
      <c r="G222" s="80" t="s">
        <v>196</v>
      </c>
      <c r="H222" s="80" t="s">
        <v>69</v>
      </c>
      <c r="I222" s="80" t="s">
        <v>762</v>
      </c>
      <c r="J222" s="80"/>
      <c r="K222" s="80" t="s">
        <v>66</v>
      </c>
      <c r="L222" s="80"/>
      <c r="M222" s="105" t="str">
        <f>IFERROR(VLOOKUP(G222,Reference!$I$2:$J$175,2,FALSE()),"Operations")</f>
        <v>Operations</v>
      </c>
    </row>
    <row r="223" spans="1:13" ht="15" customHeight="1" x14ac:dyDescent="0.25">
      <c r="A223" s="77" t="s">
        <v>789</v>
      </c>
      <c r="B223" s="111">
        <v>45495</v>
      </c>
      <c r="C223" s="77"/>
      <c r="D223" s="77" t="s">
        <v>323</v>
      </c>
      <c r="E223" s="77" t="s">
        <v>179</v>
      </c>
      <c r="F223" s="77" t="s">
        <v>191</v>
      </c>
      <c r="G223" s="77" t="s">
        <v>310</v>
      </c>
      <c r="H223" s="77" t="s">
        <v>56</v>
      </c>
      <c r="I223" s="77" t="s">
        <v>235</v>
      </c>
      <c r="J223" s="77"/>
      <c r="K223" s="77" t="s">
        <v>66</v>
      </c>
      <c r="L223" s="77"/>
      <c r="M223" s="102" t="str">
        <f>IFERROR(VLOOKUP(G223,Reference!$I$2:$J$175,2,FALSE()),"Operations")</f>
        <v>Operations</v>
      </c>
    </row>
    <row r="224" spans="1:13" ht="15" customHeight="1" x14ac:dyDescent="0.25">
      <c r="A224" s="80" t="s">
        <v>790</v>
      </c>
      <c r="B224" s="112">
        <v>45497</v>
      </c>
      <c r="C224" s="80"/>
      <c r="D224" s="80" t="s">
        <v>791</v>
      </c>
      <c r="E224" s="80" t="s">
        <v>184</v>
      </c>
      <c r="F224" s="80" t="s">
        <v>191</v>
      </c>
      <c r="G224" s="80" t="s">
        <v>738</v>
      </c>
      <c r="H224" s="80" t="s">
        <v>58</v>
      </c>
      <c r="I224" s="80" t="s">
        <v>389</v>
      </c>
      <c r="J224" s="80"/>
      <c r="K224" s="80" t="s">
        <v>66</v>
      </c>
      <c r="L224" s="80"/>
      <c r="M224" s="105" t="str">
        <f>IFERROR(VLOOKUP(G224,Reference!$I$2:$J$175,2,FALSE()),"Operations")</f>
        <v>Employment Services</v>
      </c>
    </row>
    <row r="225" spans="1:13" ht="15" customHeight="1" x14ac:dyDescent="0.25">
      <c r="A225" s="77" t="s">
        <v>792</v>
      </c>
      <c r="B225" s="111">
        <v>45499</v>
      </c>
      <c r="C225" s="77"/>
      <c r="D225" s="77" t="s">
        <v>713</v>
      </c>
      <c r="E225" s="77" t="s">
        <v>184</v>
      </c>
      <c r="F225" s="77" t="s">
        <v>191</v>
      </c>
      <c r="G225" s="77" t="s">
        <v>319</v>
      </c>
      <c r="H225" s="77" t="s">
        <v>70</v>
      </c>
      <c r="I225" s="77" t="s">
        <v>182</v>
      </c>
      <c r="J225" s="77"/>
      <c r="K225" s="77" t="s">
        <v>66</v>
      </c>
      <c r="L225" s="77"/>
      <c r="M225" s="102" t="str">
        <f>IFERROR(VLOOKUP(G225,Reference!$I$2:$J$175,2,FALSE()),"Operations")</f>
        <v>Operations</v>
      </c>
    </row>
    <row r="226" spans="1:13" ht="15" customHeight="1" x14ac:dyDescent="0.25">
      <c r="A226" s="103"/>
      <c r="B226" s="104"/>
      <c r="C226" s="104"/>
      <c r="D226" s="103">
        <f>IF(OR(B226="",C226=""),"",IF(DATEDIF(C226,B226,"y")&gt;=1,DATEDIF(C226,B226,"y")&amp;IF(DATEDIF(C226,B226,"y")=1," year "," years ")&amp;DATEDIF(C226,B226,"ym")&amp;IF(DATEDIF(C226,B226,"ym")=1," month"," months"),IF(DATEDIF(C226,B226,"m")&gt;=1,DATEDIF(C226,B226,"m")&amp;IF(DATEDIF(C226,B226,"m")=1," month"," months"),DATEDIF(C226,B226,"d")&amp;IF(DATEDIF(C226,B226,"d")=1," day"," days"))))</f>
      </c>
      <c r="E226" s="103"/>
      <c r="F226" s="103"/>
      <c r="G226" s="103"/>
      <c r="H226" s="103"/>
      <c r="I226" s="103"/>
      <c r="J226" s="104"/>
      <c r="K226" s="103"/>
      <c r="L226" s="103"/>
      <c r="M226" s="105" t="str">
        <f>IFERROR(VLOOKUP(G226,Reference!$I$2:$J$175,2,FALSE()),"Operations")</f>
        <v>Operations</v>
      </c>
    </row>
    <row r="227" spans="1:13" ht="15" customHeight="1" x14ac:dyDescent="0.25">
      <c r="A227" s="100"/>
      <c r="B227" s="101"/>
      <c r="C227" s="101"/>
      <c r="D227" s="100">
        <f>IF(OR(B227="",C227=""),"",IF(DATEDIF(C227,B227,"y")&gt;=1,DATEDIF(C227,B227,"y")&amp;IF(DATEDIF(C227,B227,"y")=1," year "," years ")&amp;DATEDIF(C227,B227,"ym")&amp;IF(DATEDIF(C227,B227,"ym")=1," month"," months"),IF(DATEDIF(C227,B227,"m")&gt;=1,DATEDIF(C227,B227,"m")&amp;IF(DATEDIF(C227,B227,"m")=1," month"," months"),DATEDIF(C227,B227,"d")&amp;IF(DATEDIF(C227,B227,"d")=1," day"," days"))))</f>
      </c>
      <c r="E227" s="100"/>
      <c r="F227" s="100"/>
      <c r="G227" s="100"/>
      <c r="H227" s="100"/>
      <c r="I227" s="100"/>
      <c r="J227" s="101"/>
      <c r="K227" s="100"/>
      <c r="L227" s="100"/>
      <c r="M227" s="102" t="str">
        <f>IFERROR(VLOOKUP(G227,Reference!$I$2:$J$175,2,FALSE()),"Operations")</f>
        <v>Operations</v>
      </c>
    </row>
    <row r="228" spans="1:13" ht="15" customHeight="1" x14ac:dyDescent="0.25">
      <c r="A228" s="103"/>
      <c r="B228" s="104"/>
      <c r="C228" s="104"/>
      <c r="D228" s="103">
        <f>IF(OR(B228="",C228=""),"",IF(DATEDIF(C228,B228,"y")&gt;=1,DATEDIF(C228,B228,"y")&amp;IF(DATEDIF(C228,B228,"y")=1," year "," years ")&amp;DATEDIF(C228,B228,"ym")&amp;IF(DATEDIF(C228,B228,"ym")=1," month"," months"),IF(DATEDIF(C228,B228,"m")&gt;=1,DATEDIF(C228,B228,"m")&amp;IF(DATEDIF(C228,B228,"m")=1," month"," months"),DATEDIF(C228,B228,"d")&amp;IF(DATEDIF(C228,B228,"d")=1," day"," days"))))</f>
      </c>
      <c r="E228" s="103"/>
      <c r="F228" s="103"/>
      <c r="G228" s="103"/>
      <c r="H228" s="103"/>
      <c r="I228" s="103"/>
      <c r="J228" s="104"/>
      <c r="K228" s="103"/>
      <c r="L228" s="103"/>
      <c r="M228" s="105" t="str">
        <f>IFERROR(VLOOKUP(G228,Reference!$I$2:$J$175,2,FALSE()),"Operations")</f>
        <v>Operations</v>
      </c>
    </row>
    <row r="229" spans="1:13" ht="15" customHeight="1" x14ac:dyDescent="0.25">
      <c r="A229" s="100"/>
      <c r="B229" s="101"/>
      <c r="C229" s="101"/>
      <c r="D229" s="100">
        <f>IF(OR(B229="",C229=""),"",IF(DATEDIF(C229,B229,"y")&gt;=1,DATEDIF(C229,B229,"y")&amp;IF(DATEDIF(C229,B229,"y")=1," year "," years ")&amp;DATEDIF(C229,B229,"ym")&amp;IF(DATEDIF(C229,B229,"ym")=1," month"," months"),IF(DATEDIF(C229,B229,"m")&gt;=1,DATEDIF(C229,B229,"m")&amp;IF(DATEDIF(C229,B229,"m")=1," month"," months"),DATEDIF(C229,B229,"d")&amp;IF(DATEDIF(C229,B229,"d")=1," day"," days"))))</f>
      </c>
      <c r="E229" s="100"/>
      <c r="F229" s="100"/>
      <c r="G229" s="100"/>
      <c r="H229" s="100"/>
      <c r="I229" s="100"/>
      <c r="J229" s="101"/>
      <c r="K229" s="100"/>
      <c r="L229" s="100"/>
      <c r="M229" s="102" t="str">
        <f>IFERROR(VLOOKUP(G229,Reference!$I$2:$J$175,2,FALSE()),"Operations")</f>
        <v>Operations</v>
      </c>
    </row>
    <row r="230" spans="1:13" ht="15" customHeight="1" x14ac:dyDescent="0.25">
      <c r="A230" s="103"/>
      <c r="B230" s="104"/>
      <c r="C230" s="104"/>
      <c r="D230" s="103">
        <f>IF(OR(B230="",C230=""),"",IF(DATEDIF(C230,B230,"y")&gt;=1,DATEDIF(C230,B230,"y")&amp;IF(DATEDIF(C230,B230,"y")=1," year "," years ")&amp;DATEDIF(C230,B230,"ym")&amp;IF(DATEDIF(C230,B230,"ym")=1," month"," months"),IF(DATEDIF(C230,B230,"m")&gt;=1,DATEDIF(C230,B230,"m")&amp;IF(DATEDIF(C230,B230,"m")=1," month"," months"),DATEDIF(C230,B230,"d")&amp;IF(DATEDIF(C230,B230,"d")=1," day"," days"))))</f>
      </c>
      <c r="E230" s="103"/>
      <c r="F230" s="103"/>
      <c r="G230" s="103"/>
      <c r="H230" s="103"/>
      <c r="I230" s="103"/>
      <c r="J230" s="104"/>
      <c r="K230" s="103"/>
      <c r="L230" s="103"/>
      <c r="M230" s="105" t="str">
        <f>IFERROR(VLOOKUP(G230,Reference!$I$2:$J$175,2,FALSE()),"Operations")</f>
        <v>Operations</v>
      </c>
    </row>
    <row r="231" spans="1:13" ht="15" customHeight="1" x14ac:dyDescent="0.25">
      <c r="A231" s="100"/>
      <c r="B231" s="101"/>
      <c r="C231" s="101"/>
      <c r="D231" s="100">
        <f>IF(OR(B231="",C231=""),"",IF(DATEDIF(C231,B231,"y")&gt;=1,DATEDIF(C231,B231,"y")&amp;IF(DATEDIF(C231,B231,"y")=1," year "," years ")&amp;DATEDIF(C231,B231,"ym")&amp;IF(DATEDIF(C231,B231,"ym")=1," month"," months"),IF(DATEDIF(C231,B231,"m")&gt;=1,DATEDIF(C231,B231,"m")&amp;IF(DATEDIF(C231,B231,"m")=1," month"," months"),DATEDIF(C231,B231,"d")&amp;IF(DATEDIF(C231,B231,"d")=1," day"," days"))))</f>
      </c>
      <c r="E231" s="100"/>
      <c r="F231" s="100"/>
      <c r="G231" s="100"/>
      <c r="H231" s="100"/>
      <c r="I231" s="100"/>
      <c r="J231" s="101"/>
      <c r="K231" s="100"/>
      <c r="L231" s="100"/>
      <c r="M231" s="102" t="str">
        <f>IFERROR(VLOOKUP(G231,Reference!$I$2:$J$175,2,FALSE()),"Operations")</f>
        <v>Operations</v>
      </c>
    </row>
    <row r="232" spans="1:13" ht="15" customHeight="1" x14ac:dyDescent="0.25">
      <c r="A232" s="103"/>
      <c r="B232" s="104"/>
      <c r="C232" s="104"/>
      <c r="D232" s="103">
        <f>IF(OR(B232="",C232=""),"",IF(DATEDIF(C232,B232,"y")&gt;=1,DATEDIF(C232,B232,"y")&amp;IF(DATEDIF(C232,B232,"y")=1," year "," years ")&amp;DATEDIF(C232,B232,"ym")&amp;IF(DATEDIF(C232,B232,"ym")=1," month"," months"),IF(DATEDIF(C232,B232,"m")&gt;=1,DATEDIF(C232,B232,"m")&amp;IF(DATEDIF(C232,B232,"m")=1," month"," months"),DATEDIF(C232,B232,"d")&amp;IF(DATEDIF(C232,B232,"d")=1," day"," days"))))</f>
      </c>
      <c r="E232" s="103"/>
      <c r="F232" s="103"/>
      <c r="G232" s="103"/>
      <c r="H232" s="103"/>
      <c r="I232" s="103"/>
      <c r="J232" s="104"/>
      <c r="K232" s="103"/>
      <c r="L232" s="103"/>
      <c r="M232" s="105" t="str">
        <f>IFERROR(VLOOKUP(G232,Reference!$I$2:$J$175,2,FALSE()),"Operations")</f>
        <v>Operations</v>
      </c>
    </row>
    <row r="233" spans="1:13" ht="15" customHeight="1" x14ac:dyDescent="0.25">
      <c r="A233" s="100"/>
      <c r="B233" s="101"/>
      <c r="C233" s="101"/>
      <c r="D233" s="100">
        <f>IF(OR(B233="",C233=""),"",IF(DATEDIF(C233,B233,"y")&gt;=1,DATEDIF(C233,B233,"y")&amp;IF(DATEDIF(C233,B233,"y")=1," year "," years ")&amp;DATEDIF(C233,B233,"ym")&amp;IF(DATEDIF(C233,B233,"ym")=1," month"," months"),IF(DATEDIF(C233,B233,"m")&gt;=1,DATEDIF(C233,B233,"m")&amp;IF(DATEDIF(C233,B233,"m")=1," month"," months"),DATEDIF(C233,B233,"d")&amp;IF(DATEDIF(C233,B233,"d")=1," day"," days"))))</f>
      </c>
      <c r="E233" s="100"/>
      <c r="F233" s="100"/>
      <c r="G233" s="100"/>
      <c r="H233" s="100"/>
      <c r="I233" s="100"/>
      <c r="J233" s="101"/>
      <c r="K233" s="100"/>
      <c r="L233" s="100"/>
      <c r="M233" s="102" t="str">
        <f>IFERROR(VLOOKUP(G233,Reference!$I$2:$J$175,2,FALSE()),"Operations")</f>
        <v>Operations</v>
      </c>
    </row>
    <row r="234" spans="1:13" ht="15" customHeight="1" x14ac:dyDescent="0.25">
      <c r="A234" s="103"/>
      <c r="B234" s="104"/>
      <c r="C234" s="104"/>
      <c r="D234" s="103">
        <f>IF(OR(B234="",C234=""),"",IF(DATEDIF(C234,B234,"y")&gt;=1,DATEDIF(C234,B234,"y")&amp;IF(DATEDIF(C234,B234,"y")=1," year "," years ")&amp;DATEDIF(C234,B234,"ym")&amp;IF(DATEDIF(C234,B234,"ym")=1," month"," months"),IF(DATEDIF(C234,B234,"m")&gt;=1,DATEDIF(C234,B234,"m")&amp;IF(DATEDIF(C234,B234,"m")=1," month"," months"),DATEDIF(C234,B234,"d")&amp;IF(DATEDIF(C234,B234,"d")=1," day"," days"))))</f>
      </c>
      <c r="E234" s="103"/>
      <c r="F234" s="103"/>
      <c r="G234" s="103"/>
      <c r="H234" s="103"/>
      <c r="I234" s="103"/>
      <c r="J234" s="104"/>
      <c r="K234" s="103"/>
      <c r="L234" s="103"/>
      <c r="M234" s="105" t="str">
        <f>IFERROR(VLOOKUP(G234,Reference!$I$2:$J$175,2,FALSE()),"Operations")</f>
        <v>Operations</v>
      </c>
    </row>
    <row r="235" spans="1:13" ht="15" customHeight="1" x14ac:dyDescent="0.25">
      <c r="A235" s="100"/>
      <c r="B235" s="101"/>
      <c r="C235" s="101"/>
      <c r="D235" s="100">
        <f>IF(OR(B235="",C235=""),"",IF(DATEDIF(C235,B235,"y")&gt;=1,DATEDIF(C235,B235,"y")&amp;IF(DATEDIF(C235,B235,"y")=1," year "," years ")&amp;DATEDIF(C235,B235,"ym")&amp;IF(DATEDIF(C235,B235,"ym")=1," month"," months"),IF(DATEDIF(C235,B235,"m")&gt;=1,DATEDIF(C235,B235,"m")&amp;IF(DATEDIF(C235,B235,"m")=1," month"," months"),DATEDIF(C235,B235,"d")&amp;IF(DATEDIF(C235,B235,"d")=1," day"," days"))))</f>
      </c>
      <c r="E235" s="100"/>
      <c r="F235" s="100"/>
      <c r="G235" s="100"/>
      <c r="H235" s="100"/>
      <c r="I235" s="100"/>
      <c r="J235" s="101"/>
      <c r="K235" s="100"/>
      <c r="L235" s="100"/>
      <c r="M235" s="102" t="str">
        <f>IFERROR(VLOOKUP(G235,Reference!$I$2:$J$175,2,FALSE()),"Operations")</f>
        <v>Operations</v>
      </c>
    </row>
    <row r="236" spans="1:13" ht="15" customHeight="1" x14ac:dyDescent="0.25">
      <c r="A236" s="103"/>
      <c r="B236" s="104"/>
      <c r="C236" s="104"/>
      <c r="D236" s="103">
        <f>IF(OR(B236="",C236=""),"",IF(DATEDIF(C236,B236,"y")&gt;=1,DATEDIF(C236,B236,"y")&amp;IF(DATEDIF(C236,B236,"y")=1," year "," years ")&amp;DATEDIF(C236,B236,"ym")&amp;IF(DATEDIF(C236,B236,"ym")=1," month"," months"),IF(DATEDIF(C236,B236,"m")&gt;=1,DATEDIF(C236,B236,"m")&amp;IF(DATEDIF(C236,B236,"m")=1," month"," months"),DATEDIF(C236,B236,"d")&amp;IF(DATEDIF(C236,B236,"d")=1," day"," days"))))</f>
      </c>
      <c r="E236" s="103"/>
      <c r="F236" s="103"/>
      <c r="G236" s="103"/>
      <c r="H236" s="103"/>
      <c r="I236" s="103"/>
      <c r="J236" s="104"/>
      <c r="K236" s="103"/>
      <c r="L236" s="103"/>
      <c r="M236" s="105" t="str">
        <f>IFERROR(VLOOKUP(G236,Reference!$I$2:$J$175,2,FALSE()),"Operations")</f>
        <v>Operations</v>
      </c>
    </row>
    <row r="237" spans="1:13" ht="15" customHeight="1" x14ac:dyDescent="0.25">
      <c r="A237" s="100"/>
      <c r="B237" s="101"/>
      <c r="C237" s="101"/>
      <c r="D237" s="100">
        <f>IF(OR(B237="",C237=""),"",IF(DATEDIF(C237,B237,"y")&gt;=1,DATEDIF(C237,B237,"y")&amp;IF(DATEDIF(C237,B237,"y")=1," year "," years ")&amp;DATEDIF(C237,B237,"ym")&amp;IF(DATEDIF(C237,B237,"ym")=1," month"," months"),IF(DATEDIF(C237,B237,"m")&gt;=1,DATEDIF(C237,B237,"m")&amp;IF(DATEDIF(C237,B237,"m")=1," month"," months"),DATEDIF(C237,B237,"d")&amp;IF(DATEDIF(C237,B237,"d")=1," day"," days"))))</f>
      </c>
      <c r="E237" s="100"/>
      <c r="F237" s="100"/>
      <c r="G237" s="100"/>
      <c r="H237" s="100"/>
      <c r="I237" s="100"/>
      <c r="J237" s="101"/>
      <c r="K237" s="100"/>
      <c r="L237" s="100"/>
      <c r="M237" s="102" t="str">
        <f>IFERROR(VLOOKUP(G237,Reference!$I$2:$J$175,2,FALSE()),"Operations")</f>
        <v>Operations</v>
      </c>
    </row>
    <row r="238" spans="1:13" ht="15" customHeight="1" x14ac:dyDescent="0.25">
      <c r="A238" s="103"/>
      <c r="B238" s="104"/>
      <c r="C238" s="104"/>
      <c r="D238" s="103">
        <f>IF(OR(B238="",C238=""),"",IF(DATEDIF(C238,B238,"y")&gt;=1,DATEDIF(C238,B238,"y")&amp;IF(DATEDIF(C238,B238,"y")=1," year "," years ")&amp;DATEDIF(C238,B238,"ym")&amp;IF(DATEDIF(C238,B238,"ym")=1," month"," months"),IF(DATEDIF(C238,B238,"m")&gt;=1,DATEDIF(C238,B238,"m")&amp;IF(DATEDIF(C238,B238,"m")=1," month"," months"),DATEDIF(C238,B238,"d")&amp;IF(DATEDIF(C238,B238,"d")=1," day"," days"))))</f>
      </c>
      <c r="E238" s="103"/>
      <c r="F238" s="103"/>
      <c r="G238" s="103"/>
      <c r="H238" s="103"/>
      <c r="I238" s="103"/>
      <c r="J238" s="104"/>
      <c r="K238" s="103"/>
      <c r="L238" s="103"/>
      <c r="M238" s="105" t="str">
        <f>IFERROR(VLOOKUP(G238,Reference!$I$2:$J$175,2,FALSE()),"Operations")</f>
        <v>Operations</v>
      </c>
    </row>
    <row r="239" spans="1:13" ht="15" customHeight="1" x14ac:dyDescent="0.25">
      <c r="A239" s="100"/>
      <c r="B239" s="101"/>
      <c r="C239" s="101"/>
      <c r="D239" s="100">
        <f>IF(OR(B239="",C239=""),"",IF(DATEDIF(C239,B239,"y")&gt;=1,DATEDIF(C239,B239,"y")&amp;IF(DATEDIF(C239,B239,"y")=1," year "," years ")&amp;DATEDIF(C239,B239,"ym")&amp;IF(DATEDIF(C239,B239,"ym")=1," month"," months"),IF(DATEDIF(C239,B239,"m")&gt;=1,DATEDIF(C239,B239,"m")&amp;IF(DATEDIF(C239,B239,"m")=1," month"," months"),DATEDIF(C239,B239,"d")&amp;IF(DATEDIF(C239,B239,"d")=1," day"," days"))))</f>
      </c>
      <c r="E239" s="100"/>
      <c r="F239" s="100"/>
      <c r="G239" s="100"/>
      <c r="H239" s="100"/>
      <c r="I239" s="100"/>
      <c r="J239" s="101"/>
      <c r="K239" s="100"/>
      <c r="L239" s="100"/>
      <c r="M239" s="102" t="str">
        <f>IFERROR(VLOOKUP(G239,Reference!$I$2:$J$175,2,FALSE()),"Operations")</f>
        <v>Operations</v>
      </c>
    </row>
    <row r="240" spans="1:13" ht="15" customHeight="1" x14ac:dyDescent="0.25">
      <c r="A240" s="103"/>
      <c r="B240" s="104"/>
      <c r="C240" s="104"/>
      <c r="D240" s="103">
        <f>IF(OR(B240="",C240=""),"",IF(DATEDIF(C240,B240,"y")&gt;=1,DATEDIF(C240,B240,"y")&amp;IF(DATEDIF(C240,B240,"y")=1," year "," years ")&amp;DATEDIF(C240,B240,"ym")&amp;IF(DATEDIF(C240,B240,"ym")=1," month"," months"),IF(DATEDIF(C240,B240,"m")&gt;=1,DATEDIF(C240,B240,"m")&amp;IF(DATEDIF(C240,B240,"m")=1," month"," months"),DATEDIF(C240,B240,"d")&amp;IF(DATEDIF(C240,B240,"d")=1," day"," days"))))</f>
      </c>
      <c r="E240" s="103"/>
      <c r="F240" s="103"/>
      <c r="G240" s="103"/>
      <c r="H240" s="103"/>
      <c r="I240" s="103"/>
      <c r="J240" s="104"/>
      <c r="K240" s="103"/>
      <c r="L240" s="103"/>
      <c r="M240" s="105" t="str">
        <f>IFERROR(VLOOKUP(G240,Reference!$I$2:$J$175,2,FALSE()),"Operations")</f>
        <v>Operations</v>
      </c>
    </row>
    <row r="241" spans="1:13" ht="15" customHeight="1" x14ac:dyDescent="0.25">
      <c r="A241" s="100"/>
      <c r="B241" s="101"/>
      <c r="C241" s="101"/>
      <c r="D241" s="100">
        <f>IF(OR(B241="",C241=""),"",IF(DATEDIF(C241,B241,"y")&gt;=1,DATEDIF(C241,B241,"y")&amp;IF(DATEDIF(C241,B241,"y")=1," year "," years ")&amp;DATEDIF(C241,B241,"ym")&amp;IF(DATEDIF(C241,B241,"ym")=1," month"," months"),IF(DATEDIF(C241,B241,"m")&gt;=1,DATEDIF(C241,B241,"m")&amp;IF(DATEDIF(C241,B241,"m")=1," month"," months"),DATEDIF(C241,B241,"d")&amp;IF(DATEDIF(C241,B241,"d")=1," day"," days"))))</f>
      </c>
      <c r="E241" s="100"/>
      <c r="F241" s="100"/>
      <c r="G241" s="100"/>
      <c r="H241" s="100"/>
      <c r="I241" s="100"/>
      <c r="J241" s="101"/>
      <c r="K241" s="100"/>
      <c r="L241" s="100"/>
      <c r="M241" s="102" t="str">
        <f>IFERROR(VLOOKUP(G241,Reference!$I$2:$J$175,2,FALSE()),"Operations")</f>
        <v>Operations</v>
      </c>
    </row>
    <row r="242" spans="1:13" ht="15" customHeight="1" x14ac:dyDescent="0.25">
      <c r="A242" s="103"/>
      <c r="B242" s="104"/>
      <c r="C242" s="104"/>
      <c r="D242" s="103">
        <f>IF(OR(B242="",C242=""),"",IF(DATEDIF(C242,B242,"y")&gt;=1,DATEDIF(C242,B242,"y")&amp;IF(DATEDIF(C242,B242,"y")=1," year "," years ")&amp;DATEDIF(C242,B242,"ym")&amp;IF(DATEDIF(C242,B242,"ym")=1," month"," months"),IF(DATEDIF(C242,B242,"m")&gt;=1,DATEDIF(C242,B242,"m")&amp;IF(DATEDIF(C242,B242,"m")=1," month"," months"),DATEDIF(C242,B242,"d")&amp;IF(DATEDIF(C242,B242,"d")=1," day"," days"))))</f>
      </c>
      <c r="E242" s="103"/>
      <c r="F242" s="103"/>
      <c r="G242" s="103"/>
      <c r="H242" s="103"/>
      <c r="I242" s="103"/>
      <c r="J242" s="104"/>
      <c r="K242" s="103"/>
      <c r="L242" s="103"/>
      <c r="M242" s="105" t="str">
        <f>IFERROR(VLOOKUP(G242,Reference!$I$2:$J$175,2,FALSE()),"Operations")</f>
        <v>Operations</v>
      </c>
    </row>
    <row r="243" spans="1:13" ht="15" customHeight="1" x14ac:dyDescent="0.25">
      <c r="A243" s="106" t="s">
        <v>163</v>
      </c>
      <c r="B243" s="107">
        <f>COUNTA(A213:A242)</f>
        <v>13</v>
      </c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</row>
    <row r="244" spans="1:13" ht="6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</row>
    <row r="245" spans="1:13" ht="21.75" customHeight="1" x14ac:dyDescent="0.25">
      <c r="A245" s="163" t="s">
        <v>793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</row>
    <row r="246" spans="1:13" ht="19.5" customHeight="1" x14ac:dyDescent="0.25">
      <c r="A246" s="64" t="s">
        <v>151</v>
      </c>
      <c r="B246" s="64" t="s">
        <v>152</v>
      </c>
      <c r="C246" s="64" t="s">
        <v>153</v>
      </c>
      <c r="D246" s="64" t="s">
        <v>154</v>
      </c>
      <c r="E246" s="64" t="s">
        <v>155</v>
      </c>
      <c r="F246" s="64" t="s">
        <v>156</v>
      </c>
      <c r="G246" s="64" t="s">
        <v>157</v>
      </c>
      <c r="H246" s="64" t="s">
        <v>158</v>
      </c>
      <c r="I246" s="64" t="s">
        <v>159</v>
      </c>
      <c r="J246" s="64" t="s">
        <v>160</v>
      </c>
      <c r="K246" s="64" t="s">
        <v>134</v>
      </c>
      <c r="L246" s="64" t="s">
        <v>161</v>
      </c>
      <c r="M246" s="64" t="s">
        <v>162</v>
      </c>
    </row>
    <row r="247" spans="1:13" ht="15" customHeight="1" x14ac:dyDescent="0.25">
      <c r="A247" s="77" t="s">
        <v>794</v>
      </c>
      <c r="B247" s="111">
        <v>45505</v>
      </c>
      <c r="C247" s="77"/>
      <c r="D247" s="77" t="s">
        <v>695</v>
      </c>
      <c r="E247" s="77" t="s">
        <v>179</v>
      </c>
      <c r="F247" s="77" t="s">
        <v>191</v>
      </c>
      <c r="G247" s="77" t="s">
        <v>426</v>
      </c>
      <c r="H247" s="77" t="s">
        <v>69</v>
      </c>
      <c r="I247" s="77" t="s">
        <v>235</v>
      </c>
      <c r="J247" s="77"/>
      <c r="K247" s="77" t="s">
        <v>66</v>
      </c>
      <c r="L247" s="77"/>
      <c r="M247" s="102" t="str">
        <f>IFERROR(VLOOKUP(G247,Reference!$I$2:$J$175,2,FALSE()),"Operations")</f>
        <v>Operations</v>
      </c>
    </row>
    <row r="248" spans="1:13" ht="15" customHeight="1" x14ac:dyDescent="0.25">
      <c r="A248" s="80" t="s">
        <v>795</v>
      </c>
      <c r="B248" s="112">
        <v>45505</v>
      </c>
      <c r="C248" s="80"/>
      <c r="D248" s="80" t="s">
        <v>796</v>
      </c>
      <c r="E248" s="80" t="s">
        <v>179</v>
      </c>
      <c r="F248" s="80" t="s">
        <v>180</v>
      </c>
      <c r="G248" s="80" t="s">
        <v>426</v>
      </c>
      <c r="H248" s="80" t="s">
        <v>64</v>
      </c>
      <c r="I248" s="80" t="s">
        <v>235</v>
      </c>
      <c r="J248" s="80"/>
      <c r="K248" s="80" t="s">
        <v>66</v>
      </c>
      <c r="L248" s="80"/>
      <c r="M248" s="105" t="str">
        <f>IFERROR(VLOOKUP(G248,Reference!$I$2:$J$175,2,FALSE()),"Operations")</f>
        <v>Operations</v>
      </c>
    </row>
    <row r="249" spans="1:13" ht="15" customHeight="1" x14ac:dyDescent="0.25">
      <c r="A249" s="77" t="s">
        <v>797</v>
      </c>
      <c r="B249" s="111">
        <v>45507</v>
      </c>
      <c r="C249" s="77"/>
      <c r="D249" s="77" t="s">
        <v>798</v>
      </c>
      <c r="E249" s="77" t="s">
        <v>184</v>
      </c>
      <c r="F249" s="77" t="s">
        <v>191</v>
      </c>
      <c r="G249" s="77" t="s">
        <v>616</v>
      </c>
      <c r="H249" s="77" t="s">
        <v>53</v>
      </c>
      <c r="I249" s="77" t="s">
        <v>235</v>
      </c>
      <c r="J249" s="77"/>
      <c r="K249" s="77" t="s">
        <v>66</v>
      </c>
      <c r="L249" s="77"/>
      <c r="M249" s="102" t="str">
        <f>IFERROR(VLOOKUP(G249,Reference!$I$2:$J$175,2,FALSE()),"Operations")</f>
        <v>Operations</v>
      </c>
    </row>
    <row r="250" spans="1:13" ht="15" customHeight="1" x14ac:dyDescent="0.25">
      <c r="A250" s="80" t="s">
        <v>799</v>
      </c>
      <c r="B250" s="112">
        <v>45508</v>
      </c>
      <c r="C250" s="80"/>
      <c r="D250" s="80" t="s">
        <v>644</v>
      </c>
      <c r="E250" s="80" t="s">
        <v>184</v>
      </c>
      <c r="F250" s="80" t="s">
        <v>191</v>
      </c>
      <c r="G250" s="80" t="s">
        <v>293</v>
      </c>
      <c r="H250" s="80" t="s">
        <v>58</v>
      </c>
      <c r="I250" s="80" t="s">
        <v>182</v>
      </c>
      <c r="J250" s="80"/>
      <c r="K250" s="80" t="s">
        <v>66</v>
      </c>
      <c r="L250" s="80"/>
      <c r="M250" s="105" t="str">
        <f>IFERROR(VLOOKUP(G250,Reference!$I$2:$J$175,2,FALSE()),"Operations")</f>
        <v>Operations</v>
      </c>
    </row>
    <row r="251" spans="1:13" ht="15" customHeight="1" x14ac:dyDescent="0.25">
      <c r="A251" s="77" t="s">
        <v>762</v>
      </c>
      <c r="B251" s="111">
        <v>45511</v>
      </c>
      <c r="C251" s="77"/>
      <c r="D251" s="77" t="s">
        <v>619</v>
      </c>
      <c r="E251" s="77" t="s">
        <v>179</v>
      </c>
      <c r="F251" s="77" t="s">
        <v>191</v>
      </c>
      <c r="G251" s="77" t="s">
        <v>426</v>
      </c>
      <c r="H251" s="77" t="s">
        <v>70</v>
      </c>
      <c r="I251" s="77" t="s">
        <v>377</v>
      </c>
      <c r="J251" s="77"/>
      <c r="K251" s="77" t="s">
        <v>71</v>
      </c>
      <c r="L251" s="77"/>
      <c r="M251" s="102" t="str">
        <f>IFERROR(VLOOKUP(G251,Reference!$I$2:$J$175,2,FALSE()),"Operations")</f>
        <v>Operations</v>
      </c>
    </row>
    <row r="252" spans="1:13" ht="15" customHeight="1" x14ac:dyDescent="0.25">
      <c r="A252" s="80" t="s">
        <v>800</v>
      </c>
      <c r="B252" s="112">
        <v>45511</v>
      </c>
      <c r="C252" s="80"/>
      <c r="D252" s="80" t="s">
        <v>644</v>
      </c>
      <c r="E252" s="80" t="s">
        <v>179</v>
      </c>
      <c r="F252" s="80" t="s">
        <v>191</v>
      </c>
      <c r="G252" s="80" t="s">
        <v>738</v>
      </c>
      <c r="H252" s="80" t="s">
        <v>58</v>
      </c>
      <c r="I252" s="80" t="s">
        <v>389</v>
      </c>
      <c r="J252" s="80"/>
      <c r="K252" s="80" t="s">
        <v>84</v>
      </c>
      <c r="L252" s="80"/>
      <c r="M252" s="105" t="str">
        <f>IFERROR(VLOOKUP(G252,Reference!$I$2:$J$175,2,FALSE()),"Operations")</f>
        <v>Employment Services</v>
      </c>
    </row>
    <row r="253" spans="1:13" ht="15" customHeight="1" x14ac:dyDescent="0.25">
      <c r="A253" s="77" t="s">
        <v>801</v>
      </c>
      <c r="B253" s="111">
        <v>45516</v>
      </c>
      <c r="C253" s="77"/>
      <c r="D253" s="77" t="s">
        <v>802</v>
      </c>
      <c r="E253" s="77" t="s">
        <v>179</v>
      </c>
      <c r="F253" s="77" t="s">
        <v>180</v>
      </c>
      <c r="G253" s="77" t="s">
        <v>310</v>
      </c>
      <c r="H253" s="77" t="s">
        <v>64</v>
      </c>
      <c r="I253" s="77" t="s">
        <v>803</v>
      </c>
      <c r="J253" s="77"/>
      <c r="K253" s="77" t="s">
        <v>66</v>
      </c>
      <c r="L253" s="77"/>
      <c r="M253" s="102" t="str">
        <f>IFERROR(VLOOKUP(G253,Reference!$I$2:$J$175,2,FALSE()),"Operations")</f>
        <v>Operations</v>
      </c>
    </row>
    <row r="254" spans="1:13" ht="15" customHeight="1" x14ac:dyDescent="0.25">
      <c r="A254" s="80" t="s">
        <v>804</v>
      </c>
      <c r="B254" s="112">
        <v>45516</v>
      </c>
      <c r="C254" s="80"/>
      <c r="D254" s="80" t="s">
        <v>316</v>
      </c>
      <c r="E254" s="80" t="s">
        <v>179</v>
      </c>
      <c r="F254" s="80" t="s">
        <v>180</v>
      </c>
      <c r="G254" s="80" t="s">
        <v>310</v>
      </c>
      <c r="H254" s="80" t="s">
        <v>64</v>
      </c>
      <c r="I254" s="80" t="s">
        <v>803</v>
      </c>
      <c r="J254" s="80"/>
      <c r="K254" s="80" t="s">
        <v>66</v>
      </c>
      <c r="L254" s="80"/>
      <c r="M254" s="105" t="str">
        <f>IFERROR(VLOOKUP(G254,Reference!$I$2:$J$175,2,FALSE()),"Operations")</f>
        <v>Operations</v>
      </c>
    </row>
    <row r="255" spans="1:13" ht="15" customHeight="1" x14ac:dyDescent="0.25">
      <c r="A255" s="77" t="s">
        <v>805</v>
      </c>
      <c r="B255" s="111">
        <v>45516</v>
      </c>
      <c r="C255" s="77"/>
      <c r="D255" s="77" t="s">
        <v>344</v>
      </c>
      <c r="E255" s="77" t="s">
        <v>179</v>
      </c>
      <c r="F255" s="77" t="s">
        <v>191</v>
      </c>
      <c r="G255" s="77" t="s">
        <v>806</v>
      </c>
      <c r="H255" s="77" t="s">
        <v>58</v>
      </c>
      <c r="I255" s="77" t="s">
        <v>235</v>
      </c>
      <c r="J255" s="77"/>
      <c r="K255" s="77" t="s">
        <v>66</v>
      </c>
      <c r="L255" s="77"/>
      <c r="M255" s="102" t="str">
        <f>IFERROR(VLOOKUP(G255,Reference!$I$2:$J$175,2,FALSE()),"Operations")</f>
        <v>Operations</v>
      </c>
    </row>
    <row r="256" spans="1:13" ht="15" customHeight="1" x14ac:dyDescent="0.25">
      <c r="A256" s="80" t="s">
        <v>807</v>
      </c>
      <c r="B256" s="112">
        <v>45518</v>
      </c>
      <c r="C256" s="80"/>
      <c r="D256" s="80" t="s">
        <v>298</v>
      </c>
      <c r="E256" s="80" t="s">
        <v>184</v>
      </c>
      <c r="F256" s="80" t="s">
        <v>191</v>
      </c>
      <c r="G256" s="80" t="s">
        <v>76</v>
      </c>
      <c r="H256" s="80" t="s">
        <v>56</v>
      </c>
      <c r="I256" s="80" t="s">
        <v>439</v>
      </c>
      <c r="J256" s="80"/>
      <c r="K256" s="80" t="s">
        <v>76</v>
      </c>
      <c r="L256" s="80"/>
      <c r="M256" s="105" t="str">
        <f>IFERROR(VLOOKUP(G256,Reference!$I$2:$J$175,2,FALSE()),"Operations")</f>
        <v>Children Services</v>
      </c>
    </row>
    <row r="257" spans="1:13" ht="15" customHeight="1" x14ac:dyDescent="0.25">
      <c r="A257" s="77" t="s">
        <v>808</v>
      </c>
      <c r="B257" s="111">
        <v>45519</v>
      </c>
      <c r="C257" s="77"/>
      <c r="D257" s="77" t="s">
        <v>302</v>
      </c>
      <c r="E257" s="77" t="s">
        <v>179</v>
      </c>
      <c r="F257" s="77" t="s">
        <v>191</v>
      </c>
      <c r="G257" s="77" t="s">
        <v>613</v>
      </c>
      <c r="H257" s="77" t="s">
        <v>69</v>
      </c>
      <c r="I257" s="77" t="s">
        <v>235</v>
      </c>
      <c r="J257" s="77"/>
      <c r="K257" s="77" t="s">
        <v>66</v>
      </c>
      <c r="L257" s="77"/>
      <c r="M257" s="102" t="str">
        <f>IFERROR(VLOOKUP(G257,Reference!$I$2:$J$175,2,FALSE()),"Operations")</f>
        <v>Operations</v>
      </c>
    </row>
    <row r="258" spans="1:13" ht="15" customHeight="1" x14ac:dyDescent="0.25">
      <c r="A258" s="80" t="s">
        <v>809</v>
      </c>
      <c r="B258" s="112">
        <v>45519</v>
      </c>
      <c r="C258" s="80"/>
      <c r="D258" s="80" t="s">
        <v>810</v>
      </c>
      <c r="E258" s="80" t="s">
        <v>179</v>
      </c>
      <c r="F258" s="80" t="s">
        <v>191</v>
      </c>
      <c r="G258" s="80" t="s">
        <v>738</v>
      </c>
      <c r="H258" s="80" t="s">
        <v>69</v>
      </c>
      <c r="I258" s="80" t="s">
        <v>389</v>
      </c>
      <c r="J258" s="80"/>
      <c r="K258" s="80" t="s">
        <v>66</v>
      </c>
      <c r="L258" s="80"/>
      <c r="M258" s="105" t="str">
        <f>IFERROR(VLOOKUP(G258,Reference!$I$2:$J$175,2,FALSE()),"Operations")</f>
        <v>Employment Services</v>
      </c>
    </row>
    <row r="259" spans="1:13" ht="15" customHeight="1" x14ac:dyDescent="0.25">
      <c r="A259" s="77" t="s">
        <v>811</v>
      </c>
      <c r="B259" s="111">
        <v>45520</v>
      </c>
      <c r="C259" s="77"/>
      <c r="D259" s="77" t="s">
        <v>713</v>
      </c>
      <c r="E259" s="77" t="s">
        <v>179</v>
      </c>
      <c r="F259" s="77" t="s">
        <v>191</v>
      </c>
      <c r="G259" s="77" t="s">
        <v>307</v>
      </c>
      <c r="H259" s="77" t="s">
        <v>69</v>
      </c>
      <c r="I259" s="77" t="s">
        <v>235</v>
      </c>
      <c r="J259" s="77"/>
      <c r="K259" s="77" t="s">
        <v>66</v>
      </c>
      <c r="L259" s="77"/>
      <c r="M259" s="102" t="str">
        <f>IFERROR(VLOOKUP(G259,Reference!$I$2:$J$175,2,FALSE()),"Operations")</f>
        <v>Operations</v>
      </c>
    </row>
    <row r="260" spans="1:13" ht="15" customHeight="1" x14ac:dyDescent="0.25">
      <c r="A260" s="80" t="s">
        <v>812</v>
      </c>
      <c r="B260" s="112">
        <v>45524</v>
      </c>
      <c r="C260" s="80"/>
      <c r="D260" s="80" t="s">
        <v>813</v>
      </c>
      <c r="E260" s="80" t="s">
        <v>179</v>
      </c>
      <c r="F260" s="80" t="s">
        <v>191</v>
      </c>
      <c r="G260" s="80" t="s">
        <v>181</v>
      </c>
      <c r="H260" s="80" t="s">
        <v>69</v>
      </c>
      <c r="I260" s="80" t="s">
        <v>617</v>
      </c>
      <c r="J260" s="80"/>
      <c r="K260" s="80" t="s">
        <v>66</v>
      </c>
      <c r="L260" s="80"/>
      <c r="M260" s="105" t="str">
        <f>IFERROR(VLOOKUP(G260,Reference!$I$2:$J$175,2,FALSE()),"Operations")</f>
        <v>Operations</v>
      </c>
    </row>
    <row r="261" spans="1:13" ht="15" customHeight="1" x14ac:dyDescent="0.25">
      <c r="A261" s="77" t="s">
        <v>814</v>
      </c>
      <c r="B261" s="111">
        <v>45526</v>
      </c>
      <c r="C261" s="77"/>
      <c r="D261" s="77" t="s">
        <v>815</v>
      </c>
      <c r="E261" s="77" t="s">
        <v>179</v>
      </c>
      <c r="F261" s="77" t="s">
        <v>180</v>
      </c>
      <c r="G261" s="77" t="s">
        <v>181</v>
      </c>
      <c r="H261" s="77" t="s">
        <v>53</v>
      </c>
      <c r="I261" s="77" t="s">
        <v>617</v>
      </c>
      <c r="J261" s="77"/>
      <c r="K261" s="77" t="s">
        <v>66</v>
      </c>
      <c r="L261" s="77"/>
      <c r="M261" s="102" t="str">
        <f>IFERROR(VLOOKUP(G261,Reference!$I$2:$J$175,2,FALSE()),"Operations")</f>
        <v>Operations</v>
      </c>
    </row>
    <row r="262" spans="1:13" ht="15" customHeight="1" x14ac:dyDescent="0.25">
      <c r="A262" s="80" t="s">
        <v>816</v>
      </c>
      <c r="B262" s="112">
        <v>46993</v>
      </c>
      <c r="C262" s="80"/>
      <c r="D262" s="80" t="s">
        <v>817</v>
      </c>
      <c r="E262" s="80" t="s">
        <v>179</v>
      </c>
      <c r="F262" s="80" t="s">
        <v>191</v>
      </c>
      <c r="G262" s="80" t="s">
        <v>818</v>
      </c>
      <c r="H262" s="80" t="s">
        <v>60</v>
      </c>
      <c r="I262" s="80" t="s">
        <v>657</v>
      </c>
      <c r="J262" s="80"/>
      <c r="K262" s="80" t="s">
        <v>66</v>
      </c>
      <c r="L262" s="80"/>
      <c r="M262" s="105" t="str">
        <f>IFERROR(VLOOKUP(G262,Reference!$I$2:$J$175,2,FALSE()),"Operations")</f>
        <v>Operations</v>
      </c>
    </row>
    <row r="263" spans="1:13" ht="15" customHeight="1" x14ac:dyDescent="0.25">
      <c r="A263" s="100"/>
      <c r="B263" s="101"/>
      <c r="C263" s="101"/>
      <c r="D263" s="100">
        <f>IF(OR(B263="",C263=""),"",IF(DATEDIF(C263,B263,"y")&gt;=1,DATEDIF(C263,B263,"y")&amp;IF(DATEDIF(C263,B263,"y")=1," year "," years ")&amp;DATEDIF(C263,B263,"ym")&amp;IF(DATEDIF(C263,B263,"ym")=1," month"," months"),IF(DATEDIF(C263,B263,"m")&gt;=1,DATEDIF(C263,B263,"m")&amp;IF(DATEDIF(C263,B263,"m")=1," month"," months"),DATEDIF(C263,B263,"d")&amp;IF(DATEDIF(C263,B263,"d")=1," day"," days"))))</f>
      </c>
      <c r="E263" s="100"/>
      <c r="F263" s="100"/>
      <c r="G263" s="100"/>
      <c r="H263" s="100"/>
      <c r="I263" s="100"/>
      <c r="J263" s="101"/>
      <c r="K263" s="100"/>
      <c r="L263" s="100"/>
      <c r="M263" s="102" t="str">
        <f>IFERROR(VLOOKUP(G263,Reference!$I$2:$J$175,2,FALSE()),"Operations")</f>
        <v>Operations</v>
      </c>
    </row>
    <row r="264" spans="1:13" ht="15" customHeight="1" x14ac:dyDescent="0.25">
      <c r="A264" s="103"/>
      <c r="B264" s="104"/>
      <c r="C264" s="104"/>
      <c r="D264" s="103">
        <f>IF(OR(B264="",C264=""),"",IF(DATEDIF(C264,B264,"y")&gt;=1,DATEDIF(C264,B264,"y")&amp;IF(DATEDIF(C264,B264,"y")=1," year "," years ")&amp;DATEDIF(C264,B264,"ym")&amp;IF(DATEDIF(C264,B264,"ym")=1," month"," months"),IF(DATEDIF(C264,B264,"m")&gt;=1,DATEDIF(C264,B264,"m")&amp;IF(DATEDIF(C264,B264,"m")=1," month"," months"),DATEDIF(C264,B264,"d")&amp;IF(DATEDIF(C264,B264,"d")=1," day"," days"))))</f>
      </c>
      <c r="E264" s="103"/>
      <c r="F264" s="103"/>
      <c r="G264" s="103"/>
      <c r="H264" s="103"/>
      <c r="I264" s="103"/>
      <c r="J264" s="104"/>
      <c r="K264" s="103"/>
      <c r="L264" s="103"/>
      <c r="M264" s="105" t="str">
        <f>IFERROR(VLOOKUP(G264,Reference!$I$2:$J$175,2,FALSE()),"Operations")</f>
        <v>Operations</v>
      </c>
    </row>
    <row r="265" spans="1:13" ht="15" customHeight="1" x14ac:dyDescent="0.25">
      <c r="A265" s="100"/>
      <c r="B265" s="101"/>
      <c r="C265" s="101"/>
      <c r="D265" s="100">
        <f>IF(OR(B265="",C265=""),"",IF(DATEDIF(C265,B265,"y")&gt;=1,DATEDIF(C265,B265,"y")&amp;IF(DATEDIF(C265,B265,"y")=1," year "," years ")&amp;DATEDIF(C265,B265,"ym")&amp;IF(DATEDIF(C265,B265,"ym")=1," month"," months"),IF(DATEDIF(C265,B265,"m")&gt;=1,DATEDIF(C265,B265,"m")&amp;IF(DATEDIF(C265,B265,"m")=1," month"," months"),DATEDIF(C265,B265,"d")&amp;IF(DATEDIF(C265,B265,"d")=1," day"," days"))))</f>
      </c>
      <c r="E265" s="100"/>
      <c r="F265" s="100"/>
      <c r="G265" s="100"/>
      <c r="H265" s="100"/>
      <c r="I265" s="100"/>
      <c r="J265" s="101"/>
      <c r="K265" s="100"/>
      <c r="L265" s="100"/>
      <c r="M265" s="102" t="str">
        <f>IFERROR(VLOOKUP(G265,Reference!$I$2:$J$175,2,FALSE()),"Operations")</f>
        <v>Operations</v>
      </c>
    </row>
    <row r="266" spans="1:13" ht="15" customHeight="1" x14ac:dyDescent="0.25">
      <c r="A266" s="103"/>
      <c r="B266" s="104"/>
      <c r="C266" s="104"/>
      <c r="D266" s="103">
        <f>IF(OR(B266="",C266=""),"",IF(DATEDIF(C266,B266,"y")&gt;=1,DATEDIF(C266,B266,"y")&amp;IF(DATEDIF(C266,B266,"y")=1," year "," years ")&amp;DATEDIF(C266,B266,"ym")&amp;IF(DATEDIF(C266,B266,"ym")=1," month"," months"),IF(DATEDIF(C266,B266,"m")&gt;=1,DATEDIF(C266,B266,"m")&amp;IF(DATEDIF(C266,B266,"m")=1," month"," months"),DATEDIF(C266,B266,"d")&amp;IF(DATEDIF(C266,B266,"d")=1," day"," days"))))</f>
      </c>
      <c r="E266" s="103"/>
      <c r="F266" s="103"/>
      <c r="G266" s="103"/>
      <c r="H266" s="103"/>
      <c r="I266" s="103"/>
      <c r="J266" s="104"/>
      <c r="K266" s="103"/>
      <c r="L266" s="103"/>
      <c r="M266" s="105" t="str">
        <f>IFERROR(VLOOKUP(G266,Reference!$I$2:$J$175,2,FALSE()),"Operations")</f>
        <v>Operations</v>
      </c>
    </row>
    <row r="267" spans="1:13" ht="15" customHeight="1" x14ac:dyDescent="0.25">
      <c r="A267" s="100"/>
      <c r="B267" s="101"/>
      <c r="C267" s="101"/>
      <c r="D267" s="100">
        <f>IF(OR(B267="",C267=""),"",IF(DATEDIF(C267,B267,"y")&gt;=1,DATEDIF(C267,B267,"y")&amp;IF(DATEDIF(C267,B267,"y")=1," year "," years ")&amp;DATEDIF(C267,B267,"ym")&amp;IF(DATEDIF(C267,B267,"ym")=1," month"," months"),IF(DATEDIF(C267,B267,"m")&gt;=1,DATEDIF(C267,B267,"m")&amp;IF(DATEDIF(C267,B267,"m")=1," month"," months"),DATEDIF(C267,B267,"d")&amp;IF(DATEDIF(C267,B267,"d")=1," day"," days"))))</f>
      </c>
      <c r="E267" s="100"/>
      <c r="F267" s="100"/>
      <c r="G267" s="100"/>
      <c r="H267" s="100"/>
      <c r="I267" s="100"/>
      <c r="J267" s="101"/>
      <c r="K267" s="100"/>
      <c r="L267" s="100"/>
      <c r="M267" s="102" t="str">
        <f>IFERROR(VLOOKUP(G267,Reference!$I$2:$J$175,2,FALSE()),"Operations")</f>
        <v>Operations</v>
      </c>
    </row>
    <row r="268" spans="1:13" ht="15" customHeight="1" x14ac:dyDescent="0.25">
      <c r="A268" s="103"/>
      <c r="B268" s="104"/>
      <c r="C268" s="104"/>
      <c r="D268" s="103">
        <f>IF(OR(B268="",C268=""),"",IF(DATEDIF(C268,B268,"y")&gt;=1,DATEDIF(C268,B268,"y")&amp;IF(DATEDIF(C268,B268,"y")=1," year "," years ")&amp;DATEDIF(C268,B268,"ym")&amp;IF(DATEDIF(C268,B268,"ym")=1," month"," months"),IF(DATEDIF(C268,B268,"m")&gt;=1,DATEDIF(C268,B268,"m")&amp;IF(DATEDIF(C268,B268,"m")=1," month"," months"),DATEDIF(C268,B268,"d")&amp;IF(DATEDIF(C268,B268,"d")=1," day"," days"))))</f>
      </c>
      <c r="E268" s="103"/>
      <c r="F268" s="103"/>
      <c r="G268" s="103"/>
      <c r="H268" s="103"/>
      <c r="I268" s="103"/>
      <c r="J268" s="104"/>
      <c r="K268" s="103"/>
      <c r="L268" s="103"/>
      <c r="M268" s="105" t="str">
        <f>IFERROR(VLOOKUP(G268,Reference!$I$2:$J$175,2,FALSE()),"Operations")</f>
        <v>Operations</v>
      </c>
    </row>
    <row r="269" spans="1:13" ht="15" customHeight="1" x14ac:dyDescent="0.25">
      <c r="A269" s="100"/>
      <c r="B269" s="101"/>
      <c r="C269" s="101"/>
      <c r="D269" s="100">
        <f>IF(OR(B269="",C269=""),"",IF(DATEDIF(C269,B269,"y")&gt;=1,DATEDIF(C269,B269,"y")&amp;IF(DATEDIF(C269,B269,"y")=1," year "," years ")&amp;DATEDIF(C269,B269,"ym")&amp;IF(DATEDIF(C269,B269,"ym")=1," month"," months"),IF(DATEDIF(C269,B269,"m")&gt;=1,DATEDIF(C269,B269,"m")&amp;IF(DATEDIF(C269,B269,"m")=1," month"," months"),DATEDIF(C269,B269,"d")&amp;IF(DATEDIF(C269,B269,"d")=1," day"," days"))))</f>
      </c>
      <c r="E269" s="100"/>
      <c r="F269" s="100"/>
      <c r="G269" s="100"/>
      <c r="H269" s="100"/>
      <c r="I269" s="100"/>
      <c r="J269" s="101"/>
      <c r="K269" s="100"/>
      <c r="L269" s="100"/>
      <c r="M269" s="102" t="str">
        <f>IFERROR(VLOOKUP(G269,Reference!$I$2:$J$175,2,FALSE()),"Operations")</f>
        <v>Operations</v>
      </c>
    </row>
    <row r="270" spans="1:13" ht="15" customHeight="1" x14ac:dyDescent="0.25">
      <c r="A270" s="103"/>
      <c r="B270" s="104"/>
      <c r="C270" s="104"/>
      <c r="D270" s="103">
        <f>IF(OR(B270="",C270=""),"",IF(DATEDIF(C270,B270,"y")&gt;=1,DATEDIF(C270,B270,"y")&amp;IF(DATEDIF(C270,B270,"y")=1," year "," years ")&amp;DATEDIF(C270,B270,"ym")&amp;IF(DATEDIF(C270,B270,"ym")=1," month"," months"),IF(DATEDIF(C270,B270,"m")&gt;=1,DATEDIF(C270,B270,"m")&amp;IF(DATEDIF(C270,B270,"m")=1," month"," months"),DATEDIF(C270,B270,"d")&amp;IF(DATEDIF(C270,B270,"d")=1," day"," days"))))</f>
      </c>
      <c r="E270" s="103"/>
      <c r="F270" s="103"/>
      <c r="G270" s="103"/>
      <c r="H270" s="103"/>
      <c r="I270" s="103"/>
      <c r="J270" s="104"/>
      <c r="K270" s="103"/>
      <c r="L270" s="103"/>
      <c r="M270" s="105" t="str">
        <f>IFERROR(VLOOKUP(G270,Reference!$I$2:$J$175,2,FALSE()),"Operations")</f>
        <v>Operations</v>
      </c>
    </row>
    <row r="271" spans="1:13" ht="15" customHeight="1" x14ac:dyDescent="0.25">
      <c r="A271" s="100"/>
      <c r="B271" s="101"/>
      <c r="C271" s="101"/>
      <c r="D271" s="100">
        <f>IF(OR(B271="",C271=""),"",IF(DATEDIF(C271,B271,"y")&gt;=1,DATEDIF(C271,B271,"y")&amp;IF(DATEDIF(C271,B271,"y")=1," year "," years ")&amp;DATEDIF(C271,B271,"ym")&amp;IF(DATEDIF(C271,B271,"ym")=1," month"," months"),IF(DATEDIF(C271,B271,"m")&gt;=1,DATEDIF(C271,B271,"m")&amp;IF(DATEDIF(C271,B271,"m")=1," month"," months"),DATEDIF(C271,B271,"d")&amp;IF(DATEDIF(C271,B271,"d")=1," day"," days"))))</f>
      </c>
      <c r="E271" s="100"/>
      <c r="F271" s="100"/>
      <c r="G271" s="100"/>
      <c r="H271" s="100"/>
      <c r="I271" s="100"/>
      <c r="J271" s="101"/>
      <c r="K271" s="100"/>
      <c r="L271" s="100"/>
      <c r="M271" s="102" t="str">
        <f>IFERROR(VLOOKUP(G271,Reference!$I$2:$J$175,2,FALSE()),"Operations")</f>
        <v>Operations</v>
      </c>
    </row>
    <row r="272" spans="1:13" ht="15" customHeight="1" x14ac:dyDescent="0.25">
      <c r="A272" s="103"/>
      <c r="B272" s="104"/>
      <c r="C272" s="104"/>
      <c r="D272" s="103">
        <f>IF(OR(B272="",C272=""),"",IF(DATEDIF(C272,B272,"y")&gt;=1,DATEDIF(C272,B272,"y")&amp;IF(DATEDIF(C272,B272,"y")=1," year "," years ")&amp;DATEDIF(C272,B272,"ym")&amp;IF(DATEDIF(C272,B272,"ym")=1," month"," months"),IF(DATEDIF(C272,B272,"m")&gt;=1,DATEDIF(C272,B272,"m")&amp;IF(DATEDIF(C272,B272,"m")=1," month"," months"),DATEDIF(C272,B272,"d")&amp;IF(DATEDIF(C272,B272,"d")=1," day"," days"))))</f>
      </c>
      <c r="E272" s="103"/>
      <c r="F272" s="103"/>
      <c r="G272" s="103"/>
      <c r="H272" s="103"/>
      <c r="I272" s="103"/>
      <c r="J272" s="104"/>
      <c r="K272" s="103"/>
      <c r="L272" s="103"/>
      <c r="M272" s="105" t="str">
        <f>IFERROR(VLOOKUP(G272,Reference!$I$2:$J$175,2,FALSE()),"Operations")</f>
        <v>Operations</v>
      </c>
    </row>
    <row r="273" spans="1:13" ht="15" customHeight="1" x14ac:dyDescent="0.25">
      <c r="A273" s="100"/>
      <c r="B273" s="101"/>
      <c r="C273" s="101"/>
      <c r="D273" s="100">
        <f>IF(OR(B273="",C273=""),"",IF(DATEDIF(C273,B273,"y")&gt;=1,DATEDIF(C273,B273,"y")&amp;IF(DATEDIF(C273,B273,"y")=1," year "," years ")&amp;DATEDIF(C273,B273,"ym")&amp;IF(DATEDIF(C273,B273,"ym")=1," month"," months"),IF(DATEDIF(C273,B273,"m")&gt;=1,DATEDIF(C273,B273,"m")&amp;IF(DATEDIF(C273,B273,"m")=1," month"," months"),DATEDIF(C273,B273,"d")&amp;IF(DATEDIF(C273,B273,"d")=1," day"," days"))))</f>
      </c>
      <c r="E273" s="100"/>
      <c r="F273" s="100"/>
      <c r="G273" s="100"/>
      <c r="H273" s="100"/>
      <c r="I273" s="100"/>
      <c r="J273" s="101"/>
      <c r="K273" s="100"/>
      <c r="L273" s="100"/>
      <c r="M273" s="102" t="str">
        <f>IFERROR(VLOOKUP(G273,Reference!$I$2:$J$175,2,FALSE()),"Operations")</f>
        <v>Operations</v>
      </c>
    </row>
    <row r="274" spans="1:13" ht="15" customHeight="1" x14ac:dyDescent="0.25">
      <c r="A274" s="103"/>
      <c r="B274" s="104"/>
      <c r="C274" s="104"/>
      <c r="D274" s="103">
        <f>IF(OR(B274="",C274=""),"",IF(DATEDIF(C274,B274,"y")&gt;=1,DATEDIF(C274,B274,"y")&amp;IF(DATEDIF(C274,B274,"y")=1," year "," years ")&amp;DATEDIF(C274,B274,"ym")&amp;IF(DATEDIF(C274,B274,"ym")=1," month"," months"),IF(DATEDIF(C274,B274,"m")&gt;=1,DATEDIF(C274,B274,"m")&amp;IF(DATEDIF(C274,B274,"m")=1," month"," months"),DATEDIF(C274,B274,"d")&amp;IF(DATEDIF(C274,B274,"d")=1," day"," days"))))</f>
      </c>
      <c r="E274" s="103"/>
      <c r="F274" s="103"/>
      <c r="G274" s="103"/>
      <c r="H274" s="103"/>
      <c r="I274" s="103"/>
      <c r="J274" s="104"/>
      <c r="K274" s="103"/>
      <c r="L274" s="103"/>
      <c r="M274" s="105" t="str">
        <f>IFERROR(VLOOKUP(G274,Reference!$I$2:$J$175,2,FALSE()),"Operations")</f>
        <v>Operations</v>
      </c>
    </row>
    <row r="275" spans="1:13" ht="15" customHeight="1" x14ac:dyDescent="0.25">
      <c r="A275" s="100"/>
      <c r="B275" s="101"/>
      <c r="C275" s="101"/>
      <c r="D275" s="100">
        <f>IF(OR(B275="",C275=""),"",IF(DATEDIF(C275,B275,"y")&gt;=1,DATEDIF(C275,B275,"y")&amp;IF(DATEDIF(C275,B275,"y")=1," year "," years ")&amp;DATEDIF(C275,B275,"ym")&amp;IF(DATEDIF(C275,B275,"ym")=1," month"," months"),IF(DATEDIF(C275,B275,"m")&gt;=1,DATEDIF(C275,B275,"m")&amp;IF(DATEDIF(C275,B275,"m")=1," month"," months"),DATEDIF(C275,B275,"d")&amp;IF(DATEDIF(C275,B275,"d")=1," day"," days"))))</f>
      </c>
      <c r="E275" s="100"/>
      <c r="F275" s="100"/>
      <c r="G275" s="100"/>
      <c r="H275" s="100"/>
      <c r="I275" s="100"/>
      <c r="J275" s="101"/>
      <c r="K275" s="100"/>
      <c r="L275" s="100"/>
      <c r="M275" s="102" t="str">
        <f>IFERROR(VLOOKUP(G275,Reference!$I$2:$J$175,2,FALSE()),"Operations")</f>
        <v>Operations</v>
      </c>
    </row>
    <row r="276" spans="1:13" ht="15" customHeight="1" x14ac:dyDescent="0.25">
      <c r="A276" s="103"/>
      <c r="B276" s="104"/>
      <c r="C276" s="104"/>
      <c r="D276" s="103">
        <f>IF(OR(B276="",C276=""),"",IF(DATEDIF(C276,B276,"y")&gt;=1,DATEDIF(C276,B276,"y")&amp;IF(DATEDIF(C276,B276,"y")=1," year "," years ")&amp;DATEDIF(C276,B276,"ym")&amp;IF(DATEDIF(C276,B276,"ym")=1," month"," months"),IF(DATEDIF(C276,B276,"m")&gt;=1,DATEDIF(C276,B276,"m")&amp;IF(DATEDIF(C276,B276,"m")=1," month"," months"),DATEDIF(C276,B276,"d")&amp;IF(DATEDIF(C276,B276,"d")=1," day"," days"))))</f>
      </c>
      <c r="E276" s="103"/>
      <c r="F276" s="103"/>
      <c r="G276" s="103"/>
      <c r="H276" s="103"/>
      <c r="I276" s="103"/>
      <c r="J276" s="104"/>
      <c r="K276" s="103"/>
      <c r="L276" s="103"/>
      <c r="M276" s="105" t="str">
        <f>IFERROR(VLOOKUP(G276,Reference!$I$2:$J$175,2,FALSE()),"Operations")</f>
        <v>Operations</v>
      </c>
    </row>
    <row r="277" spans="1:13" ht="15" customHeight="1" x14ac:dyDescent="0.25">
      <c r="A277" s="106" t="s">
        <v>163</v>
      </c>
      <c r="B277" s="107">
        <f>COUNTA(A247:A276)</f>
        <v>16</v>
      </c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</row>
    <row r="278" spans="1:13" ht="6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</row>
    <row r="279" spans="1:13" ht="21.75" customHeight="1" x14ac:dyDescent="0.25">
      <c r="A279" s="163" t="s">
        <v>819</v>
      </c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</row>
    <row r="280" spans="1:13" ht="19.5" customHeight="1" x14ac:dyDescent="0.25">
      <c r="A280" s="64" t="s">
        <v>151</v>
      </c>
      <c r="B280" s="64" t="s">
        <v>152</v>
      </c>
      <c r="C280" s="64" t="s">
        <v>153</v>
      </c>
      <c r="D280" s="64" t="s">
        <v>154</v>
      </c>
      <c r="E280" s="64" t="s">
        <v>155</v>
      </c>
      <c r="F280" s="64" t="s">
        <v>156</v>
      </c>
      <c r="G280" s="64" t="s">
        <v>157</v>
      </c>
      <c r="H280" s="64" t="s">
        <v>158</v>
      </c>
      <c r="I280" s="64" t="s">
        <v>159</v>
      </c>
      <c r="J280" s="64" t="s">
        <v>160</v>
      </c>
      <c r="K280" s="64" t="s">
        <v>134</v>
      </c>
      <c r="L280" s="64" t="s">
        <v>161</v>
      </c>
      <c r="M280" s="64" t="s">
        <v>162</v>
      </c>
    </row>
    <row r="281" spans="1:13" ht="15" customHeight="1" x14ac:dyDescent="0.25">
      <c r="A281" s="77" t="s">
        <v>820</v>
      </c>
      <c r="B281" s="111">
        <v>45537</v>
      </c>
      <c r="C281" s="77"/>
      <c r="D281" s="77" t="s">
        <v>363</v>
      </c>
      <c r="E281" s="77" t="s">
        <v>184</v>
      </c>
      <c r="F281" s="77" t="s">
        <v>191</v>
      </c>
      <c r="G281" s="77" t="s">
        <v>246</v>
      </c>
      <c r="H281" s="77" t="s">
        <v>56</v>
      </c>
      <c r="I281" s="77" t="s">
        <v>235</v>
      </c>
      <c r="J281" s="77"/>
      <c r="K281" s="77" t="s">
        <v>66</v>
      </c>
      <c r="L281" s="77"/>
      <c r="M281" s="102" t="str">
        <f>IFERROR(VLOOKUP(G281,Reference!$I$2:$J$175,2,FALSE()),"Operations")</f>
        <v>Operations</v>
      </c>
    </row>
    <row r="282" spans="1:13" ht="15" customHeight="1" x14ac:dyDescent="0.25">
      <c r="A282" s="80" t="s">
        <v>821</v>
      </c>
      <c r="B282" s="112">
        <v>45542</v>
      </c>
      <c r="C282" s="80"/>
      <c r="D282" s="80" t="s">
        <v>363</v>
      </c>
      <c r="E282" s="80" t="s">
        <v>184</v>
      </c>
      <c r="F282" s="80" t="s">
        <v>191</v>
      </c>
      <c r="G282" s="80" t="s">
        <v>822</v>
      </c>
      <c r="H282" s="80" t="s">
        <v>58</v>
      </c>
      <c r="I282" s="80" t="s">
        <v>617</v>
      </c>
      <c r="J282" s="80"/>
      <c r="K282" s="80" t="s">
        <v>66</v>
      </c>
      <c r="L282" s="80"/>
      <c r="M282" s="105" t="str">
        <f>IFERROR(VLOOKUP(G282,Reference!$I$2:$J$175,2,FALSE()),"Operations")</f>
        <v>Operations</v>
      </c>
    </row>
    <row r="283" spans="1:13" ht="15" customHeight="1" x14ac:dyDescent="0.25">
      <c r="A283" s="77" t="s">
        <v>823</v>
      </c>
      <c r="B283" s="111">
        <v>45550</v>
      </c>
      <c r="C283" s="77"/>
      <c r="D283" s="77" t="s">
        <v>824</v>
      </c>
      <c r="E283" s="77" t="s">
        <v>184</v>
      </c>
      <c r="F283" s="77" t="s">
        <v>191</v>
      </c>
      <c r="G283" s="77" t="s">
        <v>822</v>
      </c>
      <c r="H283" s="77" t="s">
        <v>70</v>
      </c>
      <c r="I283" s="77" t="s">
        <v>617</v>
      </c>
      <c r="J283" s="77"/>
      <c r="K283" s="77" t="s">
        <v>66</v>
      </c>
      <c r="L283" s="77"/>
      <c r="M283" s="102" t="str">
        <f>IFERROR(VLOOKUP(G283,Reference!$I$2:$J$175,2,FALSE()),"Operations")</f>
        <v>Operations</v>
      </c>
    </row>
    <row r="284" spans="1:13" ht="15" customHeight="1" x14ac:dyDescent="0.25">
      <c r="A284" s="80" t="s">
        <v>825</v>
      </c>
      <c r="B284" s="112">
        <v>45558</v>
      </c>
      <c r="C284" s="80"/>
      <c r="D284" s="80" t="s">
        <v>302</v>
      </c>
      <c r="E284" s="80" t="s">
        <v>184</v>
      </c>
      <c r="F284" s="80" t="s">
        <v>191</v>
      </c>
      <c r="G284" s="80" t="s">
        <v>246</v>
      </c>
      <c r="H284" s="80" t="s">
        <v>60</v>
      </c>
      <c r="I284" s="80" t="s">
        <v>197</v>
      </c>
      <c r="J284" s="80"/>
      <c r="K284" s="80" t="s">
        <v>66</v>
      </c>
      <c r="L284" s="80"/>
      <c r="M284" s="105" t="str">
        <f>IFERROR(VLOOKUP(G284,Reference!$I$2:$J$175,2,FALSE()),"Operations")</f>
        <v>Operations</v>
      </c>
    </row>
    <row r="285" spans="1:13" ht="15" customHeight="1" x14ac:dyDescent="0.25">
      <c r="A285" s="77" t="s">
        <v>826</v>
      </c>
      <c r="B285" s="111">
        <v>45551</v>
      </c>
      <c r="C285" s="77"/>
      <c r="D285" s="77" t="s">
        <v>827</v>
      </c>
      <c r="E285" s="77" t="s">
        <v>179</v>
      </c>
      <c r="F285" s="77" t="s">
        <v>191</v>
      </c>
      <c r="G285" s="77" t="s">
        <v>828</v>
      </c>
      <c r="H285" s="77" t="s">
        <v>70</v>
      </c>
      <c r="I285" s="77" t="s">
        <v>197</v>
      </c>
      <c r="J285" s="77"/>
      <c r="K285" s="77" t="s">
        <v>66</v>
      </c>
      <c r="L285" s="77"/>
      <c r="M285" s="102" t="str">
        <f>IFERROR(VLOOKUP(G285,Reference!$I$2:$J$175,2,FALSE()),"Operations")</f>
        <v>Operations</v>
      </c>
    </row>
    <row r="286" spans="1:13" ht="15" customHeight="1" x14ac:dyDescent="0.25">
      <c r="A286" s="80" t="s">
        <v>829</v>
      </c>
      <c r="B286" s="112">
        <v>45555</v>
      </c>
      <c r="C286" s="80"/>
      <c r="D286" s="80" t="s">
        <v>323</v>
      </c>
      <c r="E286" s="80" t="s">
        <v>179</v>
      </c>
      <c r="F286" s="80" t="s">
        <v>191</v>
      </c>
      <c r="G286" s="80" t="s">
        <v>475</v>
      </c>
      <c r="H286" s="80" t="s">
        <v>70</v>
      </c>
      <c r="I286" s="80" t="s">
        <v>182</v>
      </c>
      <c r="J286" s="80"/>
      <c r="K286" s="80" t="s">
        <v>66</v>
      </c>
      <c r="L286" s="80"/>
      <c r="M286" s="105" t="str">
        <f>IFERROR(VLOOKUP(G286,Reference!$I$2:$J$175,2,FALSE()),"Operations")</f>
        <v>Operations</v>
      </c>
    </row>
    <row r="287" spans="1:13" ht="15" customHeight="1" x14ac:dyDescent="0.25">
      <c r="A287" s="77" t="s">
        <v>830</v>
      </c>
      <c r="B287" s="111">
        <v>45559</v>
      </c>
      <c r="C287" s="77"/>
      <c r="D287" s="77" t="s">
        <v>302</v>
      </c>
      <c r="E287" s="77" t="s">
        <v>179</v>
      </c>
      <c r="F287" s="77" t="s">
        <v>191</v>
      </c>
      <c r="G287" s="77" t="s">
        <v>535</v>
      </c>
      <c r="H287" s="77" t="s">
        <v>58</v>
      </c>
      <c r="I287" s="77" t="s">
        <v>182</v>
      </c>
      <c r="J287" s="77"/>
      <c r="K287" s="77" t="s">
        <v>66</v>
      </c>
      <c r="L287" s="77"/>
      <c r="M287" s="102" t="str">
        <f>IFERROR(VLOOKUP(G287,Reference!$I$2:$J$175,2,FALSE()),"Operations")</f>
        <v>Operations</v>
      </c>
    </row>
    <row r="288" spans="1:13" ht="15" customHeight="1" x14ac:dyDescent="0.25">
      <c r="A288" s="80" t="s">
        <v>831</v>
      </c>
      <c r="B288" s="80"/>
      <c r="C288" s="80"/>
      <c r="D288" s="80" t="s">
        <v>785</v>
      </c>
      <c r="E288" s="80"/>
      <c r="F288" s="80"/>
      <c r="G288" s="80" t="s">
        <v>535</v>
      </c>
      <c r="H288" s="80" t="s">
        <v>58</v>
      </c>
      <c r="I288" s="80" t="s">
        <v>182</v>
      </c>
      <c r="J288" s="80"/>
      <c r="K288" s="80" t="s">
        <v>66</v>
      </c>
      <c r="L288" s="80"/>
      <c r="M288" s="105" t="str">
        <f>IFERROR(VLOOKUP(G288,Reference!$I$2:$J$175,2,FALSE()),"Operations")</f>
        <v>Operations</v>
      </c>
    </row>
    <row r="289" spans="1:13" ht="15" customHeight="1" x14ac:dyDescent="0.25">
      <c r="A289" s="100"/>
      <c r="B289" s="101"/>
      <c r="C289" s="101"/>
      <c r="D289" s="100">
        <f>IF(OR(B289="",C289=""),"",IF(DATEDIF(C289,B289,"y")&gt;=1,DATEDIF(C289,B289,"y")&amp;IF(DATEDIF(C289,B289,"y")=1," year "," years ")&amp;DATEDIF(C289,B289,"ym")&amp;IF(DATEDIF(C289,B289,"ym")=1," month"," months"),IF(DATEDIF(C289,B289,"m")&gt;=1,DATEDIF(C289,B289,"m")&amp;IF(DATEDIF(C289,B289,"m")=1," month"," months"),DATEDIF(C289,B289,"d")&amp;IF(DATEDIF(C289,B289,"d")=1," day"," days"))))</f>
      </c>
      <c r="E289" s="100"/>
      <c r="F289" s="100"/>
      <c r="G289" s="100"/>
      <c r="H289" s="100"/>
      <c r="I289" s="100"/>
      <c r="J289" s="101"/>
      <c r="K289" s="100"/>
      <c r="L289" s="100"/>
      <c r="M289" s="102" t="str">
        <f>IFERROR(VLOOKUP(G289,Reference!$I$2:$J$175,2,FALSE()),"Operations")</f>
        <v>Operations</v>
      </c>
    </row>
    <row r="290" spans="1:13" ht="15" customHeight="1" x14ac:dyDescent="0.25">
      <c r="A290" s="103"/>
      <c r="B290" s="104"/>
      <c r="C290" s="104"/>
      <c r="D290" s="103">
        <f>IF(OR(B290="",C290=""),"",IF(DATEDIF(C290,B290,"y")&gt;=1,DATEDIF(C290,B290,"y")&amp;IF(DATEDIF(C290,B290,"y")=1," year "," years ")&amp;DATEDIF(C290,B290,"ym")&amp;IF(DATEDIF(C290,B290,"ym")=1," month"," months"),IF(DATEDIF(C290,B290,"m")&gt;=1,DATEDIF(C290,B290,"m")&amp;IF(DATEDIF(C290,B290,"m")=1," month"," months"),DATEDIF(C290,B290,"d")&amp;IF(DATEDIF(C290,B290,"d")=1," day"," days"))))</f>
      </c>
      <c r="E290" s="103"/>
      <c r="F290" s="103"/>
      <c r="G290" s="103"/>
      <c r="H290" s="103"/>
      <c r="I290" s="103"/>
      <c r="J290" s="104"/>
      <c r="K290" s="103"/>
      <c r="L290" s="103"/>
      <c r="M290" s="105" t="str">
        <f>IFERROR(VLOOKUP(G290,Reference!$I$2:$J$175,2,FALSE()),"Operations")</f>
        <v>Operations</v>
      </c>
    </row>
    <row r="291" spans="1:13" ht="15" customHeight="1" x14ac:dyDescent="0.25">
      <c r="A291" s="100"/>
      <c r="B291" s="101"/>
      <c r="C291" s="101"/>
      <c r="D291" s="100">
        <f>IF(OR(B291="",C291=""),"",IF(DATEDIF(C291,B291,"y")&gt;=1,DATEDIF(C291,B291,"y")&amp;IF(DATEDIF(C291,B291,"y")=1," year "," years ")&amp;DATEDIF(C291,B291,"ym")&amp;IF(DATEDIF(C291,B291,"ym")=1," month"," months"),IF(DATEDIF(C291,B291,"m")&gt;=1,DATEDIF(C291,B291,"m")&amp;IF(DATEDIF(C291,B291,"m")=1," month"," months"),DATEDIF(C291,B291,"d")&amp;IF(DATEDIF(C291,B291,"d")=1," day"," days"))))</f>
      </c>
      <c r="E291" s="100"/>
      <c r="F291" s="100"/>
      <c r="G291" s="100"/>
      <c r="H291" s="100"/>
      <c r="I291" s="100"/>
      <c r="J291" s="101"/>
      <c r="K291" s="100"/>
      <c r="L291" s="100"/>
      <c r="M291" s="102" t="str">
        <f>IFERROR(VLOOKUP(G291,Reference!$I$2:$J$175,2,FALSE()),"Operations")</f>
        <v>Operations</v>
      </c>
    </row>
    <row r="292" spans="1:13" ht="15" customHeight="1" x14ac:dyDescent="0.25">
      <c r="A292" s="103"/>
      <c r="B292" s="104"/>
      <c r="C292" s="104"/>
      <c r="D292" s="103">
        <f>IF(OR(B292="",C292=""),"",IF(DATEDIF(C292,B292,"y")&gt;=1,DATEDIF(C292,B292,"y")&amp;IF(DATEDIF(C292,B292,"y")=1," year "," years ")&amp;DATEDIF(C292,B292,"ym")&amp;IF(DATEDIF(C292,B292,"ym")=1," month"," months"),IF(DATEDIF(C292,B292,"m")&gt;=1,DATEDIF(C292,B292,"m")&amp;IF(DATEDIF(C292,B292,"m")=1," month"," months"),DATEDIF(C292,B292,"d")&amp;IF(DATEDIF(C292,B292,"d")=1," day"," days"))))</f>
      </c>
      <c r="E292" s="103"/>
      <c r="F292" s="103"/>
      <c r="G292" s="103"/>
      <c r="H292" s="103"/>
      <c r="I292" s="103"/>
      <c r="J292" s="104"/>
      <c r="K292" s="103"/>
      <c r="L292" s="103"/>
      <c r="M292" s="105" t="str">
        <f>IFERROR(VLOOKUP(G292,Reference!$I$2:$J$175,2,FALSE()),"Operations")</f>
        <v>Operations</v>
      </c>
    </row>
    <row r="293" spans="1:13" ht="15" customHeight="1" x14ac:dyDescent="0.25">
      <c r="A293" s="100"/>
      <c r="B293" s="101"/>
      <c r="C293" s="101"/>
      <c r="D293" s="100">
        <f>IF(OR(B293="",C293=""),"",IF(DATEDIF(C293,B293,"y")&gt;=1,DATEDIF(C293,B293,"y")&amp;IF(DATEDIF(C293,B293,"y")=1," year "," years ")&amp;DATEDIF(C293,B293,"ym")&amp;IF(DATEDIF(C293,B293,"ym")=1," month"," months"),IF(DATEDIF(C293,B293,"m")&gt;=1,DATEDIF(C293,B293,"m")&amp;IF(DATEDIF(C293,B293,"m")=1," month"," months"),DATEDIF(C293,B293,"d")&amp;IF(DATEDIF(C293,B293,"d")=1," day"," days"))))</f>
      </c>
      <c r="E293" s="100"/>
      <c r="F293" s="100"/>
      <c r="G293" s="100"/>
      <c r="H293" s="100"/>
      <c r="I293" s="100"/>
      <c r="J293" s="101"/>
      <c r="K293" s="100"/>
      <c r="L293" s="100"/>
      <c r="M293" s="102" t="str">
        <f>IFERROR(VLOOKUP(G293,Reference!$I$2:$J$175,2,FALSE()),"Operations")</f>
        <v>Operations</v>
      </c>
    </row>
    <row r="294" spans="1:13" ht="15" customHeight="1" x14ac:dyDescent="0.25">
      <c r="A294" s="103"/>
      <c r="B294" s="104"/>
      <c r="C294" s="104"/>
      <c r="D294" s="103">
        <f>IF(OR(B294="",C294=""),"",IF(DATEDIF(C294,B294,"y")&gt;=1,DATEDIF(C294,B294,"y")&amp;IF(DATEDIF(C294,B294,"y")=1," year "," years ")&amp;DATEDIF(C294,B294,"ym")&amp;IF(DATEDIF(C294,B294,"ym")=1," month"," months"),IF(DATEDIF(C294,B294,"m")&gt;=1,DATEDIF(C294,B294,"m")&amp;IF(DATEDIF(C294,B294,"m")=1," month"," months"),DATEDIF(C294,B294,"d")&amp;IF(DATEDIF(C294,B294,"d")=1," day"," days"))))</f>
      </c>
      <c r="E294" s="103"/>
      <c r="F294" s="103"/>
      <c r="G294" s="103"/>
      <c r="H294" s="103"/>
      <c r="I294" s="103"/>
      <c r="J294" s="104"/>
      <c r="K294" s="103"/>
      <c r="L294" s="103"/>
      <c r="M294" s="105" t="str">
        <f>IFERROR(VLOOKUP(G294,Reference!$I$2:$J$175,2,FALSE()),"Operations")</f>
        <v>Operations</v>
      </c>
    </row>
    <row r="295" spans="1:13" ht="15" customHeight="1" x14ac:dyDescent="0.25">
      <c r="A295" s="100"/>
      <c r="B295" s="101"/>
      <c r="C295" s="101"/>
      <c r="D295" s="100">
        <f>IF(OR(B295="",C295=""),"",IF(DATEDIF(C295,B295,"y")&gt;=1,DATEDIF(C295,B295,"y")&amp;IF(DATEDIF(C295,B295,"y")=1," year "," years ")&amp;DATEDIF(C295,B295,"ym")&amp;IF(DATEDIF(C295,B295,"ym")=1," month"," months"),IF(DATEDIF(C295,B295,"m")&gt;=1,DATEDIF(C295,B295,"m")&amp;IF(DATEDIF(C295,B295,"m")=1," month"," months"),DATEDIF(C295,B295,"d")&amp;IF(DATEDIF(C295,B295,"d")=1," day"," days"))))</f>
      </c>
      <c r="E295" s="100"/>
      <c r="F295" s="100"/>
      <c r="G295" s="100"/>
      <c r="H295" s="100"/>
      <c r="I295" s="100"/>
      <c r="J295" s="101"/>
      <c r="K295" s="100"/>
      <c r="L295" s="100"/>
      <c r="M295" s="102" t="str">
        <f>IFERROR(VLOOKUP(G295,Reference!$I$2:$J$175,2,FALSE()),"Operations")</f>
        <v>Operations</v>
      </c>
    </row>
    <row r="296" spans="1:13" ht="15" customHeight="1" x14ac:dyDescent="0.25">
      <c r="A296" s="103"/>
      <c r="B296" s="104"/>
      <c r="C296" s="104"/>
      <c r="D296" s="103">
        <f>IF(OR(B296="",C296=""),"",IF(DATEDIF(C296,B296,"y")&gt;=1,DATEDIF(C296,B296,"y")&amp;IF(DATEDIF(C296,B296,"y")=1," year "," years ")&amp;DATEDIF(C296,B296,"ym")&amp;IF(DATEDIF(C296,B296,"ym")=1," month"," months"),IF(DATEDIF(C296,B296,"m")&gt;=1,DATEDIF(C296,B296,"m")&amp;IF(DATEDIF(C296,B296,"m")=1," month"," months"),DATEDIF(C296,B296,"d")&amp;IF(DATEDIF(C296,B296,"d")=1," day"," days"))))</f>
      </c>
      <c r="E296" s="103"/>
      <c r="F296" s="103"/>
      <c r="G296" s="103"/>
      <c r="H296" s="103"/>
      <c r="I296" s="103"/>
      <c r="J296" s="104"/>
      <c r="K296" s="103"/>
      <c r="L296" s="103"/>
      <c r="M296" s="105" t="str">
        <f>IFERROR(VLOOKUP(G296,Reference!$I$2:$J$175,2,FALSE()),"Operations")</f>
        <v>Operations</v>
      </c>
    </row>
    <row r="297" spans="1:13" ht="15" customHeight="1" x14ac:dyDescent="0.25">
      <c r="A297" s="100"/>
      <c r="B297" s="101"/>
      <c r="C297" s="101"/>
      <c r="D297" s="100">
        <f>IF(OR(B297="",C297=""),"",IF(DATEDIF(C297,B297,"y")&gt;=1,DATEDIF(C297,B297,"y")&amp;IF(DATEDIF(C297,B297,"y")=1," year "," years ")&amp;DATEDIF(C297,B297,"ym")&amp;IF(DATEDIF(C297,B297,"ym")=1," month"," months"),IF(DATEDIF(C297,B297,"m")&gt;=1,DATEDIF(C297,B297,"m")&amp;IF(DATEDIF(C297,B297,"m")=1," month"," months"),DATEDIF(C297,B297,"d")&amp;IF(DATEDIF(C297,B297,"d")=1," day"," days"))))</f>
      </c>
      <c r="E297" s="100"/>
      <c r="F297" s="100"/>
      <c r="G297" s="100"/>
      <c r="H297" s="100"/>
      <c r="I297" s="100"/>
      <c r="J297" s="101"/>
      <c r="K297" s="100"/>
      <c r="L297" s="100"/>
      <c r="M297" s="102" t="str">
        <f>IFERROR(VLOOKUP(G297,Reference!$I$2:$J$175,2,FALSE()),"Operations")</f>
        <v>Operations</v>
      </c>
    </row>
    <row r="298" spans="1:13" ht="15" customHeight="1" x14ac:dyDescent="0.25">
      <c r="A298" s="103"/>
      <c r="B298" s="104"/>
      <c r="C298" s="104"/>
      <c r="D298" s="103">
        <f>IF(OR(B298="",C298=""),"",IF(DATEDIF(C298,B298,"y")&gt;=1,DATEDIF(C298,B298,"y")&amp;IF(DATEDIF(C298,B298,"y")=1," year "," years ")&amp;DATEDIF(C298,B298,"ym")&amp;IF(DATEDIF(C298,B298,"ym")=1," month"," months"),IF(DATEDIF(C298,B298,"m")&gt;=1,DATEDIF(C298,B298,"m")&amp;IF(DATEDIF(C298,B298,"m")=1," month"," months"),DATEDIF(C298,B298,"d")&amp;IF(DATEDIF(C298,B298,"d")=1," day"," days"))))</f>
      </c>
      <c r="E298" s="103"/>
      <c r="F298" s="103"/>
      <c r="G298" s="103"/>
      <c r="H298" s="103"/>
      <c r="I298" s="103"/>
      <c r="J298" s="104"/>
      <c r="K298" s="103"/>
      <c r="L298" s="103"/>
      <c r="M298" s="105" t="str">
        <f>IFERROR(VLOOKUP(G298,Reference!$I$2:$J$175,2,FALSE()),"Operations")</f>
        <v>Operations</v>
      </c>
    </row>
    <row r="299" spans="1:13" ht="15" customHeight="1" x14ac:dyDescent="0.25">
      <c r="A299" s="100"/>
      <c r="B299" s="101"/>
      <c r="C299" s="101"/>
      <c r="D299" s="100">
        <f>IF(OR(B299="",C299=""),"",IF(DATEDIF(C299,B299,"y")&gt;=1,DATEDIF(C299,B299,"y")&amp;IF(DATEDIF(C299,B299,"y")=1," year "," years ")&amp;DATEDIF(C299,B299,"ym")&amp;IF(DATEDIF(C299,B299,"ym")=1," month"," months"),IF(DATEDIF(C299,B299,"m")&gt;=1,DATEDIF(C299,B299,"m")&amp;IF(DATEDIF(C299,B299,"m")=1," month"," months"),DATEDIF(C299,B299,"d")&amp;IF(DATEDIF(C299,B299,"d")=1," day"," days"))))</f>
      </c>
      <c r="E299" s="100"/>
      <c r="F299" s="100"/>
      <c r="G299" s="100"/>
      <c r="H299" s="100"/>
      <c r="I299" s="100"/>
      <c r="J299" s="101"/>
      <c r="K299" s="100"/>
      <c r="L299" s="100"/>
      <c r="M299" s="102" t="str">
        <f>IFERROR(VLOOKUP(G299,Reference!$I$2:$J$175,2,FALSE()),"Operations")</f>
        <v>Operations</v>
      </c>
    </row>
    <row r="300" spans="1:13" ht="15" customHeight="1" x14ac:dyDescent="0.25">
      <c r="A300" s="103"/>
      <c r="B300" s="104"/>
      <c r="C300" s="104"/>
      <c r="D300" s="103">
        <f>IF(OR(B300="",C300=""),"",IF(DATEDIF(C300,B300,"y")&gt;=1,DATEDIF(C300,B300,"y")&amp;IF(DATEDIF(C300,B300,"y")=1," year "," years ")&amp;DATEDIF(C300,B300,"ym")&amp;IF(DATEDIF(C300,B300,"ym")=1," month"," months"),IF(DATEDIF(C300,B300,"m")&gt;=1,DATEDIF(C300,B300,"m")&amp;IF(DATEDIF(C300,B300,"m")=1," month"," months"),DATEDIF(C300,B300,"d")&amp;IF(DATEDIF(C300,B300,"d")=1," day"," days"))))</f>
      </c>
      <c r="E300" s="103"/>
      <c r="F300" s="103"/>
      <c r="G300" s="103"/>
      <c r="H300" s="103"/>
      <c r="I300" s="103"/>
      <c r="J300" s="104"/>
      <c r="K300" s="103"/>
      <c r="L300" s="103"/>
      <c r="M300" s="105" t="str">
        <f>IFERROR(VLOOKUP(G300,Reference!$I$2:$J$175,2,FALSE()),"Operations")</f>
        <v>Operations</v>
      </c>
    </row>
    <row r="301" spans="1:13" ht="15" customHeight="1" x14ac:dyDescent="0.25">
      <c r="A301" s="100"/>
      <c r="B301" s="101"/>
      <c r="C301" s="101"/>
      <c r="D301" s="100">
        <f>IF(OR(B301="",C301=""),"",IF(DATEDIF(C301,B301,"y")&gt;=1,DATEDIF(C301,B301,"y")&amp;IF(DATEDIF(C301,B301,"y")=1," year "," years ")&amp;DATEDIF(C301,B301,"ym")&amp;IF(DATEDIF(C301,B301,"ym")=1," month"," months"),IF(DATEDIF(C301,B301,"m")&gt;=1,DATEDIF(C301,B301,"m")&amp;IF(DATEDIF(C301,B301,"m")=1," month"," months"),DATEDIF(C301,B301,"d")&amp;IF(DATEDIF(C301,B301,"d")=1," day"," days"))))</f>
      </c>
      <c r="E301" s="100"/>
      <c r="F301" s="100"/>
      <c r="G301" s="100"/>
      <c r="H301" s="100"/>
      <c r="I301" s="100"/>
      <c r="J301" s="101"/>
      <c r="K301" s="100"/>
      <c r="L301" s="100"/>
      <c r="M301" s="102" t="str">
        <f>IFERROR(VLOOKUP(G301,Reference!$I$2:$J$175,2,FALSE()),"Operations")</f>
        <v>Operations</v>
      </c>
    </row>
    <row r="302" spans="1:13" ht="15" customHeight="1" x14ac:dyDescent="0.25">
      <c r="A302" s="103"/>
      <c r="B302" s="104"/>
      <c r="C302" s="104"/>
      <c r="D302" s="103">
        <f>IF(OR(B302="",C302=""),"",IF(DATEDIF(C302,B302,"y")&gt;=1,DATEDIF(C302,B302,"y")&amp;IF(DATEDIF(C302,B302,"y")=1," year "," years ")&amp;DATEDIF(C302,B302,"ym")&amp;IF(DATEDIF(C302,B302,"ym")=1," month"," months"),IF(DATEDIF(C302,B302,"m")&gt;=1,DATEDIF(C302,B302,"m")&amp;IF(DATEDIF(C302,B302,"m")=1," month"," months"),DATEDIF(C302,B302,"d")&amp;IF(DATEDIF(C302,B302,"d")=1," day"," days"))))</f>
      </c>
      <c r="E302" s="103"/>
      <c r="F302" s="103"/>
      <c r="G302" s="103"/>
      <c r="H302" s="103"/>
      <c r="I302" s="103"/>
      <c r="J302" s="104"/>
      <c r="K302" s="103"/>
      <c r="L302" s="103"/>
      <c r="M302" s="105" t="str">
        <f>IFERROR(VLOOKUP(G302,Reference!$I$2:$J$175,2,FALSE()),"Operations")</f>
        <v>Operations</v>
      </c>
    </row>
    <row r="303" spans="1:13" ht="15" customHeight="1" x14ac:dyDescent="0.25">
      <c r="A303" s="100"/>
      <c r="B303" s="101"/>
      <c r="C303" s="101"/>
      <c r="D303" s="100">
        <f>IF(OR(B303="",C303=""),"",IF(DATEDIF(C303,B303,"y")&gt;=1,DATEDIF(C303,B303,"y")&amp;IF(DATEDIF(C303,B303,"y")=1," year "," years ")&amp;DATEDIF(C303,B303,"ym")&amp;IF(DATEDIF(C303,B303,"ym")=1," month"," months"),IF(DATEDIF(C303,B303,"m")&gt;=1,DATEDIF(C303,B303,"m")&amp;IF(DATEDIF(C303,B303,"m")=1," month"," months"),DATEDIF(C303,B303,"d")&amp;IF(DATEDIF(C303,B303,"d")=1," day"," days"))))</f>
      </c>
      <c r="E303" s="100"/>
      <c r="F303" s="100"/>
      <c r="G303" s="100"/>
      <c r="H303" s="100"/>
      <c r="I303" s="100"/>
      <c r="J303" s="101"/>
      <c r="K303" s="100"/>
      <c r="L303" s="100"/>
      <c r="M303" s="102" t="str">
        <f>IFERROR(VLOOKUP(G303,Reference!$I$2:$J$175,2,FALSE()),"Operations")</f>
        <v>Operations</v>
      </c>
    </row>
    <row r="304" spans="1:13" ht="15" customHeight="1" x14ac:dyDescent="0.25">
      <c r="A304" s="103"/>
      <c r="B304" s="104"/>
      <c r="C304" s="104"/>
      <c r="D304" s="103">
        <f>IF(OR(B304="",C304=""),"",IF(DATEDIF(C304,B304,"y")&gt;=1,DATEDIF(C304,B304,"y")&amp;IF(DATEDIF(C304,B304,"y")=1," year "," years ")&amp;DATEDIF(C304,B304,"ym")&amp;IF(DATEDIF(C304,B304,"ym")=1," month"," months"),IF(DATEDIF(C304,B304,"m")&gt;=1,DATEDIF(C304,B304,"m")&amp;IF(DATEDIF(C304,B304,"m")=1," month"," months"),DATEDIF(C304,B304,"d")&amp;IF(DATEDIF(C304,B304,"d")=1," day"," days"))))</f>
      </c>
      <c r="E304" s="103"/>
      <c r="F304" s="103"/>
      <c r="G304" s="103"/>
      <c r="H304" s="103"/>
      <c r="I304" s="103"/>
      <c r="J304" s="104"/>
      <c r="K304" s="103"/>
      <c r="L304" s="103"/>
      <c r="M304" s="105" t="str">
        <f>IFERROR(VLOOKUP(G304,Reference!$I$2:$J$175,2,FALSE()),"Operations")</f>
        <v>Operations</v>
      </c>
    </row>
    <row r="305" spans="1:13" ht="15" customHeight="1" x14ac:dyDescent="0.25">
      <c r="A305" s="100"/>
      <c r="B305" s="101"/>
      <c r="C305" s="101"/>
      <c r="D305" s="100">
        <f>IF(OR(B305="",C305=""),"",IF(DATEDIF(C305,B305,"y")&gt;=1,DATEDIF(C305,B305,"y")&amp;IF(DATEDIF(C305,B305,"y")=1," year "," years ")&amp;DATEDIF(C305,B305,"ym")&amp;IF(DATEDIF(C305,B305,"ym")=1," month"," months"),IF(DATEDIF(C305,B305,"m")&gt;=1,DATEDIF(C305,B305,"m")&amp;IF(DATEDIF(C305,B305,"m")=1," month"," months"),DATEDIF(C305,B305,"d")&amp;IF(DATEDIF(C305,B305,"d")=1," day"," days"))))</f>
      </c>
      <c r="E305" s="100"/>
      <c r="F305" s="100"/>
      <c r="G305" s="100"/>
      <c r="H305" s="100"/>
      <c r="I305" s="100"/>
      <c r="J305" s="101"/>
      <c r="K305" s="100"/>
      <c r="L305" s="100"/>
      <c r="M305" s="102" t="str">
        <f>IFERROR(VLOOKUP(G305,Reference!$I$2:$J$175,2,FALSE()),"Operations")</f>
        <v>Operations</v>
      </c>
    </row>
    <row r="306" spans="1:13" ht="15" customHeight="1" x14ac:dyDescent="0.25">
      <c r="A306" s="103"/>
      <c r="B306" s="104"/>
      <c r="C306" s="104"/>
      <c r="D306" s="103">
        <f>IF(OR(B306="",C306=""),"",IF(DATEDIF(C306,B306,"y")&gt;=1,DATEDIF(C306,B306,"y")&amp;IF(DATEDIF(C306,B306,"y")=1," year "," years ")&amp;DATEDIF(C306,B306,"ym")&amp;IF(DATEDIF(C306,B306,"ym")=1," month"," months"),IF(DATEDIF(C306,B306,"m")&gt;=1,DATEDIF(C306,B306,"m")&amp;IF(DATEDIF(C306,B306,"m")=1," month"," months"),DATEDIF(C306,B306,"d")&amp;IF(DATEDIF(C306,B306,"d")=1," day"," days"))))</f>
      </c>
      <c r="E306" s="103"/>
      <c r="F306" s="103"/>
      <c r="G306" s="103"/>
      <c r="H306" s="103"/>
      <c r="I306" s="103"/>
      <c r="J306" s="104"/>
      <c r="K306" s="103"/>
      <c r="L306" s="103"/>
      <c r="M306" s="105" t="str">
        <f>IFERROR(VLOOKUP(G306,Reference!$I$2:$J$175,2,FALSE()),"Operations")</f>
        <v>Operations</v>
      </c>
    </row>
    <row r="307" spans="1:13" ht="15" customHeight="1" x14ac:dyDescent="0.25">
      <c r="A307" s="100"/>
      <c r="B307" s="101"/>
      <c r="C307" s="101"/>
      <c r="D307" s="100">
        <f>IF(OR(B307="",C307=""),"",IF(DATEDIF(C307,B307,"y")&gt;=1,DATEDIF(C307,B307,"y")&amp;IF(DATEDIF(C307,B307,"y")=1," year "," years ")&amp;DATEDIF(C307,B307,"ym")&amp;IF(DATEDIF(C307,B307,"ym")=1," month"," months"),IF(DATEDIF(C307,B307,"m")&gt;=1,DATEDIF(C307,B307,"m")&amp;IF(DATEDIF(C307,B307,"m")=1," month"," months"),DATEDIF(C307,B307,"d")&amp;IF(DATEDIF(C307,B307,"d")=1," day"," days"))))</f>
      </c>
      <c r="E307" s="100"/>
      <c r="F307" s="100"/>
      <c r="G307" s="100"/>
      <c r="H307" s="100"/>
      <c r="I307" s="100"/>
      <c r="J307" s="101"/>
      <c r="K307" s="100"/>
      <c r="L307" s="100"/>
      <c r="M307" s="102" t="str">
        <f>IFERROR(VLOOKUP(G307,Reference!$I$2:$J$175,2,FALSE()),"Operations")</f>
        <v>Operations</v>
      </c>
    </row>
    <row r="308" spans="1:13" ht="15" customHeight="1" x14ac:dyDescent="0.25">
      <c r="A308" s="103"/>
      <c r="B308" s="104"/>
      <c r="C308" s="104"/>
      <c r="D308" s="103">
        <f>IF(OR(B308="",C308=""),"",IF(DATEDIF(C308,B308,"y")&gt;=1,DATEDIF(C308,B308,"y")&amp;IF(DATEDIF(C308,B308,"y")=1," year "," years ")&amp;DATEDIF(C308,B308,"ym")&amp;IF(DATEDIF(C308,B308,"ym")=1," month"," months"),IF(DATEDIF(C308,B308,"m")&gt;=1,DATEDIF(C308,B308,"m")&amp;IF(DATEDIF(C308,B308,"m")=1," month"," months"),DATEDIF(C308,B308,"d")&amp;IF(DATEDIF(C308,B308,"d")=1," day"," days"))))</f>
      </c>
      <c r="E308" s="103"/>
      <c r="F308" s="103"/>
      <c r="G308" s="103"/>
      <c r="H308" s="103"/>
      <c r="I308" s="103"/>
      <c r="J308" s="104"/>
      <c r="K308" s="103"/>
      <c r="L308" s="103"/>
      <c r="M308" s="105" t="str">
        <f>IFERROR(VLOOKUP(G308,Reference!$I$2:$J$175,2,FALSE()),"Operations")</f>
        <v>Operations</v>
      </c>
    </row>
    <row r="309" spans="1:13" ht="15" customHeight="1" x14ac:dyDescent="0.25">
      <c r="A309" s="100"/>
      <c r="B309" s="101"/>
      <c r="C309" s="101"/>
      <c r="D309" s="100">
        <f>IF(OR(B309="",C309=""),"",IF(DATEDIF(C309,B309,"y")&gt;=1,DATEDIF(C309,B309,"y")&amp;IF(DATEDIF(C309,B309,"y")=1," year "," years ")&amp;DATEDIF(C309,B309,"ym")&amp;IF(DATEDIF(C309,B309,"ym")=1," month"," months"),IF(DATEDIF(C309,B309,"m")&gt;=1,DATEDIF(C309,B309,"m")&amp;IF(DATEDIF(C309,B309,"m")=1," month"," months"),DATEDIF(C309,B309,"d")&amp;IF(DATEDIF(C309,B309,"d")=1," day"," days"))))</f>
      </c>
      <c r="E309" s="100"/>
      <c r="F309" s="100"/>
      <c r="G309" s="100"/>
      <c r="H309" s="100"/>
      <c r="I309" s="100"/>
      <c r="J309" s="101"/>
      <c r="K309" s="100"/>
      <c r="L309" s="100"/>
      <c r="M309" s="102" t="str">
        <f>IFERROR(VLOOKUP(G309,Reference!$I$2:$J$175,2,FALSE()),"Operations")</f>
        <v>Operations</v>
      </c>
    </row>
    <row r="310" spans="1:13" ht="15" customHeight="1" x14ac:dyDescent="0.25">
      <c r="A310" s="103"/>
      <c r="B310" s="104"/>
      <c r="C310" s="104"/>
      <c r="D310" s="103">
        <f>IF(OR(B310="",C310=""),"",IF(DATEDIF(C310,B310,"y")&gt;=1,DATEDIF(C310,B310,"y")&amp;IF(DATEDIF(C310,B310,"y")=1," year "," years ")&amp;DATEDIF(C310,B310,"ym")&amp;IF(DATEDIF(C310,B310,"ym")=1," month"," months"),IF(DATEDIF(C310,B310,"m")&gt;=1,DATEDIF(C310,B310,"m")&amp;IF(DATEDIF(C310,B310,"m")=1," month"," months"),DATEDIF(C310,B310,"d")&amp;IF(DATEDIF(C310,B310,"d")=1," day"," days"))))</f>
      </c>
      <c r="E310" s="103"/>
      <c r="F310" s="103"/>
      <c r="G310" s="103"/>
      <c r="H310" s="103"/>
      <c r="I310" s="103"/>
      <c r="J310" s="104"/>
      <c r="K310" s="103"/>
      <c r="L310" s="103"/>
      <c r="M310" s="105" t="str">
        <f>IFERROR(VLOOKUP(G310,Reference!$I$2:$J$175,2,FALSE()),"Operations")</f>
        <v>Operations</v>
      </c>
    </row>
    <row r="311" spans="1:13" ht="15" customHeight="1" x14ac:dyDescent="0.25">
      <c r="A311" s="106" t="s">
        <v>163</v>
      </c>
      <c r="B311" s="107">
        <f>COUNTA(A281:A310)</f>
        <v>8</v>
      </c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</row>
    <row r="312" spans="1:13" ht="6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</row>
    <row r="313" spans="1:13" ht="21.75" customHeight="1" x14ac:dyDescent="0.25">
      <c r="A313" s="163" t="s">
        <v>832</v>
      </c>
      <c r="B313" s="163"/>
      <c r="C313" s="163"/>
      <c r="D313" s="163"/>
      <c r="E313" s="163"/>
      <c r="F313" s="163"/>
      <c r="G313" s="163"/>
      <c r="H313" s="163"/>
      <c r="I313" s="163"/>
      <c r="J313" s="163"/>
      <c r="K313" s="163"/>
      <c r="L313" s="163"/>
      <c r="M313" s="163"/>
    </row>
    <row r="314" spans="1:13" ht="19.5" customHeight="1" x14ac:dyDescent="0.25">
      <c r="A314" s="64" t="s">
        <v>151</v>
      </c>
      <c r="B314" s="64" t="s">
        <v>152</v>
      </c>
      <c r="C314" s="64" t="s">
        <v>153</v>
      </c>
      <c r="D314" s="64" t="s">
        <v>154</v>
      </c>
      <c r="E314" s="64" t="s">
        <v>155</v>
      </c>
      <c r="F314" s="64" t="s">
        <v>156</v>
      </c>
      <c r="G314" s="64" t="s">
        <v>157</v>
      </c>
      <c r="H314" s="64" t="s">
        <v>158</v>
      </c>
      <c r="I314" s="64" t="s">
        <v>159</v>
      </c>
      <c r="J314" s="64" t="s">
        <v>160</v>
      </c>
      <c r="K314" s="64" t="s">
        <v>134</v>
      </c>
      <c r="L314" s="64" t="s">
        <v>161</v>
      </c>
      <c r="M314" s="64" t="s">
        <v>162</v>
      </c>
    </row>
    <row r="315" spans="1:13" ht="15" customHeight="1" x14ac:dyDescent="0.25">
      <c r="A315" s="77" t="s">
        <v>833</v>
      </c>
      <c r="B315" s="111">
        <v>45571</v>
      </c>
      <c r="C315" s="77"/>
      <c r="D315" s="77" t="s">
        <v>834</v>
      </c>
      <c r="E315" s="77" t="s">
        <v>184</v>
      </c>
      <c r="F315" s="77" t="s">
        <v>191</v>
      </c>
      <c r="G315" s="77" t="s">
        <v>199</v>
      </c>
      <c r="H315" s="77" t="s">
        <v>70</v>
      </c>
      <c r="I315" s="77" t="s">
        <v>657</v>
      </c>
      <c r="J315" s="77"/>
      <c r="K315" s="77" t="s">
        <v>66</v>
      </c>
      <c r="L315" s="77"/>
      <c r="M315" s="102" t="str">
        <f>IFERROR(VLOOKUP(G315,Reference!$I$2:$J$175,2,FALSE()),"Operations")</f>
        <v>Operations</v>
      </c>
    </row>
    <row r="316" spans="1:13" ht="15" customHeight="1" x14ac:dyDescent="0.25">
      <c r="A316" s="80" t="s">
        <v>835</v>
      </c>
      <c r="B316" s="112">
        <v>45579</v>
      </c>
      <c r="C316" s="80"/>
      <c r="D316" s="80" t="s">
        <v>836</v>
      </c>
      <c r="E316" s="80" t="s">
        <v>184</v>
      </c>
      <c r="F316" s="80" t="s">
        <v>191</v>
      </c>
      <c r="G316" s="80" t="s">
        <v>837</v>
      </c>
      <c r="H316" s="80" t="s">
        <v>58</v>
      </c>
      <c r="I316" s="80" t="s">
        <v>838</v>
      </c>
      <c r="J316" s="80"/>
      <c r="K316" s="80" t="s">
        <v>66</v>
      </c>
      <c r="L316" s="80"/>
      <c r="M316" s="105" t="str">
        <f>IFERROR(VLOOKUP(G316,Reference!$I$2:$J$175,2,FALSE()),"Operations")</f>
        <v>Operations</v>
      </c>
    </row>
    <row r="317" spans="1:13" ht="15" customHeight="1" x14ac:dyDescent="0.25">
      <c r="A317" s="77" t="s">
        <v>839</v>
      </c>
      <c r="B317" s="111">
        <v>45573</v>
      </c>
      <c r="C317" s="77"/>
      <c r="D317" s="77" t="s">
        <v>318</v>
      </c>
      <c r="E317" s="77" t="s">
        <v>179</v>
      </c>
      <c r="F317" s="77" t="s">
        <v>191</v>
      </c>
      <c r="G317" s="77" t="s">
        <v>840</v>
      </c>
      <c r="H317" s="77" t="s">
        <v>58</v>
      </c>
      <c r="I317" s="77" t="s">
        <v>197</v>
      </c>
      <c r="J317" s="77"/>
      <c r="K317" s="77" t="s">
        <v>68</v>
      </c>
      <c r="L317" s="77"/>
      <c r="M317" s="102" t="str">
        <f>IFERROR(VLOOKUP(G317,Reference!$I$2:$J$175,2,FALSE()),"Operations")</f>
        <v>Operations</v>
      </c>
    </row>
    <row r="318" spans="1:13" ht="15" customHeight="1" x14ac:dyDescent="0.25">
      <c r="A318" s="80" t="s">
        <v>841</v>
      </c>
      <c r="B318" s="112">
        <v>45574</v>
      </c>
      <c r="C318" s="80"/>
      <c r="D318" s="80" t="s">
        <v>313</v>
      </c>
      <c r="E318" s="80" t="s">
        <v>179</v>
      </c>
      <c r="F318" s="80" t="s">
        <v>191</v>
      </c>
      <c r="G318" s="80" t="s">
        <v>223</v>
      </c>
      <c r="H318" s="80" t="s">
        <v>69</v>
      </c>
      <c r="I318" s="80"/>
      <c r="J318" s="80"/>
      <c r="K318" s="80" t="s">
        <v>66</v>
      </c>
      <c r="L318" s="80"/>
      <c r="M318" s="105" t="str">
        <f>IFERROR(VLOOKUP(G318,Reference!$I$2:$J$175,2,FALSE()),"Operations")</f>
        <v>Operations</v>
      </c>
    </row>
    <row r="319" spans="1:13" ht="15" customHeight="1" x14ac:dyDescent="0.25">
      <c r="A319" s="77" t="s">
        <v>842</v>
      </c>
      <c r="B319" s="111">
        <v>45582</v>
      </c>
      <c r="C319" s="77"/>
      <c r="D319" s="77" t="s">
        <v>713</v>
      </c>
      <c r="E319" s="77" t="s">
        <v>184</v>
      </c>
      <c r="F319" s="77" t="s">
        <v>191</v>
      </c>
      <c r="G319" s="77" t="s">
        <v>843</v>
      </c>
      <c r="H319" s="77" t="s">
        <v>58</v>
      </c>
      <c r="I319" s="77" t="s">
        <v>617</v>
      </c>
      <c r="J319" s="77"/>
      <c r="K319" s="77" t="s">
        <v>68</v>
      </c>
      <c r="L319" s="77"/>
      <c r="M319" s="102" t="str">
        <f>IFERROR(VLOOKUP(G319,Reference!$I$2:$J$175,2,FALSE()),"Operations")</f>
        <v>Operations</v>
      </c>
    </row>
    <row r="320" spans="1:13" ht="15" customHeight="1" x14ac:dyDescent="0.25">
      <c r="A320" s="80" t="s">
        <v>844</v>
      </c>
      <c r="B320" s="112">
        <v>45573</v>
      </c>
      <c r="C320" s="80"/>
      <c r="D320" s="80" t="s">
        <v>845</v>
      </c>
      <c r="E320" s="80" t="s">
        <v>179</v>
      </c>
      <c r="F320" s="80" t="s">
        <v>180</v>
      </c>
      <c r="G320" s="80" t="s">
        <v>246</v>
      </c>
      <c r="H320" s="80" t="s">
        <v>56</v>
      </c>
      <c r="I320" s="80" t="s">
        <v>197</v>
      </c>
      <c r="J320" s="80"/>
      <c r="K320" s="80" t="s">
        <v>66</v>
      </c>
      <c r="L320" s="80"/>
      <c r="M320" s="105" t="str">
        <f>IFERROR(VLOOKUP(G320,Reference!$I$2:$J$175,2,FALSE()),"Operations")</f>
        <v>Operations</v>
      </c>
    </row>
    <row r="321" spans="1:13" ht="15" customHeight="1" x14ac:dyDescent="0.25">
      <c r="A321" s="77" t="s">
        <v>846</v>
      </c>
      <c r="B321" s="111">
        <v>1</v>
      </c>
      <c r="C321" s="77"/>
      <c r="D321" s="77" t="s">
        <v>373</v>
      </c>
      <c r="E321" s="77" t="s">
        <v>179</v>
      </c>
      <c r="F321" s="77" t="s">
        <v>191</v>
      </c>
      <c r="G321" s="77" t="s">
        <v>307</v>
      </c>
      <c r="H321" s="77" t="s">
        <v>58</v>
      </c>
      <c r="I321" s="77" t="s">
        <v>182</v>
      </c>
      <c r="J321" s="77"/>
      <c r="K321" s="77" t="s">
        <v>66</v>
      </c>
      <c r="L321" s="77"/>
      <c r="M321" s="102" t="str">
        <f>IFERROR(VLOOKUP(G321,Reference!$I$2:$J$175,2,FALSE()),"Operations")</f>
        <v>Operations</v>
      </c>
    </row>
    <row r="322" spans="1:13" ht="15" customHeight="1" x14ac:dyDescent="0.25">
      <c r="A322" s="103"/>
      <c r="B322" s="104"/>
      <c r="C322" s="104"/>
      <c r="D322" s="103">
        <f>IF(OR(B322="",C322=""),"",IF(DATEDIF(C322,B322,"y")&gt;=1,DATEDIF(C322,B322,"y")&amp;IF(DATEDIF(C322,B322,"y")=1," year "," years ")&amp;DATEDIF(C322,B322,"ym")&amp;IF(DATEDIF(C322,B322,"ym")=1," month"," months"),IF(DATEDIF(C322,B322,"m")&gt;=1,DATEDIF(C322,B322,"m")&amp;IF(DATEDIF(C322,B322,"m")=1," month"," months"),DATEDIF(C322,B322,"d")&amp;IF(DATEDIF(C322,B322,"d")=1," day"," days"))))</f>
      </c>
      <c r="E322" s="103"/>
      <c r="F322" s="103"/>
      <c r="G322" s="103"/>
      <c r="H322" s="103"/>
      <c r="I322" s="103"/>
      <c r="J322" s="104"/>
      <c r="K322" s="103"/>
      <c r="L322" s="103"/>
      <c r="M322" s="105" t="str">
        <f>IFERROR(VLOOKUP(G322,Reference!$I$2:$J$175,2,FALSE()),"Operations")</f>
        <v>Operations</v>
      </c>
    </row>
    <row r="323" spans="1:13" ht="15" customHeight="1" x14ac:dyDescent="0.25">
      <c r="A323" s="100"/>
      <c r="B323" s="101"/>
      <c r="C323" s="101"/>
      <c r="D323" s="100">
        <f>IF(OR(B323="",C323=""),"",IF(DATEDIF(C323,B323,"y")&gt;=1,DATEDIF(C323,B323,"y")&amp;IF(DATEDIF(C323,B323,"y")=1," year "," years ")&amp;DATEDIF(C323,B323,"ym")&amp;IF(DATEDIF(C323,B323,"ym")=1," month"," months"),IF(DATEDIF(C323,B323,"m")&gt;=1,DATEDIF(C323,B323,"m")&amp;IF(DATEDIF(C323,B323,"m")=1," month"," months"),DATEDIF(C323,B323,"d")&amp;IF(DATEDIF(C323,B323,"d")=1," day"," days"))))</f>
      </c>
      <c r="E323" s="100"/>
      <c r="F323" s="100"/>
      <c r="G323" s="100"/>
      <c r="H323" s="100"/>
      <c r="I323" s="100"/>
      <c r="J323" s="101"/>
      <c r="K323" s="100"/>
      <c r="L323" s="100"/>
      <c r="M323" s="102" t="str">
        <f>IFERROR(VLOOKUP(G323,Reference!$I$2:$J$175,2,FALSE()),"Operations")</f>
        <v>Operations</v>
      </c>
    </row>
    <row r="324" spans="1:13" ht="15" customHeight="1" x14ac:dyDescent="0.25">
      <c r="A324" s="103"/>
      <c r="B324" s="104"/>
      <c r="C324" s="104"/>
      <c r="D324" s="103">
        <f>IF(OR(B324="",C324=""),"",IF(DATEDIF(C324,B324,"y")&gt;=1,DATEDIF(C324,B324,"y")&amp;IF(DATEDIF(C324,B324,"y")=1," year "," years ")&amp;DATEDIF(C324,B324,"ym")&amp;IF(DATEDIF(C324,B324,"ym")=1," month"," months"),IF(DATEDIF(C324,B324,"m")&gt;=1,DATEDIF(C324,B324,"m")&amp;IF(DATEDIF(C324,B324,"m")=1," month"," months"),DATEDIF(C324,B324,"d")&amp;IF(DATEDIF(C324,B324,"d")=1," day"," days"))))</f>
      </c>
      <c r="E324" s="103"/>
      <c r="F324" s="103"/>
      <c r="G324" s="103"/>
      <c r="H324" s="103"/>
      <c r="I324" s="103"/>
      <c r="J324" s="104"/>
      <c r="K324" s="103"/>
      <c r="L324" s="103"/>
      <c r="M324" s="105" t="str">
        <f>IFERROR(VLOOKUP(G324,Reference!$I$2:$J$175,2,FALSE()),"Operations")</f>
        <v>Operations</v>
      </c>
    </row>
    <row r="325" spans="1:13" ht="15" customHeight="1" x14ac:dyDescent="0.25">
      <c r="A325" s="100"/>
      <c r="B325" s="101"/>
      <c r="C325" s="101"/>
      <c r="D325" s="100">
        <f>IF(OR(B325="",C325=""),"",IF(DATEDIF(C325,B325,"y")&gt;=1,DATEDIF(C325,B325,"y")&amp;IF(DATEDIF(C325,B325,"y")=1," year "," years ")&amp;DATEDIF(C325,B325,"ym")&amp;IF(DATEDIF(C325,B325,"ym")=1," month"," months"),IF(DATEDIF(C325,B325,"m")&gt;=1,DATEDIF(C325,B325,"m")&amp;IF(DATEDIF(C325,B325,"m")=1," month"," months"),DATEDIF(C325,B325,"d")&amp;IF(DATEDIF(C325,B325,"d")=1," day"," days"))))</f>
      </c>
      <c r="E325" s="100"/>
      <c r="F325" s="100"/>
      <c r="G325" s="100"/>
      <c r="H325" s="100"/>
      <c r="I325" s="100"/>
      <c r="J325" s="101"/>
      <c r="K325" s="100"/>
      <c r="L325" s="100"/>
      <c r="M325" s="102" t="str">
        <f>IFERROR(VLOOKUP(G325,Reference!$I$2:$J$175,2,FALSE()),"Operations")</f>
        <v>Operations</v>
      </c>
    </row>
    <row r="326" spans="1:13" ht="15" customHeight="1" x14ac:dyDescent="0.25">
      <c r="A326" s="103"/>
      <c r="B326" s="104"/>
      <c r="C326" s="104"/>
      <c r="D326" s="103">
        <f>IF(OR(B326="",C326=""),"",IF(DATEDIF(C326,B326,"y")&gt;=1,DATEDIF(C326,B326,"y")&amp;IF(DATEDIF(C326,B326,"y")=1," year "," years ")&amp;DATEDIF(C326,B326,"ym")&amp;IF(DATEDIF(C326,B326,"ym")=1," month"," months"),IF(DATEDIF(C326,B326,"m")&gt;=1,DATEDIF(C326,B326,"m")&amp;IF(DATEDIF(C326,B326,"m")=1," month"," months"),DATEDIF(C326,B326,"d")&amp;IF(DATEDIF(C326,B326,"d")=1," day"," days"))))</f>
      </c>
      <c r="E326" s="103"/>
      <c r="F326" s="103"/>
      <c r="G326" s="103"/>
      <c r="H326" s="103"/>
      <c r="I326" s="103"/>
      <c r="J326" s="104"/>
      <c r="K326" s="103"/>
      <c r="L326" s="103"/>
      <c r="M326" s="105" t="str">
        <f>IFERROR(VLOOKUP(G326,Reference!$I$2:$J$175,2,FALSE()),"Operations")</f>
        <v>Operations</v>
      </c>
    </row>
    <row r="327" spans="1:13" ht="15" customHeight="1" x14ac:dyDescent="0.25">
      <c r="A327" s="100"/>
      <c r="B327" s="101"/>
      <c r="C327" s="101"/>
      <c r="D327" s="100">
        <f>IF(OR(B327="",C327=""),"",IF(DATEDIF(C327,B327,"y")&gt;=1,DATEDIF(C327,B327,"y")&amp;IF(DATEDIF(C327,B327,"y")=1," year "," years ")&amp;DATEDIF(C327,B327,"ym")&amp;IF(DATEDIF(C327,B327,"ym")=1," month"," months"),IF(DATEDIF(C327,B327,"m")&gt;=1,DATEDIF(C327,B327,"m")&amp;IF(DATEDIF(C327,B327,"m")=1," month"," months"),DATEDIF(C327,B327,"d")&amp;IF(DATEDIF(C327,B327,"d")=1," day"," days"))))</f>
      </c>
      <c r="E327" s="100"/>
      <c r="F327" s="100"/>
      <c r="G327" s="100"/>
      <c r="H327" s="100"/>
      <c r="I327" s="100"/>
      <c r="J327" s="101"/>
      <c r="K327" s="100"/>
      <c r="L327" s="100"/>
      <c r="M327" s="102" t="str">
        <f>IFERROR(VLOOKUP(G327,Reference!$I$2:$J$175,2,FALSE()),"Operations")</f>
        <v>Operations</v>
      </c>
    </row>
    <row r="328" spans="1:13" ht="15" customHeight="1" x14ac:dyDescent="0.25">
      <c r="A328" s="103"/>
      <c r="B328" s="104"/>
      <c r="C328" s="104"/>
      <c r="D328" s="103">
        <f>IF(OR(B328="",C328=""),"",IF(DATEDIF(C328,B328,"y")&gt;=1,DATEDIF(C328,B328,"y")&amp;IF(DATEDIF(C328,B328,"y")=1," year "," years ")&amp;DATEDIF(C328,B328,"ym")&amp;IF(DATEDIF(C328,B328,"ym")=1," month"," months"),IF(DATEDIF(C328,B328,"m")&gt;=1,DATEDIF(C328,B328,"m")&amp;IF(DATEDIF(C328,B328,"m")=1," month"," months"),DATEDIF(C328,B328,"d")&amp;IF(DATEDIF(C328,B328,"d")=1," day"," days"))))</f>
      </c>
      <c r="E328" s="103"/>
      <c r="F328" s="103"/>
      <c r="G328" s="103"/>
      <c r="H328" s="103"/>
      <c r="I328" s="103"/>
      <c r="J328" s="104"/>
      <c r="K328" s="103"/>
      <c r="L328" s="103"/>
      <c r="M328" s="105" t="str">
        <f>IFERROR(VLOOKUP(G328,Reference!$I$2:$J$175,2,FALSE()),"Operations")</f>
        <v>Operations</v>
      </c>
    </row>
    <row r="329" spans="1:13" ht="15" customHeight="1" x14ac:dyDescent="0.25">
      <c r="A329" s="100"/>
      <c r="B329" s="101"/>
      <c r="C329" s="101"/>
      <c r="D329" s="100">
        <f>IF(OR(B329="",C329=""),"",IF(DATEDIF(C329,B329,"y")&gt;=1,DATEDIF(C329,B329,"y")&amp;IF(DATEDIF(C329,B329,"y")=1," year "," years ")&amp;DATEDIF(C329,B329,"ym")&amp;IF(DATEDIF(C329,B329,"ym")=1," month"," months"),IF(DATEDIF(C329,B329,"m")&gt;=1,DATEDIF(C329,B329,"m")&amp;IF(DATEDIF(C329,B329,"m")=1," month"," months"),DATEDIF(C329,B329,"d")&amp;IF(DATEDIF(C329,B329,"d")=1," day"," days"))))</f>
      </c>
      <c r="E329" s="100"/>
      <c r="F329" s="100"/>
      <c r="G329" s="100"/>
      <c r="H329" s="100"/>
      <c r="I329" s="100"/>
      <c r="J329" s="101"/>
      <c r="K329" s="100"/>
      <c r="L329" s="100"/>
      <c r="M329" s="102" t="str">
        <f>IFERROR(VLOOKUP(G329,Reference!$I$2:$J$175,2,FALSE()),"Operations")</f>
        <v>Operations</v>
      </c>
    </row>
    <row r="330" spans="1:13" ht="15" customHeight="1" x14ac:dyDescent="0.25">
      <c r="A330" s="103"/>
      <c r="B330" s="104"/>
      <c r="C330" s="104"/>
      <c r="D330" s="103">
        <f>IF(OR(B330="",C330=""),"",IF(DATEDIF(C330,B330,"y")&gt;=1,DATEDIF(C330,B330,"y")&amp;IF(DATEDIF(C330,B330,"y")=1," year "," years ")&amp;DATEDIF(C330,B330,"ym")&amp;IF(DATEDIF(C330,B330,"ym")=1," month"," months"),IF(DATEDIF(C330,B330,"m")&gt;=1,DATEDIF(C330,B330,"m")&amp;IF(DATEDIF(C330,B330,"m")=1," month"," months"),DATEDIF(C330,B330,"d")&amp;IF(DATEDIF(C330,B330,"d")=1," day"," days"))))</f>
      </c>
      <c r="E330" s="103"/>
      <c r="F330" s="103"/>
      <c r="G330" s="103"/>
      <c r="H330" s="103"/>
      <c r="I330" s="103"/>
      <c r="J330" s="104"/>
      <c r="K330" s="103"/>
      <c r="L330" s="103"/>
      <c r="M330" s="105" t="str">
        <f>IFERROR(VLOOKUP(G330,Reference!$I$2:$J$175,2,FALSE()),"Operations")</f>
        <v>Operations</v>
      </c>
    </row>
    <row r="331" spans="1:13" ht="15" customHeight="1" x14ac:dyDescent="0.25">
      <c r="A331" s="100"/>
      <c r="B331" s="101"/>
      <c r="C331" s="101"/>
      <c r="D331" s="100">
        <f>IF(OR(B331="",C331=""),"",IF(DATEDIF(C331,B331,"y")&gt;=1,DATEDIF(C331,B331,"y")&amp;IF(DATEDIF(C331,B331,"y")=1," year "," years ")&amp;DATEDIF(C331,B331,"ym")&amp;IF(DATEDIF(C331,B331,"ym")=1," month"," months"),IF(DATEDIF(C331,B331,"m")&gt;=1,DATEDIF(C331,B331,"m")&amp;IF(DATEDIF(C331,B331,"m")=1," month"," months"),DATEDIF(C331,B331,"d")&amp;IF(DATEDIF(C331,B331,"d")=1," day"," days"))))</f>
      </c>
      <c r="E331" s="100"/>
      <c r="F331" s="100"/>
      <c r="G331" s="100"/>
      <c r="H331" s="100"/>
      <c r="I331" s="100"/>
      <c r="J331" s="101"/>
      <c r="K331" s="100"/>
      <c r="L331" s="100"/>
      <c r="M331" s="102" t="str">
        <f>IFERROR(VLOOKUP(G331,Reference!$I$2:$J$175,2,FALSE()),"Operations")</f>
        <v>Operations</v>
      </c>
    </row>
    <row r="332" spans="1:13" ht="15" customHeight="1" x14ac:dyDescent="0.25">
      <c r="A332" s="103"/>
      <c r="B332" s="104"/>
      <c r="C332" s="104"/>
      <c r="D332" s="103">
        <f>IF(OR(B332="",C332=""),"",IF(DATEDIF(C332,B332,"y")&gt;=1,DATEDIF(C332,B332,"y")&amp;IF(DATEDIF(C332,B332,"y")=1," year "," years ")&amp;DATEDIF(C332,B332,"ym")&amp;IF(DATEDIF(C332,B332,"ym")=1," month"," months"),IF(DATEDIF(C332,B332,"m")&gt;=1,DATEDIF(C332,B332,"m")&amp;IF(DATEDIF(C332,B332,"m")=1," month"," months"),DATEDIF(C332,B332,"d")&amp;IF(DATEDIF(C332,B332,"d")=1," day"," days"))))</f>
      </c>
      <c r="E332" s="103"/>
      <c r="F332" s="103"/>
      <c r="G332" s="103"/>
      <c r="H332" s="103"/>
      <c r="I332" s="103"/>
      <c r="J332" s="104"/>
      <c r="K332" s="103"/>
      <c r="L332" s="103"/>
      <c r="M332" s="105" t="str">
        <f>IFERROR(VLOOKUP(G332,Reference!$I$2:$J$175,2,FALSE()),"Operations")</f>
        <v>Operations</v>
      </c>
    </row>
    <row r="333" spans="1:13" ht="15" customHeight="1" x14ac:dyDescent="0.25">
      <c r="A333" s="100"/>
      <c r="B333" s="101"/>
      <c r="C333" s="101"/>
      <c r="D333" s="100">
        <f>IF(OR(B333="",C333=""),"",IF(DATEDIF(C333,B333,"y")&gt;=1,DATEDIF(C333,B333,"y")&amp;IF(DATEDIF(C333,B333,"y")=1," year "," years ")&amp;DATEDIF(C333,B333,"ym")&amp;IF(DATEDIF(C333,B333,"ym")=1," month"," months"),IF(DATEDIF(C333,B333,"m")&gt;=1,DATEDIF(C333,B333,"m")&amp;IF(DATEDIF(C333,B333,"m")=1," month"," months"),DATEDIF(C333,B333,"d")&amp;IF(DATEDIF(C333,B333,"d")=1," day"," days"))))</f>
      </c>
      <c r="E333" s="100"/>
      <c r="F333" s="100"/>
      <c r="G333" s="100"/>
      <c r="H333" s="100"/>
      <c r="I333" s="100"/>
      <c r="J333" s="101"/>
      <c r="K333" s="100"/>
      <c r="L333" s="100"/>
      <c r="M333" s="102" t="str">
        <f>IFERROR(VLOOKUP(G333,Reference!$I$2:$J$175,2,FALSE()),"Operations")</f>
        <v>Operations</v>
      </c>
    </row>
    <row r="334" spans="1:13" ht="15" customHeight="1" x14ac:dyDescent="0.25">
      <c r="A334" s="103"/>
      <c r="B334" s="104"/>
      <c r="C334" s="104"/>
      <c r="D334" s="103">
        <f>IF(OR(B334="",C334=""),"",IF(DATEDIF(C334,B334,"y")&gt;=1,DATEDIF(C334,B334,"y")&amp;IF(DATEDIF(C334,B334,"y")=1," year "," years ")&amp;DATEDIF(C334,B334,"ym")&amp;IF(DATEDIF(C334,B334,"ym")=1," month"," months"),IF(DATEDIF(C334,B334,"m")&gt;=1,DATEDIF(C334,B334,"m")&amp;IF(DATEDIF(C334,B334,"m")=1," month"," months"),DATEDIF(C334,B334,"d")&amp;IF(DATEDIF(C334,B334,"d")=1," day"," days"))))</f>
      </c>
      <c r="E334" s="103"/>
      <c r="F334" s="103"/>
      <c r="G334" s="103"/>
      <c r="H334" s="103"/>
      <c r="I334" s="103"/>
      <c r="J334" s="104"/>
      <c r="K334" s="103"/>
      <c r="L334" s="103"/>
      <c r="M334" s="105" t="str">
        <f>IFERROR(VLOOKUP(G334,Reference!$I$2:$J$175,2,FALSE()),"Operations")</f>
        <v>Operations</v>
      </c>
    </row>
    <row r="335" spans="1:13" ht="15" customHeight="1" x14ac:dyDescent="0.25">
      <c r="A335" s="100"/>
      <c r="B335" s="101"/>
      <c r="C335" s="101"/>
      <c r="D335" s="100">
        <f>IF(OR(B335="",C335=""),"",IF(DATEDIF(C335,B335,"y")&gt;=1,DATEDIF(C335,B335,"y")&amp;IF(DATEDIF(C335,B335,"y")=1," year "," years ")&amp;DATEDIF(C335,B335,"ym")&amp;IF(DATEDIF(C335,B335,"ym")=1," month"," months"),IF(DATEDIF(C335,B335,"m")&gt;=1,DATEDIF(C335,B335,"m")&amp;IF(DATEDIF(C335,B335,"m")=1," month"," months"),DATEDIF(C335,B335,"d")&amp;IF(DATEDIF(C335,B335,"d")=1," day"," days"))))</f>
      </c>
      <c r="E335" s="100"/>
      <c r="F335" s="100"/>
      <c r="G335" s="100"/>
      <c r="H335" s="100"/>
      <c r="I335" s="100"/>
      <c r="J335" s="101"/>
      <c r="K335" s="100"/>
      <c r="L335" s="100"/>
      <c r="M335" s="102" t="str">
        <f>IFERROR(VLOOKUP(G335,Reference!$I$2:$J$175,2,FALSE()),"Operations")</f>
        <v>Operations</v>
      </c>
    </row>
    <row r="336" spans="1:13" ht="15" customHeight="1" x14ac:dyDescent="0.25">
      <c r="A336" s="103"/>
      <c r="B336" s="104"/>
      <c r="C336" s="104"/>
      <c r="D336" s="103">
        <f>IF(OR(B336="",C336=""),"",IF(DATEDIF(C336,B336,"y")&gt;=1,DATEDIF(C336,B336,"y")&amp;IF(DATEDIF(C336,B336,"y")=1," year "," years ")&amp;DATEDIF(C336,B336,"ym")&amp;IF(DATEDIF(C336,B336,"ym")=1," month"," months"),IF(DATEDIF(C336,B336,"m")&gt;=1,DATEDIF(C336,B336,"m")&amp;IF(DATEDIF(C336,B336,"m")=1," month"," months"),DATEDIF(C336,B336,"d")&amp;IF(DATEDIF(C336,B336,"d")=1," day"," days"))))</f>
      </c>
      <c r="E336" s="103"/>
      <c r="F336" s="103"/>
      <c r="G336" s="103"/>
      <c r="H336" s="103"/>
      <c r="I336" s="103"/>
      <c r="J336" s="104"/>
      <c r="K336" s="103"/>
      <c r="L336" s="103"/>
      <c r="M336" s="105" t="str">
        <f>IFERROR(VLOOKUP(G336,Reference!$I$2:$J$175,2,FALSE()),"Operations")</f>
        <v>Operations</v>
      </c>
    </row>
    <row r="337" spans="1:13" ht="15" customHeight="1" x14ac:dyDescent="0.25">
      <c r="A337" s="100"/>
      <c r="B337" s="101"/>
      <c r="C337" s="101"/>
      <c r="D337" s="100">
        <f>IF(OR(B337="",C337=""),"",IF(DATEDIF(C337,B337,"y")&gt;=1,DATEDIF(C337,B337,"y")&amp;IF(DATEDIF(C337,B337,"y")=1," year "," years ")&amp;DATEDIF(C337,B337,"ym")&amp;IF(DATEDIF(C337,B337,"ym")=1," month"," months"),IF(DATEDIF(C337,B337,"m")&gt;=1,DATEDIF(C337,B337,"m")&amp;IF(DATEDIF(C337,B337,"m")=1," month"," months"),DATEDIF(C337,B337,"d")&amp;IF(DATEDIF(C337,B337,"d")=1," day"," days"))))</f>
      </c>
      <c r="E337" s="100"/>
      <c r="F337" s="100"/>
      <c r="G337" s="100"/>
      <c r="H337" s="100"/>
      <c r="I337" s="100"/>
      <c r="J337" s="101"/>
      <c r="K337" s="100"/>
      <c r="L337" s="100"/>
      <c r="M337" s="102" t="str">
        <f>IFERROR(VLOOKUP(G337,Reference!$I$2:$J$175,2,FALSE()),"Operations")</f>
        <v>Operations</v>
      </c>
    </row>
    <row r="338" spans="1:13" ht="15" customHeight="1" x14ac:dyDescent="0.25">
      <c r="A338" s="103"/>
      <c r="B338" s="104"/>
      <c r="C338" s="104"/>
      <c r="D338" s="103">
        <f>IF(OR(B338="",C338=""),"",IF(DATEDIF(C338,B338,"y")&gt;=1,DATEDIF(C338,B338,"y")&amp;IF(DATEDIF(C338,B338,"y")=1," year "," years ")&amp;DATEDIF(C338,B338,"ym")&amp;IF(DATEDIF(C338,B338,"ym")=1," month"," months"),IF(DATEDIF(C338,B338,"m")&gt;=1,DATEDIF(C338,B338,"m")&amp;IF(DATEDIF(C338,B338,"m")=1," month"," months"),DATEDIF(C338,B338,"d")&amp;IF(DATEDIF(C338,B338,"d")=1," day"," days"))))</f>
      </c>
      <c r="E338" s="103"/>
      <c r="F338" s="103"/>
      <c r="G338" s="103"/>
      <c r="H338" s="103"/>
      <c r="I338" s="103"/>
      <c r="J338" s="104"/>
      <c r="K338" s="103"/>
      <c r="L338" s="103"/>
      <c r="M338" s="105" t="str">
        <f>IFERROR(VLOOKUP(G338,Reference!$I$2:$J$175,2,FALSE()),"Operations")</f>
        <v>Operations</v>
      </c>
    </row>
    <row r="339" spans="1:13" ht="15" customHeight="1" x14ac:dyDescent="0.25">
      <c r="A339" s="100"/>
      <c r="B339" s="101"/>
      <c r="C339" s="101"/>
      <c r="D339" s="100">
        <f>IF(OR(B339="",C339=""),"",IF(DATEDIF(C339,B339,"y")&gt;=1,DATEDIF(C339,B339,"y")&amp;IF(DATEDIF(C339,B339,"y")=1," year "," years ")&amp;DATEDIF(C339,B339,"ym")&amp;IF(DATEDIF(C339,B339,"ym")=1," month"," months"),IF(DATEDIF(C339,B339,"m")&gt;=1,DATEDIF(C339,B339,"m")&amp;IF(DATEDIF(C339,B339,"m")=1," month"," months"),DATEDIF(C339,B339,"d")&amp;IF(DATEDIF(C339,B339,"d")=1," day"," days"))))</f>
      </c>
      <c r="E339" s="100"/>
      <c r="F339" s="100"/>
      <c r="G339" s="100"/>
      <c r="H339" s="100"/>
      <c r="I339" s="100"/>
      <c r="J339" s="101"/>
      <c r="K339" s="100"/>
      <c r="L339" s="100"/>
      <c r="M339" s="102" t="str">
        <f>IFERROR(VLOOKUP(G339,Reference!$I$2:$J$175,2,FALSE()),"Operations")</f>
        <v>Operations</v>
      </c>
    </row>
    <row r="340" spans="1:13" ht="15" customHeight="1" x14ac:dyDescent="0.25">
      <c r="A340" s="103"/>
      <c r="B340" s="104"/>
      <c r="C340" s="104"/>
      <c r="D340" s="103">
        <f>IF(OR(B340="",C340=""),"",IF(DATEDIF(C340,B340,"y")&gt;=1,DATEDIF(C340,B340,"y")&amp;IF(DATEDIF(C340,B340,"y")=1," year "," years ")&amp;DATEDIF(C340,B340,"ym")&amp;IF(DATEDIF(C340,B340,"ym")=1," month"," months"),IF(DATEDIF(C340,B340,"m")&gt;=1,DATEDIF(C340,B340,"m")&amp;IF(DATEDIF(C340,B340,"m")=1," month"," months"),DATEDIF(C340,B340,"d")&amp;IF(DATEDIF(C340,B340,"d")=1," day"," days"))))</f>
      </c>
      <c r="E340" s="103"/>
      <c r="F340" s="103"/>
      <c r="G340" s="103"/>
      <c r="H340" s="103"/>
      <c r="I340" s="103"/>
      <c r="J340" s="104"/>
      <c r="K340" s="103"/>
      <c r="L340" s="103"/>
      <c r="M340" s="105" t="str">
        <f>IFERROR(VLOOKUP(G340,Reference!$I$2:$J$175,2,FALSE()),"Operations")</f>
        <v>Operations</v>
      </c>
    </row>
    <row r="341" spans="1:13" ht="15" customHeight="1" x14ac:dyDescent="0.25">
      <c r="A341" s="100"/>
      <c r="B341" s="101"/>
      <c r="C341" s="101"/>
      <c r="D341" s="100">
        <f>IF(OR(B341="",C341=""),"",IF(DATEDIF(C341,B341,"y")&gt;=1,DATEDIF(C341,B341,"y")&amp;IF(DATEDIF(C341,B341,"y")=1," year "," years ")&amp;DATEDIF(C341,B341,"ym")&amp;IF(DATEDIF(C341,B341,"ym")=1," month"," months"),IF(DATEDIF(C341,B341,"m")&gt;=1,DATEDIF(C341,B341,"m")&amp;IF(DATEDIF(C341,B341,"m")=1," month"," months"),DATEDIF(C341,B341,"d")&amp;IF(DATEDIF(C341,B341,"d")=1," day"," days"))))</f>
      </c>
      <c r="E341" s="100"/>
      <c r="F341" s="100"/>
      <c r="G341" s="100"/>
      <c r="H341" s="100"/>
      <c r="I341" s="100"/>
      <c r="J341" s="101"/>
      <c r="K341" s="100"/>
      <c r="L341" s="100"/>
      <c r="M341" s="102" t="str">
        <f>IFERROR(VLOOKUP(G341,Reference!$I$2:$J$175,2,FALSE()),"Operations")</f>
        <v>Operations</v>
      </c>
    </row>
    <row r="342" spans="1:13" ht="15" customHeight="1" x14ac:dyDescent="0.25">
      <c r="A342" s="103"/>
      <c r="B342" s="104"/>
      <c r="C342" s="104"/>
      <c r="D342" s="103">
        <f>IF(OR(B342="",C342=""),"",IF(DATEDIF(C342,B342,"y")&gt;=1,DATEDIF(C342,B342,"y")&amp;IF(DATEDIF(C342,B342,"y")=1," year "," years ")&amp;DATEDIF(C342,B342,"ym")&amp;IF(DATEDIF(C342,B342,"ym")=1," month"," months"),IF(DATEDIF(C342,B342,"m")&gt;=1,DATEDIF(C342,B342,"m")&amp;IF(DATEDIF(C342,B342,"m")=1," month"," months"),DATEDIF(C342,B342,"d")&amp;IF(DATEDIF(C342,B342,"d")=1," day"," days"))))</f>
      </c>
      <c r="E342" s="103"/>
      <c r="F342" s="103"/>
      <c r="G342" s="103"/>
      <c r="H342" s="103"/>
      <c r="I342" s="103"/>
      <c r="J342" s="104"/>
      <c r="K342" s="103"/>
      <c r="L342" s="103"/>
      <c r="M342" s="105" t="str">
        <f>IFERROR(VLOOKUP(G342,Reference!$I$2:$J$175,2,FALSE()),"Operations")</f>
        <v>Operations</v>
      </c>
    </row>
    <row r="343" spans="1:13" ht="15" customHeight="1" x14ac:dyDescent="0.25">
      <c r="A343" s="100"/>
      <c r="B343" s="101"/>
      <c r="C343" s="101"/>
      <c r="D343" s="100">
        <f>IF(OR(B343="",C343=""),"",IF(DATEDIF(C343,B343,"y")&gt;=1,DATEDIF(C343,B343,"y")&amp;IF(DATEDIF(C343,B343,"y")=1," year "," years ")&amp;DATEDIF(C343,B343,"ym")&amp;IF(DATEDIF(C343,B343,"ym")=1," month"," months"),IF(DATEDIF(C343,B343,"m")&gt;=1,DATEDIF(C343,B343,"m")&amp;IF(DATEDIF(C343,B343,"m")=1," month"," months"),DATEDIF(C343,B343,"d")&amp;IF(DATEDIF(C343,B343,"d")=1," day"," days"))))</f>
      </c>
      <c r="E343" s="100"/>
      <c r="F343" s="100"/>
      <c r="G343" s="100"/>
      <c r="H343" s="100"/>
      <c r="I343" s="100"/>
      <c r="J343" s="101"/>
      <c r="K343" s="100"/>
      <c r="L343" s="100"/>
      <c r="M343" s="102" t="str">
        <f>IFERROR(VLOOKUP(G343,Reference!$I$2:$J$175,2,FALSE()),"Operations")</f>
        <v>Operations</v>
      </c>
    </row>
    <row r="344" spans="1:13" ht="15" customHeight="1" x14ac:dyDescent="0.25">
      <c r="A344" s="103"/>
      <c r="B344" s="104"/>
      <c r="C344" s="104"/>
      <c r="D344" s="103">
        <f>IF(OR(B344="",C344=""),"",IF(DATEDIF(C344,B344,"y")&gt;=1,DATEDIF(C344,B344,"y")&amp;IF(DATEDIF(C344,B344,"y")=1," year "," years ")&amp;DATEDIF(C344,B344,"ym")&amp;IF(DATEDIF(C344,B344,"ym")=1," month"," months"),IF(DATEDIF(C344,B344,"m")&gt;=1,DATEDIF(C344,B344,"m")&amp;IF(DATEDIF(C344,B344,"m")=1," month"," months"),DATEDIF(C344,B344,"d")&amp;IF(DATEDIF(C344,B344,"d")=1," day"," days"))))</f>
      </c>
      <c r="E344" s="103"/>
      <c r="F344" s="103"/>
      <c r="G344" s="103"/>
      <c r="H344" s="103"/>
      <c r="I344" s="103"/>
      <c r="J344" s="104"/>
      <c r="K344" s="103"/>
      <c r="L344" s="103"/>
      <c r="M344" s="105" t="str">
        <f>IFERROR(VLOOKUP(G344,Reference!$I$2:$J$175,2,FALSE()),"Operations")</f>
        <v>Operations</v>
      </c>
    </row>
    <row r="345" spans="1:13" ht="15" customHeight="1" x14ac:dyDescent="0.25">
      <c r="A345" s="106" t="s">
        <v>163</v>
      </c>
      <c r="B345" s="107">
        <f>COUNTA(A315:A344)</f>
        <v>7</v>
      </c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</row>
    <row r="346" spans="1:13" ht="6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</row>
    <row r="347" spans="1:13" ht="21.75" customHeight="1" x14ac:dyDescent="0.25">
      <c r="A347" s="163" t="s">
        <v>847</v>
      </c>
      <c r="B347" s="163"/>
      <c r="C347" s="163"/>
      <c r="D347" s="163"/>
      <c r="E347" s="163"/>
      <c r="F347" s="163"/>
      <c r="G347" s="163"/>
      <c r="H347" s="163"/>
      <c r="I347" s="163"/>
      <c r="J347" s="163"/>
      <c r="K347" s="163"/>
      <c r="L347" s="163"/>
      <c r="M347" s="163"/>
    </row>
    <row r="348" spans="1:13" ht="19.5" customHeight="1" x14ac:dyDescent="0.25">
      <c r="A348" s="64" t="s">
        <v>151</v>
      </c>
      <c r="B348" s="64" t="s">
        <v>152</v>
      </c>
      <c r="C348" s="64" t="s">
        <v>153</v>
      </c>
      <c r="D348" s="64" t="s">
        <v>154</v>
      </c>
      <c r="E348" s="64" t="s">
        <v>155</v>
      </c>
      <c r="F348" s="64" t="s">
        <v>156</v>
      </c>
      <c r="G348" s="64" t="s">
        <v>157</v>
      </c>
      <c r="H348" s="64" t="s">
        <v>158</v>
      </c>
      <c r="I348" s="64" t="s">
        <v>159</v>
      </c>
      <c r="J348" s="64" t="s">
        <v>160</v>
      </c>
      <c r="K348" s="64" t="s">
        <v>134</v>
      </c>
      <c r="L348" s="64" t="s">
        <v>161</v>
      </c>
      <c r="M348" s="64" t="s">
        <v>162</v>
      </c>
    </row>
    <row r="349" spans="1:13" ht="15" customHeight="1" x14ac:dyDescent="0.25">
      <c r="A349" s="77" t="s">
        <v>848</v>
      </c>
      <c r="B349" s="111">
        <v>45601</v>
      </c>
      <c r="C349" s="77"/>
      <c r="D349" s="77" t="s">
        <v>373</v>
      </c>
      <c r="E349" s="77" t="s">
        <v>179</v>
      </c>
      <c r="F349" s="77" t="s">
        <v>191</v>
      </c>
      <c r="G349" s="77" t="s">
        <v>307</v>
      </c>
      <c r="H349" s="77" t="s">
        <v>58</v>
      </c>
      <c r="I349" s="77" t="s">
        <v>220</v>
      </c>
      <c r="J349" s="77"/>
      <c r="K349" s="77" t="s">
        <v>66</v>
      </c>
      <c r="L349" s="77"/>
      <c r="M349" s="102" t="str">
        <f>IFERROR(VLOOKUP(G349,Reference!$I$2:$J$175,2,FALSE()),"Operations")</f>
        <v>Operations</v>
      </c>
    </row>
    <row r="350" spans="1:13" ht="15" customHeight="1" x14ac:dyDescent="0.25">
      <c r="A350" s="80" t="s">
        <v>657</v>
      </c>
      <c r="B350" s="112">
        <v>45608</v>
      </c>
      <c r="C350" s="80"/>
      <c r="D350" s="80" t="s">
        <v>665</v>
      </c>
      <c r="E350" s="80" t="s">
        <v>184</v>
      </c>
      <c r="F350" s="80" t="s">
        <v>191</v>
      </c>
      <c r="G350" s="80" t="s">
        <v>426</v>
      </c>
      <c r="H350" s="80" t="s">
        <v>58</v>
      </c>
      <c r="I350" s="80" t="s">
        <v>377</v>
      </c>
      <c r="J350" s="80"/>
      <c r="K350" s="80" t="s">
        <v>71</v>
      </c>
      <c r="L350" s="80"/>
      <c r="M350" s="105" t="str">
        <f>IFERROR(VLOOKUP(G350,Reference!$I$2:$J$175,2,FALSE()),"Operations")</f>
        <v>Operations</v>
      </c>
    </row>
    <row r="351" spans="1:13" ht="15" customHeight="1" x14ac:dyDescent="0.25">
      <c r="A351" s="77" t="s">
        <v>849</v>
      </c>
      <c r="B351" s="111">
        <v>45609</v>
      </c>
      <c r="C351" s="77"/>
      <c r="D351" s="77" t="s">
        <v>298</v>
      </c>
      <c r="E351" s="77" t="s">
        <v>179</v>
      </c>
      <c r="F351" s="77" t="s">
        <v>191</v>
      </c>
      <c r="G351" s="77" t="s">
        <v>850</v>
      </c>
      <c r="H351" s="77" t="s">
        <v>58</v>
      </c>
      <c r="I351" s="77" t="s">
        <v>182</v>
      </c>
      <c r="J351" s="77"/>
      <c r="K351" s="77" t="s">
        <v>68</v>
      </c>
      <c r="L351" s="77"/>
      <c r="M351" s="102" t="str">
        <f>IFERROR(VLOOKUP(G351,Reference!$I$2:$J$175,2,FALSE()),"Operations")</f>
        <v>Operations</v>
      </c>
    </row>
    <row r="352" spans="1:13" ht="15" customHeight="1" x14ac:dyDescent="0.25">
      <c r="A352" s="80" t="s">
        <v>851</v>
      </c>
      <c r="B352" s="112">
        <v>45612</v>
      </c>
      <c r="C352" s="80"/>
      <c r="D352" s="80" t="s">
        <v>852</v>
      </c>
      <c r="E352" s="80" t="s">
        <v>179</v>
      </c>
      <c r="F352" s="80" t="s">
        <v>180</v>
      </c>
      <c r="G352" s="80" t="s">
        <v>327</v>
      </c>
      <c r="H352" s="80" t="s">
        <v>70</v>
      </c>
      <c r="I352" s="80" t="s">
        <v>328</v>
      </c>
      <c r="J352" s="80"/>
      <c r="K352" s="80" t="s">
        <v>66</v>
      </c>
      <c r="L352" s="80"/>
      <c r="M352" s="105" t="str">
        <f>IFERROR(VLOOKUP(G352,Reference!$I$2:$J$175,2,FALSE()),"Operations")</f>
        <v>Operations</v>
      </c>
    </row>
    <row r="353" spans="1:13" ht="15" customHeight="1" x14ac:dyDescent="0.25">
      <c r="A353" s="77" t="s">
        <v>853</v>
      </c>
      <c r="B353" s="111">
        <v>45612</v>
      </c>
      <c r="C353" s="77"/>
      <c r="D353" s="77" t="s">
        <v>358</v>
      </c>
      <c r="E353" s="77" t="s">
        <v>179</v>
      </c>
      <c r="F353" s="77" t="s">
        <v>191</v>
      </c>
      <c r="G353" s="77" t="s">
        <v>854</v>
      </c>
      <c r="H353" s="77" t="s">
        <v>58</v>
      </c>
      <c r="I353" s="77" t="s">
        <v>855</v>
      </c>
      <c r="J353" s="77"/>
      <c r="K353" s="77" t="s">
        <v>66</v>
      </c>
      <c r="L353" s="77"/>
      <c r="M353" s="102" t="str">
        <f>IFERROR(VLOOKUP(G353,Reference!$I$2:$J$175,2,FALSE()),"Operations")</f>
        <v>Operations</v>
      </c>
    </row>
    <row r="354" spans="1:13" ht="15" customHeight="1" x14ac:dyDescent="0.25">
      <c r="A354" s="80" t="s">
        <v>856</v>
      </c>
      <c r="B354" s="112">
        <v>45614</v>
      </c>
      <c r="C354" s="80"/>
      <c r="D354" s="80" t="s">
        <v>313</v>
      </c>
      <c r="E354" s="80" t="s">
        <v>179</v>
      </c>
      <c r="F354" s="80" t="s">
        <v>191</v>
      </c>
      <c r="G354" s="80" t="s">
        <v>310</v>
      </c>
      <c r="H354" s="80" t="s">
        <v>69</v>
      </c>
      <c r="I354" s="80" t="s">
        <v>311</v>
      </c>
      <c r="J354" s="80"/>
      <c r="K354" s="80" t="s">
        <v>66</v>
      </c>
      <c r="L354" s="80"/>
      <c r="M354" s="105" t="str">
        <f>IFERROR(VLOOKUP(G354,Reference!$I$2:$J$175,2,FALSE()),"Operations")</f>
        <v>Operations</v>
      </c>
    </row>
    <row r="355" spans="1:13" ht="15" customHeight="1" x14ac:dyDescent="0.25">
      <c r="A355" s="77" t="s">
        <v>857</v>
      </c>
      <c r="B355" s="111">
        <v>45617</v>
      </c>
      <c r="C355" s="77"/>
      <c r="D355" s="77" t="s">
        <v>373</v>
      </c>
      <c r="E355" s="77" t="s">
        <v>179</v>
      </c>
      <c r="F355" s="77" t="s">
        <v>191</v>
      </c>
      <c r="G355" s="77" t="s">
        <v>285</v>
      </c>
      <c r="H355" s="77" t="s">
        <v>58</v>
      </c>
      <c r="I355" s="77" t="s">
        <v>286</v>
      </c>
      <c r="J355" s="77"/>
      <c r="K355" s="77" t="s">
        <v>81</v>
      </c>
      <c r="L355" s="77"/>
      <c r="M355" s="102" t="str">
        <f>IFERROR(VLOOKUP(G355,Reference!$I$2:$J$175,2,FALSE()),"Operations")</f>
        <v>Children Services</v>
      </c>
    </row>
    <row r="356" spans="1:13" ht="15" customHeight="1" x14ac:dyDescent="0.25">
      <c r="A356" s="80" t="s">
        <v>858</v>
      </c>
      <c r="B356" s="112">
        <v>45618</v>
      </c>
      <c r="C356" s="80"/>
      <c r="D356" s="80" t="s">
        <v>859</v>
      </c>
      <c r="E356" s="80" t="s">
        <v>184</v>
      </c>
      <c r="F356" s="80" t="s">
        <v>191</v>
      </c>
      <c r="G356" s="80" t="s">
        <v>76</v>
      </c>
      <c r="H356" s="80" t="s">
        <v>62</v>
      </c>
      <c r="I356" s="80" t="s">
        <v>439</v>
      </c>
      <c r="J356" s="80"/>
      <c r="K356" s="80" t="s">
        <v>76</v>
      </c>
      <c r="L356" s="80"/>
      <c r="M356" s="105" t="str">
        <f>IFERROR(VLOOKUP(G356,Reference!$I$2:$J$175,2,FALSE()),"Operations")</f>
        <v>Children Services</v>
      </c>
    </row>
    <row r="357" spans="1:13" ht="15" customHeight="1" x14ac:dyDescent="0.25">
      <c r="A357" s="77" t="s">
        <v>860</v>
      </c>
      <c r="B357" s="111">
        <v>45619</v>
      </c>
      <c r="C357" s="77"/>
      <c r="D357" s="77" t="s">
        <v>298</v>
      </c>
      <c r="E357" s="77" t="s">
        <v>179</v>
      </c>
      <c r="F357" s="77" t="s">
        <v>191</v>
      </c>
      <c r="G357" s="77" t="s">
        <v>310</v>
      </c>
      <c r="H357" s="77" t="s">
        <v>56</v>
      </c>
      <c r="I357" s="77" t="s">
        <v>197</v>
      </c>
      <c r="J357" s="77"/>
      <c r="K357" s="77" t="s">
        <v>66</v>
      </c>
      <c r="L357" s="77"/>
      <c r="M357" s="102" t="str">
        <f>IFERROR(VLOOKUP(G357,Reference!$I$2:$J$175,2,FALSE()),"Operations")</f>
        <v>Operations</v>
      </c>
    </row>
    <row r="358" spans="1:13" ht="15" customHeight="1" x14ac:dyDescent="0.25">
      <c r="A358" s="80" t="s">
        <v>861</v>
      </c>
      <c r="B358" s="112">
        <v>45622</v>
      </c>
      <c r="C358" s="80"/>
      <c r="D358" s="80" t="s">
        <v>862</v>
      </c>
      <c r="E358" s="80" t="s">
        <v>179</v>
      </c>
      <c r="F358" s="80" t="s">
        <v>191</v>
      </c>
      <c r="G358" s="80" t="s">
        <v>863</v>
      </c>
      <c r="H358" s="80" t="s">
        <v>58</v>
      </c>
      <c r="I358" s="80" t="s">
        <v>864</v>
      </c>
      <c r="J358" s="80"/>
      <c r="K358" s="80" t="s">
        <v>68</v>
      </c>
      <c r="L358" s="80"/>
      <c r="M358" s="105" t="str">
        <f>IFERROR(VLOOKUP(G358,Reference!$I$2:$J$175,2,FALSE()),"Operations")</f>
        <v>Operations</v>
      </c>
    </row>
    <row r="359" spans="1:13" ht="15" customHeight="1" x14ac:dyDescent="0.25">
      <c r="A359" s="77" t="s">
        <v>865</v>
      </c>
      <c r="B359" s="111">
        <v>45626</v>
      </c>
      <c r="C359" s="77"/>
      <c r="D359" s="77" t="s">
        <v>342</v>
      </c>
      <c r="E359" s="77" t="s">
        <v>179</v>
      </c>
      <c r="F359" s="77" t="s">
        <v>191</v>
      </c>
      <c r="G359" s="77" t="s">
        <v>299</v>
      </c>
      <c r="H359" s="77" t="s">
        <v>56</v>
      </c>
      <c r="I359" s="77" t="s">
        <v>300</v>
      </c>
      <c r="J359" s="77"/>
      <c r="K359" s="77" t="s">
        <v>66</v>
      </c>
      <c r="L359" s="77"/>
      <c r="M359" s="102" t="str">
        <f>IFERROR(VLOOKUP(G359,Reference!$I$2:$J$175,2,FALSE()),"Operations")</f>
        <v>Operations</v>
      </c>
    </row>
    <row r="360" spans="1:13" ht="15" customHeight="1" x14ac:dyDescent="0.25">
      <c r="A360" s="80" t="s">
        <v>866</v>
      </c>
      <c r="B360" s="112">
        <v>45626</v>
      </c>
      <c r="C360" s="80"/>
      <c r="D360" s="80" t="s">
        <v>867</v>
      </c>
      <c r="E360" s="80" t="s">
        <v>179</v>
      </c>
      <c r="F360" s="80" t="s">
        <v>191</v>
      </c>
      <c r="G360" s="80" t="s">
        <v>475</v>
      </c>
      <c r="H360" s="80" t="s">
        <v>56</v>
      </c>
      <c r="I360" s="80" t="s">
        <v>868</v>
      </c>
      <c r="J360" s="80"/>
      <c r="K360" s="80" t="s">
        <v>66</v>
      </c>
      <c r="L360" s="80"/>
      <c r="M360" s="105" t="str">
        <f>IFERROR(VLOOKUP(G360,Reference!$I$2:$J$175,2,FALSE()),"Operations")</f>
        <v>Operations</v>
      </c>
    </row>
    <row r="361" spans="1:13" ht="15" customHeight="1" x14ac:dyDescent="0.25">
      <c r="A361" s="77" t="s">
        <v>869</v>
      </c>
      <c r="B361" s="111">
        <v>45626</v>
      </c>
      <c r="C361" s="77"/>
      <c r="D361" s="77" t="s">
        <v>870</v>
      </c>
      <c r="E361" s="77" t="s">
        <v>184</v>
      </c>
      <c r="F361" s="77" t="s">
        <v>180</v>
      </c>
      <c r="G361" s="77" t="s">
        <v>234</v>
      </c>
      <c r="H361" s="77" t="s">
        <v>70</v>
      </c>
      <c r="I361" s="77" t="s">
        <v>871</v>
      </c>
      <c r="J361" s="77"/>
      <c r="K361" s="77" t="s">
        <v>66</v>
      </c>
      <c r="L361" s="77"/>
      <c r="M361" s="102" t="str">
        <f>IFERROR(VLOOKUP(G361,Reference!$I$2:$J$175,2,FALSE()),"Operations")</f>
        <v>Operations</v>
      </c>
    </row>
    <row r="362" spans="1:13" ht="15" customHeight="1" x14ac:dyDescent="0.25">
      <c r="A362" s="80" t="s">
        <v>872</v>
      </c>
      <c r="B362" s="112">
        <v>45626</v>
      </c>
      <c r="C362" s="80"/>
      <c r="D362" s="80" t="s">
        <v>873</v>
      </c>
      <c r="E362" s="80" t="s">
        <v>184</v>
      </c>
      <c r="F362" s="80" t="s">
        <v>180</v>
      </c>
      <c r="G362" s="80" t="s">
        <v>234</v>
      </c>
      <c r="H362" s="80" t="s">
        <v>70</v>
      </c>
      <c r="I362" s="80" t="s">
        <v>871</v>
      </c>
      <c r="J362" s="80"/>
      <c r="K362" s="80" t="s">
        <v>66</v>
      </c>
      <c r="L362" s="80"/>
      <c r="M362" s="105" t="str">
        <f>IFERROR(VLOOKUP(G362,Reference!$I$2:$J$175,2,FALSE()),"Operations")</f>
        <v>Operations</v>
      </c>
    </row>
    <row r="363" spans="1:13" ht="15" customHeight="1" x14ac:dyDescent="0.25">
      <c r="A363" s="100"/>
      <c r="B363" s="101"/>
      <c r="C363" s="101"/>
      <c r="D363" s="100">
        <f>IF(OR(B363="",C363=""),"",IF(DATEDIF(C363,B363,"y")&gt;=1,DATEDIF(C363,B363,"y")&amp;IF(DATEDIF(C363,B363,"y")=1," year "," years ")&amp;DATEDIF(C363,B363,"ym")&amp;IF(DATEDIF(C363,B363,"ym")=1," month"," months"),IF(DATEDIF(C363,B363,"m")&gt;=1,DATEDIF(C363,B363,"m")&amp;IF(DATEDIF(C363,B363,"m")=1," month"," months"),DATEDIF(C363,B363,"d")&amp;IF(DATEDIF(C363,B363,"d")=1," day"," days"))))</f>
      </c>
      <c r="E363" s="100"/>
      <c r="F363" s="100"/>
      <c r="G363" s="100"/>
      <c r="H363" s="100"/>
      <c r="I363" s="100"/>
      <c r="J363" s="101"/>
      <c r="K363" s="100"/>
      <c r="L363" s="100"/>
      <c r="M363" s="102" t="str">
        <f>IFERROR(VLOOKUP(G363,Reference!$I$2:$J$175,2,FALSE()),"Operations")</f>
        <v>Operations</v>
      </c>
    </row>
    <row r="364" spans="1:13" ht="15" customHeight="1" x14ac:dyDescent="0.25">
      <c r="A364" s="103"/>
      <c r="B364" s="104"/>
      <c r="C364" s="104"/>
      <c r="D364" s="103">
        <f>IF(OR(B364="",C364=""),"",IF(DATEDIF(C364,B364,"y")&gt;=1,DATEDIF(C364,B364,"y")&amp;IF(DATEDIF(C364,B364,"y")=1," year "," years ")&amp;DATEDIF(C364,B364,"ym")&amp;IF(DATEDIF(C364,B364,"ym")=1," month"," months"),IF(DATEDIF(C364,B364,"m")&gt;=1,DATEDIF(C364,B364,"m")&amp;IF(DATEDIF(C364,B364,"m")=1," month"," months"),DATEDIF(C364,B364,"d")&amp;IF(DATEDIF(C364,B364,"d")=1," day"," days"))))</f>
      </c>
      <c r="E364" s="103"/>
      <c r="F364" s="103"/>
      <c r="G364" s="103"/>
      <c r="H364" s="103"/>
      <c r="I364" s="103"/>
      <c r="J364" s="104"/>
      <c r="K364" s="103"/>
      <c r="L364" s="103"/>
      <c r="M364" s="105" t="str">
        <f>IFERROR(VLOOKUP(G364,Reference!$I$2:$J$175,2,FALSE()),"Operations")</f>
        <v>Operations</v>
      </c>
    </row>
    <row r="365" spans="1:13" ht="15" customHeight="1" x14ac:dyDescent="0.25">
      <c r="A365" s="100"/>
      <c r="B365" s="101"/>
      <c r="C365" s="101"/>
      <c r="D365" s="100">
        <f>IF(OR(B365="",C365=""),"",IF(DATEDIF(C365,B365,"y")&gt;=1,DATEDIF(C365,B365,"y")&amp;IF(DATEDIF(C365,B365,"y")=1," year "," years ")&amp;DATEDIF(C365,B365,"ym")&amp;IF(DATEDIF(C365,B365,"ym")=1," month"," months"),IF(DATEDIF(C365,B365,"m")&gt;=1,DATEDIF(C365,B365,"m")&amp;IF(DATEDIF(C365,B365,"m")=1," month"," months"),DATEDIF(C365,B365,"d")&amp;IF(DATEDIF(C365,B365,"d")=1," day"," days"))))</f>
      </c>
      <c r="E365" s="100"/>
      <c r="F365" s="100"/>
      <c r="G365" s="100"/>
      <c r="H365" s="100"/>
      <c r="I365" s="100"/>
      <c r="J365" s="101"/>
      <c r="K365" s="100"/>
      <c r="L365" s="100"/>
      <c r="M365" s="102" t="str">
        <f>IFERROR(VLOOKUP(G365,Reference!$I$2:$J$175,2,FALSE()),"Operations")</f>
        <v>Operations</v>
      </c>
    </row>
    <row r="366" spans="1:13" ht="15" customHeight="1" x14ac:dyDescent="0.25">
      <c r="A366" s="103"/>
      <c r="B366" s="104"/>
      <c r="C366" s="104"/>
      <c r="D366" s="103">
        <f>IF(OR(B366="",C366=""),"",IF(DATEDIF(C366,B366,"y")&gt;=1,DATEDIF(C366,B366,"y")&amp;IF(DATEDIF(C366,B366,"y")=1," year "," years ")&amp;DATEDIF(C366,B366,"ym")&amp;IF(DATEDIF(C366,B366,"ym")=1," month"," months"),IF(DATEDIF(C366,B366,"m")&gt;=1,DATEDIF(C366,B366,"m")&amp;IF(DATEDIF(C366,B366,"m")=1," month"," months"),DATEDIF(C366,B366,"d")&amp;IF(DATEDIF(C366,B366,"d")=1," day"," days"))))</f>
      </c>
      <c r="E366" s="103"/>
      <c r="F366" s="103"/>
      <c r="G366" s="103"/>
      <c r="H366" s="103"/>
      <c r="I366" s="103"/>
      <c r="J366" s="104"/>
      <c r="K366" s="103"/>
      <c r="L366" s="103"/>
      <c r="M366" s="105" t="str">
        <f>IFERROR(VLOOKUP(G366,Reference!$I$2:$J$175,2,FALSE()),"Operations")</f>
        <v>Operations</v>
      </c>
    </row>
    <row r="367" spans="1:13" ht="15" customHeight="1" x14ac:dyDescent="0.25">
      <c r="A367" s="100"/>
      <c r="B367" s="101"/>
      <c r="C367" s="101"/>
      <c r="D367" s="100">
        <f>IF(OR(B367="",C367=""),"",IF(DATEDIF(C367,B367,"y")&gt;=1,DATEDIF(C367,B367,"y")&amp;IF(DATEDIF(C367,B367,"y")=1," year "," years ")&amp;DATEDIF(C367,B367,"ym")&amp;IF(DATEDIF(C367,B367,"ym")=1," month"," months"),IF(DATEDIF(C367,B367,"m")&gt;=1,DATEDIF(C367,B367,"m")&amp;IF(DATEDIF(C367,B367,"m")=1," month"," months"),DATEDIF(C367,B367,"d")&amp;IF(DATEDIF(C367,B367,"d")=1," day"," days"))))</f>
      </c>
      <c r="E367" s="100"/>
      <c r="F367" s="100"/>
      <c r="G367" s="100"/>
      <c r="H367" s="100"/>
      <c r="I367" s="100"/>
      <c r="J367" s="101"/>
      <c r="K367" s="100"/>
      <c r="L367" s="100"/>
      <c r="M367" s="102" t="str">
        <f>IFERROR(VLOOKUP(G367,Reference!$I$2:$J$175,2,FALSE()),"Operations")</f>
        <v>Operations</v>
      </c>
    </row>
    <row r="368" spans="1:13" ht="15" customHeight="1" x14ac:dyDescent="0.25">
      <c r="A368" s="103"/>
      <c r="B368" s="104"/>
      <c r="C368" s="104"/>
      <c r="D368" s="103">
        <f>IF(OR(B368="",C368=""),"",IF(DATEDIF(C368,B368,"y")&gt;=1,DATEDIF(C368,B368,"y")&amp;IF(DATEDIF(C368,B368,"y")=1," year "," years ")&amp;DATEDIF(C368,B368,"ym")&amp;IF(DATEDIF(C368,B368,"ym")=1," month"," months"),IF(DATEDIF(C368,B368,"m")&gt;=1,DATEDIF(C368,B368,"m")&amp;IF(DATEDIF(C368,B368,"m")=1," month"," months"),DATEDIF(C368,B368,"d")&amp;IF(DATEDIF(C368,B368,"d")=1," day"," days"))))</f>
      </c>
      <c r="E368" s="103"/>
      <c r="F368" s="103"/>
      <c r="G368" s="103"/>
      <c r="H368" s="103"/>
      <c r="I368" s="103"/>
      <c r="J368" s="104"/>
      <c r="K368" s="103"/>
      <c r="L368" s="103"/>
      <c r="M368" s="105" t="str">
        <f>IFERROR(VLOOKUP(G368,Reference!$I$2:$J$175,2,FALSE()),"Operations")</f>
        <v>Operations</v>
      </c>
    </row>
    <row r="369" spans="1:13" ht="15" customHeight="1" x14ac:dyDescent="0.25">
      <c r="A369" s="100"/>
      <c r="B369" s="101"/>
      <c r="C369" s="101"/>
      <c r="D369" s="100">
        <f>IF(OR(B369="",C369=""),"",IF(DATEDIF(C369,B369,"y")&gt;=1,DATEDIF(C369,B369,"y")&amp;IF(DATEDIF(C369,B369,"y")=1," year "," years ")&amp;DATEDIF(C369,B369,"ym")&amp;IF(DATEDIF(C369,B369,"ym")=1," month"," months"),IF(DATEDIF(C369,B369,"m")&gt;=1,DATEDIF(C369,B369,"m")&amp;IF(DATEDIF(C369,B369,"m")=1," month"," months"),DATEDIF(C369,B369,"d")&amp;IF(DATEDIF(C369,B369,"d")=1," day"," days"))))</f>
      </c>
      <c r="E369" s="100"/>
      <c r="F369" s="100"/>
      <c r="G369" s="100"/>
      <c r="H369" s="100"/>
      <c r="I369" s="100"/>
      <c r="J369" s="101"/>
      <c r="K369" s="100"/>
      <c r="L369" s="100"/>
      <c r="M369" s="102" t="str">
        <f>IFERROR(VLOOKUP(G369,Reference!$I$2:$J$175,2,FALSE()),"Operations")</f>
        <v>Operations</v>
      </c>
    </row>
    <row r="370" spans="1:13" ht="15" customHeight="1" x14ac:dyDescent="0.25">
      <c r="A370" s="103"/>
      <c r="B370" s="104"/>
      <c r="C370" s="104"/>
      <c r="D370" s="103">
        <f>IF(OR(B370="",C370=""),"",IF(DATEDIF(C370,B370,"y")&gt;=1,DATEDIF(C370,B370,"y")&amp;IF(DATEDIF(C370,B370,"y")=1," year "," years ")&amp;DATEDIF(C370,B370,"ym")&amp;IF(DATEDIF(C370,B370,"ym")=1," month"," months"),IF(DATEDIF(C370,B370,"m")&gt;=1,DATEDIF(C370,B370,"m")&amp;IF(DATEDIF(C370,B370,"m")=1," month"," months"),DATEDIF(C370,B370,"d")&amp;IF(DATEDIF(C370,B370,"d")=1," day"," days"))))</f>
      </c>
      <c r="E370" s="103"/>
      <c r="F370" s="103"/>
      <c r="G370" s="103"/>
      <c r="H370" s="103"/>
      <c r="I370" s="103"/>
      <c r="J370" s="104"/>
      <c r="K370" s="103"/>
      <c r="L370" s="103"/>
      <c r="M370" s="105" t="str">
        <f>IFERROR(VLOOKUP(G370,Reference!$I$2:$J$175,2,FALSE()),"Operations")</f>
        <v>Operations</v>
      </c>
    </row>
    <row r="371" spans="1:13" ht="15" customHeight="1" x14ac:dyDescent="0.25">
      <c r="A371" s="100"/>
      <c r="B371" s="101"/>
      <c r="C371" s="101"/>
      <c r="D371" s="100">
        <f>IF(OR(B371="",C371=""),"",IF(DATEDIF(C371,B371,"y")&gt;=1,DATEDIF(C371,B371,"y")&amp;IF(DATEDIF(C371,B371,"y")=1," year "," years ")&amp;DATEDIF(C371,B371,"ym")&amp;IF(DATEDIF(C371,B371,"ym")=1," month"," months"),IF(DATEDIF(C371,B371,"m")&gt;=1,DATEDIF(C371,B371,"m")&amp;IF(DATEDIF(C371,B371,"m")=1," month"," months"),DATEDIF(C371,B371,"d")&amp;IF(DATEDIF(C371,B371,"d")=1," day"," days"))))</f>
      </c>
      <c r="E371" s="100"/>
      <c r="F371" s="100"/>
      <c r="G371" s="100"/>
      <c r="H371" s="100"/>
      <c r="I371" s="100"/>
      <c r="J371" s="101"/>
      <c r="K371" s="100"/>
      <c r="L371" s="100"/>
      <c r="M371" s="102" t="str">
        <f>IFERROR(VLOOKUP(G371,Reference!$I$2:$J$175,2,FALSE()),"Operations")</f>
        <v>Operations</v>
      </c>
    </row>
    <row r="372" spans="1:13" ht="15" customHeight="1" x14ac:dyDescent="0.25">
      <c r="A372" s="103"/>
      <c r="B372" s="104"/>
      <c r="C372" s="104"/>
      <c r="D372" s="103">
        <f>IF(OR(B372="",C372=""),"",IF(DATEDIF(C372,B372,"y")&gt;=1,DATEDIF(C372,B372,"y")&amp;IF(DATEDIF(C372,B372,"y")=1," year "," years ")&amp;DATEDIF(C372,B372,"ym")&amp;IF(DATEDIF(C372,B372,"ym")=1," month"," months"),IF(DATEDIF(C372,B372,"m")&gt;=1,DATEDIF(C372,B372,"m")&amp;IF(DATEDIF(C372,B372,"m")=1," month"," months"),DATEDIF(C372,B372,"d")&amp;IF(DATEDIF(C372,B372,"d")=1," day"," days"))))</f>
      </c>
      <c r="E372" s="103"/>
      <c r="F372" s="103"/>
      <c r="G372" s="103"/>
      <c r="H372" s="103"/>
      <c r="I372" s="103"/>
      <c r="J372" s="104"/>
      <c r="K372" s="103"/>
      <c r="L372" s="103"/>
      <c r="M372" s="105" t="str">
        <f>IFERROR(VLOOKUP(G372,Reference!$I$2:$J$175,2,FALSE()),"Operations")</f>
        <v>Operations</v>
      </c>
    </row>
    <row r="373" spans="1:13" ht="15" customHeight="1" x14ac:dyDescent="0.25">
      <c r="A373" s="100"/>
      <c r="B373" s="101"/>
      <c r="C373" s="101"/>
      <c r="D373" s="100">
        <f>IF(OR(B373="",C373=""),"",IF(DATEDIF(C373,B373,"y")&gt;=1,DATEDIF(C373,B373,"y")&amp;IF(DATEDIF(C373,B373,"y")=1," year "," years ")&amp;DATEDIF(C373,B373,"ym")&amp;IF(DATEDIF(C373,B373,"ym")=1," month"," months"),IF(DATEDIF(C373,B373,"m")&gt;=1,DATEDIF(C373,B373,"m")&amp;IF(DATEDIF(C373,B373,"m")=1," month"," months"),DATEDIF(C373,B373,"d")&amp;IF(DATEDIF(C373,B373,"d")=1," day"," days"))))</f>
      </c>
      <c r="E373" s="100"/>
      <c r="F373" s="100"/>
      <c r="G373" s="100"/>
      <c r="H373" s="100"/>
      <c r="I373" s="100"/>
      <c r="J373" s="101"/>
      <c r="K373" s="100"/>
      <c r="L373" s="100"/>
      <c r="M373" s="102" t="str">
        <f>IFERROR(VLOOKUP(G373,Reference!$I$2:$J$175,2,FALSE()),"Operations")</f>
        <v>Operations</v>
      </c>
    </row>
    <row r="374" spans="1:13" ht="15" customHeight="1" x14ac:dyDescent="0.25">
      <c r="A374" s="103"/>
      <c r="B374" s="104"/>
      <c r="C374" s="104"/>
      <c r="D374" s="103">
        <f>IF(OR(B374="",C374=""),"",IF(DATEDIF(C374,B374,"y")&gt;=1,DATEDIF(C374,B374,"y")&amp;IF(DATEDIF(C374,B374,"y")=1," year "," years ")&amp;DATEDIF(C374,B374,"ym")&amp;IF(DATEDIF(C374,B374,"ym")=1," month"," months"),IF(DATEDIF(C374,B374,"m")&gt;=1,DATEDIF(C374,B374,"m")&amp;IF(DATEDIF(C374,B374,"m")=1," month"," months"),DATEDIF(C374,B374,"d")&amp;IF(DATEDIF(C374,B374,"d")=1," day"," days"))))</f>
      </c>
      <c r="E374" s="103"/>
      <c r="F374" s="103"/>
      <c r="G374" s="103"/>
      <c r="H374" s="103"/>
      <c r="I374" s="103"/>
      <c r="J374" s="104"/>
      <c r="K374" s="103"/>
      <c r="L374" s="103"/>
      <c r="M374" s="105" t="str">
        <f>IFERROR(VLOOKUP(G374,Reference!$I$2:$J$175,2,FALSE()),"Operations")</f>
        <v>Operations</v>
      </c>
    </row>
    <row r="375" spans="1:13" ht="15" customHeight="1" x14ac:dyDescent="0.25">
      <c r="A375" s="100"/>
      <c r="B375" s="101"/>
      <c r="C375" s="101"/>
      <c r="D375" s="100">
        <f>IF(OR(B375="",C375=""),"",IF(DATEDIF(C375,B375,"y")&gt;=1,DATEDIF(C375,B375,"y")&amp;IF(DATEDIF(C375,B375,"y")=1," year "," years ")&amp;DATEDIF(C375,B375,"ym")&amp;IF(DATEDIF(C375,B375,"ym")=1," month"," months"),IF(DATEDIF(C375,B375,"m")&gt;=1,DATEDIF(C375,B375,"m")&amp;IF(DATEDIF(C375,B375,"m")=1," month"," months"),DATEDIF(C375,B375,"d")&amp;IF(DATEDIF(C375,B375,"d")=1," day"," days"))))</f>
      </c>
      <c r="E375" s="100"/>
      <c r="F375" s="100"/>
      <c r="G375" s="100"/>
      <c r="H375" s="100"/>
      <c r="I375" s="100"/>
      <c r="J375" s="101"/>
      <c r="K375" s="100"/>
      <c r="L375" s="100"/>
      <c r="M375" s="102" t="str">
        <f>IFERROR(VLOOKUP(G375,Reference!$I$2:$J$175,2,FALSE()),"Operations")</f>
        <v>Operations</v>
      </c>
    </row>
    <row r="376" spans="1:13" ht="15" customHeight="1" x14ac:dyDescent="0.25">
      <c r="A376" s="103"/>
      <c r="B376" s="104"/>
      <c r="C376" s="104"/>
      <c r="D376" s="103">
        <f>IF(OR(B376="",C376=""),"",IF(DATEDIF(C376,B376,"y")&gt;=1,DATEDIF(C376,B376,"y")&amp;IF(DATEDIF(C376,B376,"y")=1," year "," years ")&amp;DATEDIF(C376,B376,"ym")&amp;IF(DATEDIF(C376,B376,"ym")=1," month"," months"),IF(DATEDIF(C376,B376,"m")&gt;=1,DATEDIF(C376,B376,"m")&amp;IF(DATEDIF(C376,B376,"m")=1," month"," months"),DATEDIF(C376,B376,"d")&amp;IF(DATEDIF(C376,B376,"d")=1," day"," days"))))</f>
      </c>
      <c r="E376" s="103"/>
      <c r="F376" s="103"/>
      <c r="G376" s="103"/>
      <c r="H376" s="103"/>
      <c r="I376" s="103"/>
      <c r="J376" s="104"/>
      <c r="K376" s="103"/>
      <c r="L376" s="103"/>
      <c r="M376" s="105" t="str">
        <f>IFERROR(VLOOKUP(G376,Reference!$I$2:$J$175,2,FALSE()),"Operations")</f>
        <v>Operations</v>
      </c>
    </row>
    <row r="377" spans="1:13" ht="15" customHeight="1" x14ac:dyDescent="0.25">
      <c r="A377" s="100"/>
      <c r="B377" s="101"/>
      <c r="C377" s="101"/>
      <c r="D377" s="100">
        <f>IF(OR(B377="",C377=""),"",IF(DATEDIF(C377,B377,"y")&gt;=1,DATEDIF(C377,B377,"y")&amp;IF(DATEDIF(C377,B377,"y")=1," year "," years ")&amp;DATEDIF(C377,B377,"ym")&amp;IF(DATEDIF(C377,B377,"ym")=1," month"," months"),IF(DATEDIF(C377,B377,"m")&gt;=1,DATEDIF(C377,B377,"m")&amp;IF(DATEDIF(C377,B377,"m")=1," month"," months"),DATEDIF(C377,B377,"d")&amp;IF(DATEDIF(C377,B377,"d")=1," day"," days"))))</f>
      </c>
      <c r="E377" s="100"/>
      <c r="F377" s="100"/>
      <c r="G377" s="100"/>
      <c r="H377" s="100"/>
      <c r="I377" s="100"/>
      <c r="J377" s="101"/>
      <c r="K377" s="100"/>
      <c r="L377" s="100"/>
      <c r="M377" s="102" t="str">
        <f>IFERROR(VLOOKUP(G377,Reference!$I$2:$J$175,2,FALSE()),"Operations")</f>
        <v>Operations</v>
      </c>
    </row>
    <row r="378" spans="1:13" ht="15" customHeight="1" x14ac:dyDescent="0.25">
      <c r="A378" s="103"/>
      <c r="B378" s="104"/>
      <c r="C378" s="104"/>
      <c r="D378" s="103">
        <f>IF(OR(B378="",C378=""),"",IF(DATEDIF(C378,B378,"y")&gt;=1,DATEDIF(C378,B378,"y")&amp;IF(DATEDIF(C378,B378,"y")=1," year "," years ")&amp;DATEDIF(C378,B378,"ym")&amp;IF(DATEDIF(C378,B378,"ym")=1," month"," months"),IF(DATEDIF(C378,B378,"m")&gt;=1,DATEDIF(C378,B378,"m")&amp;IF(DATEDIF(C378,B378,"m")=1," month"," months"),DATEDIF(C378,B378,"d")&amp;IF(DATEDIF(C378,B378,"d")=1," day"," days"))))</f>
      </c>
      <c r="E378" s="103"/>
      <c r="F378" s="103"/>
      <c r="G378" s="103"/>
      <c r="H378" s="103"/>
      <c r="I378" s="103"/>
      <c r="J378" s="104"/>
      <c r="K378" s="103"/>
      <c r="L378" s="103"/>
      <c r="M378" s="105" t="str">
        <f>IFERROR(VLOOKUP(G378,Reference!$I$2:$J$175,2,FALSE()),"Operations")</f>
        <v>Operations</v>
      </c>
    </row>
    <row r="379" spans="1:13" ht="15" customHeight="1" x14ac:dyDescent="0.25">
      <c r="A379" s="106" t="s">
        <v>163</v>
      </c>
      <c r="B379" s="107">
        <f>COUNTA(A349:A378)</f>
        <v>14</v>
      </c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</row>
    <row r="380" spans="1:13" ht="6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</row>
    <row r="381" spans="1:13" ht="21.75" customHeight="1" x14ac:dyDescent="0.25">
      <c r="A381" s="163" t="s">
        <v>874</v>
      </c>
      <c r="B381" s="163"/>
      <c r="C381" s="163"/>
      <c r="D381" s="163"/>
      <c r="E381" s="163"/>
      <c r="F381" s="163"/>
      <c r="G381" s="163"/>
      <c r="H381" s="163"/>
      <c r="I381" s="163"/>
      <c r="J381" s="163"/>
      <c r="K381" s="163"/>
      <c r="L381" s="163"/>
      <c r="M381" s="163"/>
    </row>
    <row r="382" spans="1:13" ht="19.5" customHeight="1" x14ac:dyDescent="0.25">
      <c r="A382" s="64" t="s">
        <v>151</v>
      </c>
      <c r="B382" s="64" t="s">
        <v>152</v>
      </c>
      <c r="C382" s="64" t="s">
        <v>153</v>
      </c>
      <c r="D382" s="64" t="s">
        <v>154</v>
      </c>
      <c r="E382" s="64" t="s">
        <v>155</v>
      </c>
      <c r="F382" s="64" t="s">
        <v>156</v>
      </c>
      <c r="G382" s="64" t="s">
        <v>157</v>
      </c>
      <c r="H382" s="64" t="s">
        <v>158</v>
      </c>
      <c r="I382" s="64" t="s">
        <v>159</v>
      </c>
      <c r="J382" s="64" t="s">
        <v>160</v>
      </c>
      <c r="K382" s="64" t="s">
        <v>134</v>
      </c>
      <c r="L382" s="64" t="s">
        <v>161</v>
      </c>
      <c r="M382" s="64" t="s">
        <v>162</v>
      </c>
    </row>
    <row r="383" spans="1:13" ht="15" customHeight="1" x14ac:dyDescent="0.25">
      <c r="A383" s="77" t="s">
        <v>875</v>
      </c>
      <c r="B383" s="111">
        <v>45629</v>
      </c>
      <c r="C383" s="77"/>
      <c r="D383" s="77" t="s">
        <v>695</v>
      </c>
      <c r="E383" s="77" t="s">
        <v>179</v>
      </c>
      <c r="F383" s="77" t="s">
        <v>191</v>
      </c>
      <c r="G383" s="77" t="s">
        <v>181</v>
      </c>
      <c r="H383" s="77" t="s">
        <v>56</v>
      </c>
      <c r="I383" s="77" t="s">
        <v>541</v>
      </c>
      <c r="J383" s="77"/>
      <c r="K383" s="77" t="s">
        <v>66</v>
      </c>
      <c r="L383" s="77"/>
      <c r="M383" s="102" t="str">
        <f>IFERROR(VLOOKUP(G383,Reference!$I$2:$J$175,2,FALSE()),"Operations")</f>
        <v>Operations</v>
      </c>
    </row>
    <row r="384" spans="1:13" ht="15" customHeight="1" x14ac:dyDescent="0.25">
      <c r="A384" s="80" t="s">
        <v>876</v>
      </c>
      <c r="B384" s="112">
        <v>45631</v>
      </c>
      <c r="C384" s="80"/>
      <c r="D384" s="80" t="s">
        <v>323</v>
      </c>
      <c r="E384" s="80" t="s">
        <v>184</v>
      </c>
      <c r="F384" s="80" t="s">
        <v>191</v>
      </c>
      <c r="G384" s="80" t="s">
        <v>303</v>
      </c>
      <c r="H384" s="80" t="s">
        <v>58</v>
      </c>
      <c r="I384" s="80" t="s">
        <v>304</v>
      </c>
      <c r="J384" s="80"/>
      <c r="K384" s="80" t="s">
        <v>80</v>
      </c>
      <c r="L384" s="80"/>
      <c r="M384" s="105" t="str">
        <f>IFERROR(VLOOKUP(G384,Reference!$I$2:$J$175,2,FALSE()),"Operations")</f>
        <v>Children Services</v>
      </c>
    </row>
    <row r="385" spans="1:13" ht="15" customHeight="1" x14ac:dyDescent="0.25">
      <c r="A385" s="77" t="s">
        <v>877</v>
      </c>
      <c r="B385" s="111">
        <v>45634</v>
      </c>
      <c r="C385" s="77"/>
      <c r="D385" s="77" t="s">
        <v>358</v>
      </c>
      <c r="E385" s="77" t="s">
        <v>184</v>
      </c>
      <c r="F385" s="77" t="s">
        <v>191</v>
      </c>
      <c r="G385" s="77" t="s">
        <v>535</v>
      </c>
      <c r="H385" s="77" t="s">
        <v>56</v>
      </c>
      <c r="I385" s="77" t="s">
        <v>861</v>
      </c>
      <c r="J385" s="77"/>
      <c r="K385" s="77" t="s">
        <v>66</v>
      </c>
      <c r="L385" s="77"/>
      <c r="M385" s="102" t="str">
        <f>IFERROR(VLOOKUP(G385,Reference!$I$2:$J$175,2,FALSE()),"Operations")</f>
        <v>Operations</v>
      </c>
    </row>
    <row r="386" spans="1:13" ht="15" customHeight="1" x14ac:dyDescent="0.25">
      <c r="A386" s="80" t="s">
        <v>878</v>
      </c>
      <c r="B386" s="112">
        <v>45639</v>
      </c>
      <c r="C386" s="80"/>
      <c r="D386" s="80" t="s">
        <v>879</v>
      </c>
      <c r="E386" s="80" t="s">
        <v>184</v>
      </c>
      <c r="F386" s="80" t="s">
        <v>191</v>
      </c>
      <c r="G386" s="80" t="s">
        <v>285</v>
      </c>
      <c r="H386" s="80" t="s">
        <v>58</v>
      </c>
      <c r="I386" s="80" t="s">
        <v>286</v>
      </c>
      <c r="J386" s="80"/>
      <c r="K386" s="80" t="s">
        <v>80</v>
      </c>
      <c r="L386" s="80"/>
      <c r="M386" s="105" t="str">
        <f>IFERROR(VLOOKUP(G386,Reference!$I$2:$J$175,2,FALSE()),"Operations")</f>
        <v>Children Services</v>
      </c>
    </row>
    <row r="387" spans="1:13" ht="15" customHeight="1" x14ac:dyDescent="0.25">
      <c r="A387" s="77" t="s">
        <v>880</v>
      </c>
      <c r="B387" s="111">
        <v>45639</v>
      </c>
      <c r="C387" s="77"/>
      <c r="D387" s="77" t="s">
        <v>342</v>
      </c>
      <c r="E387" s="77" t="s">
        <v>184</v>
      </c>
      <c r="F387" s="77" t="s">
        <v>191</v>
      </c>
      <c r="G387" s="77" t="s">
        <v>535</v>
      </c>
      <c r="H387" s="77" t="s">
        <v>70</v>
      </c>
      <c r="I387" s="77" t="s">
        <v>749</v>
      </c>
      <c r="J387" s="77"/>
      <c r="K387" s="77" t="s">
        <v>66</v>
      </c>
      <c r="L387" s="77"/>
      <c r="M387" s="102" t="str">
        <f>IFERROR(VLOOKUP(G387,Reference!$I$2:$J$175,2,FALSE()),"Operations")</f>
        <v>Operations</v>
      </c>
    </row>
    <row r="388" spans="1:13" ht="15" customHeight="1" x14ac:dyDescent="0.25">
      <c r="A388" s="80" t="s">
        <v>881</v>
      </c>
      <c r="B388" s="112">
        <v>45638</v>
      </c>
      <c r="C388" s="80"/>
      <c r="D388" s="80" t="s">
        <v>882</v>
      </c>
      <c r="E388" s="80" t="s">
        <v>179</v>
      </c>
      <c r="F388" s="80" t="s">
        <v>180</v>
      </c>
      <c r="G388" s="80" t="s">
        <v>883</v>
      </c>
      <c r="H388" s="80" t="s">
        <v>69</v>
      </c>
      <c r="I388" s="80" t="s">
        <v>884</v>
      </c>
      <c r="J388" s="80"/>
      <c r="K388" s="80" t="s">
        <v>66</v>
      </c>
      <c r="L388" s="80"/>
      <c r="M388" s="105" t="str">
        <f>IFERROR(VLOOKUP(G388,Reference!$I$2:$J$175,2,FALSE()),"Operations")</f>
        <v>Operations</v>
      </c>
    </row>
    <row r="389" spans="1:13" ht="15" customHeight="1" x14ac:dyDescent="0.25">
      <c r="A389" s="77" t="s">
        <v>885</v>
      </c>
      <c r="B389" s="111">
        <v>45643</v>
      </c>
      <c r="C389" s="77"/>
      <c r="D389" s="77" t="s">
        <v>886</v>
      </c>
      <c r="E389" s="77" t="s">
        <v>179</v>
      </c>
      <c r="F389" s="77" t="s">
        <v>180</v>
      </c>
      <c r="G389" s="77" t="s">
        <v>887</v>
      </c>
      <c r="H389" s="77" t="s">
        <v>58</v>
      </c>
      <c r="I389" s="77" t="s">
        <v>311</v>
      </c>
      <c r="J389" s="77"/>
      <c r="K389" s="77" t="s">
        <v>66</v>
      </c>
      <c r="L389" s="77"/>
      <c r="M389" s="102" t="str">
        <f>IFERROR(VLOOKUP(G389,Reference!$I$2:$J$175,2,FALSE()),"Operations")</f>
        <v>Operations</v>
      </c>
    </row>
    <row r="390" spans="1:13" ht="15" customHeight="1" x14ac:dyDescent="0.25">
      <c r="A390" s="80" t="s">
        <v>888</v>
      </c>
      <c r="B390" s="112">
        <v>45647</v>
      </c>
      <c r="C390" s="80"/>
      <c r="D390" s="80" t="s">
        <v>342</v>
      </c>
      <c r="E390" s="80" t="s">
        <v>184</v>
      </c>
      <c r="F390" s="80" t="s">
        <v>191</v>
      </c>
      <c r="G390" s="80" t="s">
        <v>307</v>
      </c>
      <c r="H390" s="80" t="s">
        <v>58</v>
      </c>
      <c r="I390" s="80" t="s">
        <v>308</v>
      </c>
      <c r="J390" s="80"/>
      <c r="K390" s="80" t="s">
        <v>66</v>
      </c>
      <c r="L390" s="80"/>
      <c r="M390" s="105" t="str">
        <f>IFERROR(VLOOKUP(G390,Reference!$I$2:$J$175,2,FALSE()),"Operations")</f>
        <v>Operations</v>
      </c>
    </row>
    <row r="391" spans="1:13" ht="15" customHeight="1" x14ac:dyDescent="0.25">
      <c r="A391" s="77" t="s">
        <v>889</v>
      </c>
      <c r="B391" s="111">
        <v>45655</v>
      </c>
      <c r="C391" s="77"/>
      <c r="D391" s="77" t="s">
        <v>882</v>
      </c>
      <c r="E391" s="77" t="s">
        <v>179</v>
      </c>
      <c r="F391" s="77" t="s">
        <v>191</v>
      </c>
      <c r="G391" s="77" t="s">
        <v>616</v>
      </c>
      <c r="H391" s="77" t="s">
        <v>70</v>
      </c>
      <c r="I391" s="77" t="s">
        <v>521</v>
      </c>
      <c r="J391" s="77"/>
      <c r="K391" s="77" t="s">
        <v>66</v>
      </c>
      <c r="L391" s="77"/>
      <c r="M391" s="102" t="str">
        <f>IFERROR(VLOOKUP(G391,Reference!$I$2:$J$175,2,FALSE()),"Operations")</f>
        <v>Operations</v>
      </c>
    </row>
    <row r="392" spans="1:13" ht="15" customHeight="1" x14ac:dyDescent="0.25">
      <c r="A392" s="103"/>
      <c r="B392" s="104"/>
      <c r="C392" s="104"/>
      <c r="D392" s="103">
        <f>IF(OR(B392="",C392=""),"",IF(DATEDIF(C392,B392,"y")&gt;=1,DATEDIF(C392,B392,"y")&amp;IF(DATEDIF(C392,B392,"y")=1," year "," years ")&amp;DATEDIF(C392,B392,"ym")&amp;IF(DATEDIF(C392,B392,"ym")=1," month"," months"),IF(DATEDIF(C392,B392,"m")&gt;=1,DATEDIF(C392,B392,"m")&amp;IF(DATEDIF(C392,B392,"m")=1," month"," months"),DATEDIF(C392,B392,"d")&amp;IF(DATEDIF(C392,B392,"d")=1," day"," days"))))</f>
      </c>
      <c r="E392" s="103"/>
      <c r="F392" s="103"/>
      <c r="G392" s="103"/>
      <c r="H392" s="103"/>
      <c r="I392" s="103"/>
      <c r="J392" s="104"/>
      <c r="K392" s="103"/>
      <c r="L392" s="103"/>
      <c r="M392" s="105" t="str">
        <f>IFERROR(VLOOKUP(G392,Reference!$I$2:$J$175,2,FALSE()),"Operations")</f>
        <v>Operations</v>
      </c>
    </row>
    <row r="393" spans="1:13" ht="15" customHeight="1" x14ac:dyDescent="0.25">
      <c r="A393" s="100"/>
      <c r="B393" s="101"/>
      <c r="C393" s="101"/>
      <c r="D393" s="100">
        <f>IF(OR(B393="",C393=""),"",IF(DATEDIF(C393,B393,"y")&gt;=1,DATEDIF(C393,B393,"y")&amp;IF(DATEDIF(C393,B393,"y")=1," year "," years ")&amp;DATEDIF(C393,B393,"ym")&amp;IF(DATEDIF(C393,B393,"ym")=1," month"," months"),IF(DATEDIF(C393,B393,"m")&gt;=1,DATEDIF(C393,B393,"m")&amp;IF(DATEDIF(C393,B393,"m")=1," month"," months"),DATEDIF(C393,B393,"d")&amp;IF(DATEDIF(C393,B393,"d")=1," day"," days"))))</f>
      </c>
      <c r="E393" s="100"/>
      <c r="F393" s="100"/>
      <c r="G393" s="100"/>
      <c r="H393" s="100"/>
      <c r="I393" s="100"/>
      <c r="J393" s="101"/>
      <c r="K393" s="100"/>
      <c r="L393" s="100"/>
      <c r="M393" s="102" t="str">
        <f>IFERROR(VLOOKUP(G393,Reference!$I$2:$J$175,2,FALSE()),"Operations")</f>
        <v>Operations</v>
      </c>
    </row>
    <row r="394" spans="1:13" ht="15" customHeight="1" x14ac:dyDescent="0.25">
      <c r="A394" s="103"/>
      <c r="B394" s="104"/>
      <c r="C394" s="104"/>
      <c r="D394" s="103">
        <f>IF(OR(B394="",C394=""),"",IF(DATEDIF(C394,B394,"y")&gt;=1,DATEDIF(C394,B394,"y")&amp;IF(DATEDIF(C394,B394,"y")=1," year "," years ")&amp;DATEDIF(C394,B394,"ym")&amp;IF(DATEDIF(C394,B394,"ym")=1," month"," months"),IF(DATEDIF(C394,B394,"m")&gt;=1,DATEDIF(C394,B394,"m")&amp;IF(DATEDIF(C394,B394,"m")=1," month"," months"),DATEDIF(C394,B394,"d")&amp;IF(DATEDIF(C394,B394,"d")=1," day"," days"))))</f>
      </c>
      <c r="E394" s="103"/>
      <c r="F394" s="103"/>
      <c r="G394" s="103"/>
      <c r="H394" s="103"/>
      <c r="I394" s="103"/>
      <c r="J394" s="104"/>
      <c r="K394" s="103"/>
      <c r="L394" s="103"/>
      <c r="M394" s="105" t="str">
        <f>IFERROR(VLOOKUP(G394,Reference!$I$2:$J$175,2,FALSE()),"Operations")</f>
        <v>Operations</v>
      </c>
    </row>
    <row r="395" spans="1:13" ht="15" customHeight="1" x14ac:dyDescent="0.25">
      <c r="A395" s="100"/>
      <c r="B395" s="101"/>
      <c r="C395" s="101"/>
      <c r="D395" s="100">
        <f>IF(OR(B395="",C395=""),"",IF(DATEDIF(C395,B395,"y")&gt;=1,DATEDIF(C395,B395,"y")&amp;IF(DATEDIF(C395,B395,"y")=1," year "," years ")&amp;DATEDIF(C395,B395,"ym")&amp;IF(DATEDIF(C395,B395,"ym")=1," month"," months"),IF(DATEDIF(C395,B395,"m")&gt;=1,DATEDIF(C395,B395,"m")&amp;IF(DATEDIF(C395,B395,"m")=1," month"," months"),DATEDIF(C395,B395,"d")&amp;IF(DATEDIF(C395,B395,"d")=1," day"," days"))))</f>
      </c>
      <c r="E395" s="100"/>
      <c r="F395" s="100"/>
      <c r="G395" s="100"/>
      <c r="H395" s="100"/>
      <c r="I395" s="100"/>
      <c r="J395" s="101"/>
      <c r="K395" s="100"/>
      <c r="L395" s="100"/>
      <c r="M395" s="102" t="str">
        <f>IFERROR(VLOOKUP(G395,Reference!$I$2:$J$175,2,FALSE()),"Operations")</f>
        <v>Operations</v>
      </c>
    </row>
    <row r="396" spans="1:13" ht="15" customHeight="1" x14ac:dyDescent="0.25">
      <c r="A396" s="103"/>
      <c r="B396" s="104"/>
      <c r="C396" s="104"/>
      <c r="D396" s="103">
        <f>IF(OR(B396="",C396=""),"",IF(DATEDIF(C396,B396,"y")&gt;=1,DATEDIF(C396,B396,"y")&amp;IF(DATEDIF(C396,B396,"y")=1," year "," years ")&amp;DATEDIF(C396,B396,"ym")&amp;IF(DATEDIF(C396,B396,"ym")=1," month"," months"),IF(DATEDIF(C396,B396,"m")&gt;=1,DATEDIF(C396,B396,"m")&amp;IF(DATEDIF(C396,B396,"m")=1," month"," months"),DATEDIF(C396,B396,"d")&amp;IF(DATEDIF(C396,B396,"d")=1," day"," days"))))</f>
      </c>
      <c r="E396" s="103"/>
      <c r="F396" s="103"/>
      <c r="G396" s="103"/>
      <c r="H396" s="103"/>
      <c r="I396" s="103"/>
      <c r="J396" s="104"/>
      <c r="K396" s="103"/>
      <c r="L396" s="103"/>
      <c r="M396" s="105" t="str">
        <f>IFERROR(VLOOKUP(G396,Reference!$I$2:$J$175,2,FALSE()),"Operations")</f>
        <v>Operations</v>
      </c>
    </row>
    <row r="397" spans="1:13" ht="15" customHeight="1" x14ac:dyDescent="0.25">
      <c r="A397" s="100"/>
      <c r="B397" s="101"/>
      <c r="C397" s="101"/>
      <c r="D397" s="100">
        <f>IF(OR(B397="",C397=""),"",IF(DATEDIF(C397,B397,"y")&gt;=1,DATEDIF(C397,B397,"y")&amp;IF(DATEDIF(C397,B397,"y")=1," year "," years ")&amp;DATEDIF(C397,B397,"ym")&amp;IF(DATEDIF(C397,B397,"ym")=1," month"," months"),IF(DATEDIF(C397,B397,"m")&gt;=1,DATEDIF(C397,B397,"m")&amp;IF(DATEDIF(C397,B397,"m")=1," month"," months"),DATEDIF(C397,B397,"d")&amp;IF(DATEDIF(C397,B397,"d")=1," day"," days"))))</f>
      </c>
      <c r="E397" s="100"/>
      <c r="F397" s="100"/>
      <c r="G397" s="100"/>
      <c r="H397" s="100"/>
      <c r="I397" s="100"/>
      <c r="J397" s="101"/>
      <c r="K397" s="100"/>
      <c r="L397" s="100"/>
      <c r="M397" s="102" t="str">
        <f>IFERROR(VLOOKUP(G397,Reference!$I$2:$J$175,2,FALSE()),"Operations")</f>
        <v>Operations</v>
      </c>
    </row>
    <row r="398" spans="1:13" ht="15" customHeight="1" x14ac:dyDescent="0.25">
      <c r="A398" s="103"/>
      <c r="B398" s="104"/>
      <c r="C398" s="104"/>
      <c r="D398" s="103">
        <f>IF(OR(B398="",C398=""),"",IF(DATEDIF(C398,B398,"y")&gt;=1,DATEDIF(C398,B398,"y")&amp;IF(DATEDIF(C398,B398,"y")=1," year "," years ")&amp;DATEDIF(C398,B398,"ym")&amp;IF(DATEDIF(C398,B398,"ym")=1," month"," months"),IF(DATEDIF(C398,B398,"m")&gt;=1,DATEDIF(C398,B398,"m")&amp;IF(DATEDIF(C398,B398,"m")=1," month"," months"),DATEDIF(C398,B398,"d")&amp;IF(DATEDIF(C398,B398,"d")=1," day"," days"))))</f>
      </c>
      <c r="E398" s="103"/>
      <c r="F398" s="103"/>
      <c r="G398" s="103"/>
      <c r="H398" s="103"/>
      <c r="I398" s="103"/>
      <c r="J398" s="104"/>
      <c r="K398" s="103"/>
      <c r="L398" s="103"/>
      <c r="M398" s="105" t="str">
        <f>IFERROR(VLOOKUP(G398,Reference!$I$2:$J$175,2,FALSE()),"Operations")</f>
        <v>Operations</v>
      </c>
    </row>
    <row r="399" spans="1:13" ht="15" customHeight="1" x14ac:dyDescent="0.25">
      <c r="A399" s="100"/>
      <c r="B399" s="101"/>
      <c r="C399" s="101"/>
      <c r="D399" s="100">
        <f>IF(OR(B399="",C399=""),"",IF(DATEDIF(C399,B399,"y")&gt;=1,DATEDIF(C399,B399,"y")&amp;IF(DATEDIF(C399,B399,"y")=1," year "," years ")&amp;DATEDIF(C399,B399,"ym")&amp;IF(DATEDIF(C399,B399,"ym")=1," month"," months"),IF(DATEDIF(C399,B399,"m")&gt;=1,DATEDIF(C399,B399,"m")&amp;IF(DATEDIF(C399,B399,"m")=1," month"," months"),DATEDIF(C399,B399,"d")&amp;IF(DATEDIF(C399,B399,"d")=1," day"," days"))))</f>
      </c>
      <c r="E399" s="100"/>
      <c r="F399" s="100"/>
      <c r="G399" s="100"/>
      <c r="H399" s="100"/>
      <c r="I399" s="100"/>
      <c r="J399" s="101"/>
      <c r="K399" s="100"/>
      <c r="L399" s="100"/>
      <c r="M399" s="102" t="str">
        <f>IFERROR(VLOOKUP(G399,Reference!$I$2:$J$175,2,FALSE()),"Operations")</f>
        <v>Operations</v>
      </c>
    </row>
    <row r="400" spans="1:13" ht="15" customHeight="1" x14ac:dyDescent="0.25">
      <c r="A400" s="103"/>
      <c r="B400" s="104"/>
      <c r="C400" s="104"/>
      <c r="D400" s="103">
        <f>IF(OR(B400="",C400=""),"",IF(DATEDIF(C400,B400,"y")&gt;=1,DATEDIF(C400,B400,"y")&amp;IF(DATEDIF(C400,B400,"y")=1," year "," years ")&amp;DATEDIF(C400,B400,"ym")&amp;IF(DATEDIF(C400,B400,"ym")=1," month"," months"),IF(DATEDIF(C400,B400,"m")&gt;=1,DATEDIF(C400,B400,"m")&amp;IF(DATEDIF(C400,B400,"m")=1," month"," months"),DATEDIF(C400,B400,"d")&amp;IF(DATEDIF(C400,B400,"d")=1," day"," days"))))</f>
      </c>
      <c r="E400" s="103"/>
      <c r="F400" s="103"/>
      <c r="G400" s="103"/>
      <c r="H400" s="103"/>
      <c r="I400" s="103"/>
      <c r="J400" s="104"/>
      <c r="K400" s="103"/>
      <c r="L400" s="103"/>
      <c r="M400" s="105" t="str">
        <f>IFERROR(VLOOKUP(G400,Reference!$I$2:$J$175,2,FALSE()),"Operations")</f>
        <v>Operations</v>
      </c>
    </row>
    <row r="401" spans="1:13" ht="15" customHeight="1" x14ac:dyDescent="0.25">
      <c r="A401" s="100"/>
      <c r="B401" s="101"/>
      <c r="C401" s="101"/>
      <c r="D401" s="100">
        <f>IF(OR(B401="",C401=""),"",IF(DATEDIF(C401,B401,"y")&gt;=1,DATEDIF(C401,B401,"y")&amp;IF(DATEDIF(C401,B401,"y")=1," year "," years ")&amp;DATEDIF(C401,B401,"ym")&amp;IF(DATEDIF(C401,B401,"ym")=1," month"," months"),IF(DATEDIF(C401,B401,"m")&gt;=1,DATEDIF(C401,B401,"m")&amp;IF(DATEDIF(C401,B401,"m")=1," month"," months"),DATEDIF(C401,B401,"d")&amp;IF(DATEDIF(C401,B401,"d")=1," day"," days"))))</f>
      </c>
      <c r="E401" s="100"/>
      <c r="F401" s="100"/>
      <c r="G401" s="100"/>
      <c r="H401" s="100"/>
      <c r="I401" s="100"/>
      <c r="J401" s="101"/>
      <c r="K401" s="100"/>
      <c r="L401" s="100"/>
      <c r="M401" s="102" t="str">
        <f>IFERROR(VLOOKUP(G401,Reference!$I$2:$J$175,2,FALSE()),"Operations")</f>
        <v>Operations</v>
      </c>
    </row>
    <row r="402" spans="1:13" ht="15" customHeight="1" x14ac:dyDescent="0.25">
      <c r="A402" s="103"/>
      <c r="B402" s="104"/>
      <c r="C402" s="104"/>
      <c r="D402" s="103">
        <f>IF(OR(B402="",C402=""),"",IF(DATEDIF(C402,B402,"y")&gt;=1,DATEDIF(C402,B402,"y")&amp;IF(DATEDIF(C402,B402,"y")=1," year "," years ")&amp;DATEDIF(C402,B402,"ym")&amp;IF(DATEDIF(C402,B402,"ym")=1," month"," months"),IF(DATEDIF(C402,B402,"m")&gt;=1,DATEDIF(C402,B402,"m")&amp;IF(DATEDIF(C402,B402,"m")=1," month"," months"),DATEDIF(C402,B402,"d")&amp;IF(DATEDIF(C402,B402,"d")=1," day"," days"))))</f>
      </c>
      <c r="E402" s="103"/>
      <c r="F402" s="103"/>
      <c r="G402" s="103"/>
      <c r="H402" s="103"/>
      <c r="I402" s="103"/>
      <c r="J402" s="104"/>
      <c r="K402" s="103"/>
      <c r="L402" s="103"/>
      <c r="M402" s="105" t="str">
        <f>IFERROR(VLOOKUP(G402,Reference!$I$2:$J$175,2,FALSE()),"Operations")</f>
        <v>Operations</v>
      </c>
    </row>
    <row r="403" spans="1:13" ht="15" customHeight="1" x14ac:dyDescent="0.25">
      <c r="A403" s="100"/>
      <c r="B403" s="101"/>
      <c r="C403" s="101"/>
      <c r="D403" s="100">
        <f>IF(OR(B403="",C403=""),"",IF(DATEDIF(C403,B403,"y")&gt;=1,DATEDIF(C403,B403,"y")&amp;IF(DATEDIF(C403,B403,"y")=1," year "," years ")&amp;DATEDIF(C403,B403,"ym")&amp;IF(DATEDIF(C403,B403,"ym")=1," month"," months"),IF(DATEDIF(C403,B403,"m")&gt;=1,DATEDIF(C403,B403,"m")&amp;IF(DATEDIF(C403,B403,"m")=1," month"," months"),DATEDIF(C403,B403,"d")&amp;IF(DATEDIF(C403,B403,"d")=1," day"," days"))))</f>
      </c>
      <c r="E403" s="100"/>
      <c r="F403" s="100"/>
      <c r="G403" s="100"/>
      <c r="H403" s="100"/>
      <c r="I403" s="100"/>
      <c r="J403" s="101"/>
      <c r="K403" s="100"/>
      <c r="L403" s="100"/>
      <c r="M403" s="102" t="str">
        <f>IFERROR(VLOOKUP(G403,Reference!$I$2:$J$175,2,FALSE()),"Operations")</f>
        <v>Operations</v>
      </c>
    </row>
    <row r="404" spans="1:13" ht="15" customHeight="1" x14ac:dyDescent="0.25">
      <c r="A404" s="103"/>
      <c r="B404" s="104"/>
      <c r="C404" s="104"/>
      <c r="D404" s="103">
        <f>IF(OR(B404="",C404=""),"",IF(DATEDIF(C404,B404,"y")&gt;=1,DATEDIF(C404,B404,"y")&amp;IF(DATEDIF(C404,B404,"y")=1," year "," years ")&amp;DATEDIF(C404,B404,"ym")&amp;IF(DATEDIF(C404,B404,"ym")=1," month"," months"),IF(DATEDIF(C404,B404,"m")&gt;=1,DATEDIF(C404,B404,"m")&amp;IF(DATEDIF(C404,B404,"m")=1," month"," months"),DATEDIF(C404,B404,"d")&amp;IF(DATEDIF(C404,B404,"d")=1," day"," days"))))</f>
      </c>
      <c r="E404" s="103"/>
      <c r="F404" s="103"/>
      <c r="G404" s="103"/>
      <c r="H404" s="103"/>
      <c r="I404" s="103"/>
      <c r="J404" s="104"/>
      <c r="K404" s="103"/>
      <c r="L404" s="103"/>
      <c r="M404" s="105" t="str">
        <f>IFERROR(VLOOKUP(G404,Reference!$I$2:$J$175,2,FALSE()),"Operations")</f>
        <v>Operations</v>
      </c>
    </row>
    <row r="405" spans="1:13" ht="15" customHeight="1" x14ac:dyDescent="0.25">
      <c r="A405" s="100"/>
      <c r="B405" s="101"/>
      <c r="C405" s="101"/>
      <c r="D405" s="100">
        <f>IF(OR(B405="",C405=""),"",IF(DATEDIF(C405,B405,"y")&gt;=1,DATEDIF(C405,B405,"y")&amp;IF(DATEDIF(C405,B405,"y")=1," year "," years ")&amp;DATEDIF(C405,B405,"ym")&amp;IF(DATEDIF(C405,B405,"ym")=1," month"," months"),IF(DATEDIF(C405,B405,"m")&gt;=1,DATEDIF(C405,B405,"m")&amp;IF(DATEDIF(C405,B405,"m")=1," month"," months"),DATEDIF(C405,B405,"d")&amp;IF(DATEDIF(C405,B405,"d")=1," day"," days"))))</f>
      </c>
      <c r="E405" s="100"/>
      <c r="F405" s="100"/>
      <c r="G405" s="100"/>
      <c r="H405" s="100"/>
      <c r="I405" s="100"/>
      <c r="J405" s="101"/>
      <c r="K405" s="100"/>
      <c r="L405" s="100"/>
      <c r="M405" s="102" t="str">
        <f>IFERROR(VLOOKUP(G405,Reference!$I$2:$J$175,2,FALSE()),"Operations")</f>
        <v>Operations</v>
      </c>
    </row>
    <row r="406" spans="1:13" ht="15" customHeight="1" x14ac:dyDescent="0.25">
      <c r="A406" s="103"/>
      <c r="B406" s="104"/>
      <c r="C406" s="104"/>
      <c r="D406" s="103">
        <f>IF(OR(B406="",C406=""),"",IF(DATEDIF(C406,B406,"y")&gt;=1,DATEDIF(C406,B406,"y")&amp;IF(DATEDIF(C406,B406,"y")=1," year "," years ")&amp;DATEDIF(C406,B406,"ym")&amp;IF(DATEDIF(C406,B406,"ym")=1," month"," months"),IF(DATEDIF(C406,B406,"m")&gt;=1,DATEDIF(C406,B406,"m")&amp;IF(DATEDIF(C406,B406,"m")=1," month"," months"),DATEDIF(C406,B406,"d")&amp;IF(DATEDIF(C406,B406,"d")=1," day"," days"))))</f>
      </c>
      <c r="E406" s="103"/>
      <c r="F406" s="103"/>
      <c r="G406" s="103"/>
      <c r="H406" s="103"/>
      <c r="I406" s="103"/>
      <c r="J406" s="104"/>
      <c r="K406" s="103"/>
      <c r="L406" s="103"/>
      <c r="M406" s="105" t="str">
        <f>IFERROR(VLOOKUP(G406,Reference!$I$2:$J$175,2,FALSE()),"Operations")</f>
        <v>Operations</v>
      </c>
    </row>
    <row r="407" spans="1:13" ht="15" customHeight="1" x14ac:dyDescent="0.25">
      <c r="A407" s="100"/>
      <c r="B407" s="101"/>
      <c r="C407" s="101"/>
      <c r="D407" s="100">
        <f>IF(OR(B407="",C407=""),"",IF(DATEDIF(C407,B407,"y")&gt;=1,DATEDIF(C407,B407,"y")&amp;IF(DATEDIF(C407,B407,"y")=1," year "," years ")&amp;DATEDIF(C407,B407,"ym")&amp;IF(DATEDIF(C407,B407,"ym")=1," month"," months"),IF(DATEDIF(C407,B407,"m")&gt;=1,DATEDIF(C407,B407,"m")&amp;IF(DATEDIF(C407,B407,"m")=1," month"," months"),DATEDIF(C407,B407,"d")&amp;IF(DATEDIF(C407,B407,"d")=1," day"," days"))))</f>
      </c>
      <c r="E407" s="100"/>
      <c r="F407" s="100"/>
      <c r="G407" s="100"/>
      <c r="H407" s="100"/>
      <c r="I407" s="100"/>
      <c r="J407" s="101"/>
      <c r="K407" s="100"/>
      <c r="L407" s="100"/>
      <c r="M407" s="102" t="str">
        <f>IFERROR(VLOOKUP(G407,Reference!$I$2:$J$175,2,FALSE()),"Operations")</f>
        <v>Operations</v>
      </c>
    </row>
    <row r="408" spans="1:13" ht="15" customHeight="1" x14ac:dyDescent="0.25">
      <c r="A408" s="103"/>
      <c r="B408" s="104"/>
      <c r="C408" s="104"/>
      <c r="D408" s="103">
        <f>IF(OR(B408="",C408=""),"",IF(DATEDIF(C408,B408,"y")&gt;=1,DATEDIF(C408,B408,"y")&amp;IF(DATEDIF(C408,B408,"y")=1," year "," years ")&amp;DATEDIF(C408,B408,"ym")&amp;IF(DATEDIF(C408,B408,"ym")=1," month"," months"),IF(DATEDIF(C408,B408,"m")&gt;=1,DATEDIF(C408,B408,"m")&amp;IF(DATEDIF(C408,B408,"m")=1," month"," months"),DATEDIF(C408,B408,"d")&amp;IF(DATEDIF(C408,B408,"d")=1," day"," days"))))</f>
      </c>
      <c r="E408" s="103"/>
      <c r="F408" s="103"/>
      <c r="G408" s="103"/>
      <c r="H408" s="103"/>
      <c r="I408" s="103"/>
      <c r="J408" s="104"/>
      <c r="K408" s="103"/>
      <c r="L408" s="103"/>
      <c r="M408" s="105" t="str">
        <f>IFERROR(VLOOKUP(G408,Reference!$I$2:$J$175,2,FALSE()),"Operations")</f>
        <v>Operations</v>
      </c>
    </row>
    <row r="409" spans="1:13" ht="15" customHeight="1" x14ac:dyDescent="0.25">
      <c r="A409" s="100"/>
      <c r="B409" s="101"/>
      <c r="C409" s="101"/>
      <c r="D409" s="100">
        <f>IF(OR(B409="",C409=""),"",IF(DATEDIF(C409,B409,"y")&gt;=1,DATEDIF(C409,B409,"y")&amp;IF(DATEDIF(C409,B409,"y")=1," year "," years ")&amp;DATEDIF(C409,B409,"ym")&amp;IF(DATEDIF(C409,B409,"ym")=1," month"," months"),IF(DATEDIF(C409,B409,"m")&gt;=1,DATEDIF(C409,B409,"m")&amp;IF(DATEDIF(C409,B409,"m")=1," month"," months"),DATEDIF(C409,B409,"d")&amp;IF(DATEDIF(C409,B409,"d")=1," day"," days"))))</f>
      </c>
      <c r="E409" s="100"/>
      <c r="F409" s="100"/>
      <c r="G409" s="100"/>
      <c r="H409" s="100"/>
      <c r="I409" s="100"/>
      <c r="J409" s="101"/>
      <c r="K409" s="100"/>
      <c r="L409" s="100"/>
      <c r="M409" s="102" t="str">
        <f>IFERROR(VLOOKUP(G409,Reference!$I$2:$J$175,2,FALSE()),"Operations")</f>
        <v>Operations</v>
      </c>
    </row>
    <row r="410" spans="1:13" ht="15" customHeight="1" x14ac:dyDescent="0.25">
      <c r="A410" s="103"/>
      <c r="B410" s="104"/>
      <c r="C410" s="104"/>
      <c r="D410" s="103">
        <f>IF(OR(B410="",C410=""),"",IF(DATEDIF(C410,B410,"y")&gt;=1,DATEDIF(C410,B410,"y")&amp;IF(DATEDIF(C410,B410,"y")=1," year "," years ")&amp;DATEDIF(C410,B410,"ym")&amp;IF(DATEDIF(C410,B410,"ym")=1," month"," months"),IF(DATEDIF(C410,B410,"m")&gt;=1,DATEDIF(C410,B410,"m")&amp;IF(DATEDIF(C410,B410,"m")=1," month"," months"),DATEDIF(C410,B410,"d")&amp;IF(DATEDIF(C410,B410,"d")=1," day"," days"))))</f>
      </c>
      <c r="E410" s="103"/>
      <c r="F410" s="103"/>
      <c r="G410" s="103"/>
      <c r="H410" s="103"/>
      <c r="I410" s="103"/>
      <c r="J410" s="104"/>
      <c r="K410" s="103"/>
      <c r="L410" s="103"/>
      <c r="M410" s="105" t="str">
        <f>IFERROR(VLOOKUP(G410,Reference!$I$2:$J$175,2,FALSE()),"Operations")</f>
        <v>Operations</v>
      </c>
    </row>
    <row r="411" spans="1:13" ht="15" customHeight="1" x14ac:dyDescent="0.25">
      <c r="A411" s="100"/>
      <c r="B411" s="101"/>
      <c r="C411" s="101"/>
      <c r="D411" s="100">
        <f>IF(OR(B411="",C411=""),"",IF(DATEDIF(C411,B411,"y")&gt;=1,DATEDIF(C411,B411,"y")&amp;IF(DATEDIF(C411,B411,"y")=1," year "," years ")&amp;DATEDIF(C411,B411,"ym")&amp;IF(DATEDIF(C411,B411,"ym")=1," month"," months"),IF(DATEDIF(C411,B411,"m")&gt;=1,DATEDIF(C411,B411,"m")&amp;IF(DATEDIF(C411,B411,"m")=1," month"," months"),DATEDIF(C411,B411,"d")&amp;IF(DATEDIF(C411,B411,"d")=1," day"," days"))))</f>
      </c>
      <c r="E411" s="100"/>
      <c r="F411" s="100"/>
      <c r="G411" s="100"/>
      <c r="H411" s="100"/>
      <c r="I411" s="100"/>
      <c r="J411" s="101"/>
      <c r="K411" s="100"/>
      <c r="L411" s="100"/>
      <c r="M411" s="102" t="str">
        <f>IFERROR(VLOOKUP(G411,Reference!$I$2:$J$175,2,FALSE()),"Operations")</f>
        <v>Operations</v>
      </c>
    </row>
    <row r="412" spans="1:13" ht="15" customHeight="1" x14ac:dyDescent="0.25">
      <c r="A412" s="103"/>
      <c r="B412" s="104"/>
      <c r="C412" s="104"/>
      <c r="D412" s="103">
        <f>IF(OR(B412="",C412=""),"",IF(DATEDIF(C412,B412,"y")&gt;=1,DATEDIF(C412,B412,"y")&amp;IF(DATEDIF(C412,B412,"y")=1," year "," years ")&amp;DATEDIF(C412,B412,"ym")&amp;IF(DATEDIF(C412,B412,"ym")=1," month"," months"),IF(DATEDIF(C412,B412,"m")&gt;=1,DATEDIF(C412,B412,"m")&amp;IF(DATEDIF(C412,B412,"m")=1," month"," months"),DATEDIF(C412,B412,"d")&amp;IF(DATEDIF(C412,B412,"d")=1," day"," days"))))</f>
      </c>
      <c r="E412" s="103"/>
      <c r="F412" s="103"/>
      <c r="G412" s="103"/>
      <c r="H412" s="103"/>
      <c r="I412" s="103"/>
      <c r="J412" s="104"/>
      <c r="K412" s="103"/>
      <c r="L412" s="103"/>
      <c r="M412" s="105" t="str">
        <f>IFERROR(VLOOKUP(G412,Reference!$I$2:$J$175,2,FALSE()),"Operations")</f>
        <v>Operations</v>
      </c>
    </row>
    <row r="413" spans="1:13" ht="15" customHeight="1" x14ac:dyDescent="0.25">
      <c r="A413" s="106" t="s">
        <v>163</v>
      </c>
      <c r="B413" s="107">
        <f>COUNTA(A383:A412)</f>
        <v>9</v>
      </c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</row>
    <row r="414" spans="1:13" ht="6" customHeight="1" x14ac:dyDescent="0.25"/>
  </sheetData>
  <mergeCells count="14">
    <mergeCell ref="A2:M2"/>
    <mergeCell ref="A3:M3"/>
    <mergeCell ref="A7:M7"/>
    <mergeCell ref="A41:M41"/>
    <mergeCell ref="A75:M75"/>
    <mergeCell ref="A279:M279"/>
    <mergeCell ref="A313:M313"/>
    <mergeCell ref="A347:M347"/>
    <mergeCell ref="A381:M381"/>
    <mergeCell ref="A109:M109"/>
    <mergeCell ref="A143:M143"/>
    <mergeCell ref="A177:M177"/>
    <mergeCell ref="A211:M211"/>
    <mergeCell ref="A245:M245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warning" allowBlank="1" showErrorMessage="1" errorTitle="Invalid Entry" error="Please select a value from the list." xr:uid="{00000000-0002-0000-0500-000000000000}">
          <x14:formula1>
            <xm:f>Reference!$G$2:$G$3</xm:f>
          </x14:formula1>
          <x14:formula2>
            <xm:f>0</xm:f>
          </x14:formula2>
          <xm:sqref>F9:F413</xm:sqref>
        </x14:dataValidation>
        <x14:dataValidation type="list" errorStyle="warning" allowBlank="1" showErrorMessage="1" errorTitle="Invalid Entry" error="Please select a value from the list." xr:uid="{00000000-0002-0000-0500-000001000000}">
          <x14:formula1>
            <xm:f>Reference!$E$2:$E$64</xm:f>
          </x14:formula1>
          <x14:formula2>
            <xm:f>0</xm:f>
          </x14:formula2>
          <xm:sqref>G9:G413</xm:sqref>
        </x14:dataValidation>
        <x14:dataValidation type="list" errorStyle="warning" allowBlank="1" showErrorMessage="1" errorTitle="Invalid Entry" error="Please select a value from the list." xr:uid="{00000000-0002-0000-0500-000002000000}">
          <x14:formula1>
            <xm:f>Reference!$C$2:$C$13</xm:f>
          </x14:formula1>
          <x14:formula2>
            <xm:f>0</xm:f>
          </x14:formula2>
          <xm:sqref>H9:H413</xm:sqref>
        </x14:dataValidation>
        <x14:dataValidation type="list" errorStyle="warning" allowBlank="1" showErrorMessage="1" errorTitle="Invalid Entry" error="Please select a value from the list." xr:uid="{00000000-0002-0000-0500-000003000000}">
          <x14:formula1>
            <xm:f>Reference!$A$2:$A$18</xm:f>
          </x14:formula1>
          <x14:formula2>
            <xm:f>0</xm:f>
          </x14:formula2>
          <xm:sqref>K9:K413</xm:sqref>
        </x14:dataValidation>
        <x14:dataValidation type="list" errorStyle="warning" allowBlank="1" showErrorMessage="1" errorTitle="Invalid Entry" error="Please select a value from the list." xr:uid="{00000000-0002-0000-0500-000004000000}">
          <x14:formula1>
            <xm:f>Reference!$L$2:$L$10</xm:f>
          </x14:formula1>
          <x14:formula2>
            <xm:f>0</xm:f>
          </x14:formula2>
          <xm:sqref>M9:M413</xm:sqref>
        </x14:dataValidation>
      </x14:dataValidations>
    </ext>
    <ext xmlns:x14="http://schemas.microsoft.com/office/spreadsheetml/2009/9/main" uri="{CCE6A557-97BC-4B89-ADB6-D9C93CAAB3DF}">
      <x14:dataValidations xmlns:xm="http://schemas.microsoft.com/office/excel/2006/main" count="6">
        <x14:dataValidation xmlns:xr="http://schemas.microsoft.com/office/spreadsheetml/2014/revision" type="list" errorStyle="stop" allowBlank="1" showInputMessage="1" showErrorMessage="1" errorTitle="Invalid Rehire" error="Rehire Eligibility must be Yes or No." promptTitle="" prompt="" xr:uid="{00000000-0002-0000-0002-00000000}">
          <x14:formula1>
            <xm:f>Reference!$B$2:$B$3</xm:f>
          </x14:formula1>
          <xm:sqref>E9:E413</xm:sqref>
        </x14:dataValidation>
        <x14:dataValidation xmlns:xr="http://schemas.microsoft.com/office/spreadsheetml/2014/revision" type="list" errorStyle="stop" allowBlank="1" showInputMessage="1" showErrorMessage="1" errorTitle="Invalid Status" error="Status must be U (uneligible) or D (discharged)." promptTitle="" prompt="" xr:uid="{00000000-0002-0000-0002-00000001}">
          <x14:formula1>
            <xm:f>Reference!$G$2:$G$3</xm:f>
          </x14:formula1>
          <xm:sqref>F9:F413</xm:sqref>
        </x14:dataValidation>
        <x14:dataValidation xmlns:xr="http://schemas.microsoft.com/office/spreadsheetml/2014/revision" type="list" errorStyle="stop" allowBlank="1" showInputMessage="1" showErrorMessage="1" errorTitle="Invalid Location" error="Pick a location from the Reference list." promptTitle="" prompt="" xr:uid="{00000000-0002-0000-0002-00000002}">
          <x14:formula1>
            <xm:f>Reference!$E$2:$E$64</xm:f>
          </x14:formula1>
          <xm:sqref>G9:G413</xm:sqref>
        </x14:dataValidation>
        <x14:dataValidation xmlns:xr="http://schemas.microsoft.com/office/spreadsheetml/2014/revision" type="list" errorStyle="stop" allowBlank="1" showInputMessage="1" showErrorMessage="1" errorTitle="Invalid Reason" error="Pick a reason from the Reference list." promptTitle="" prompt="" xr:uid="{00000000-0002-0000-0002-00000003}">
          <x14:formula1>
            <xm:f>Reference!$C$2:$C$14</xm:f>
          </x14:formula1>
          <xm:sqref>H9:H413</xm:sqref>
        </x14:dataValidation>
        <x14:dataValidation xmlns:xr="http://schemas.microsoft.com/office/spreadsheetml/2014/revision" type="list" errorStyle="stop" allowBlank="1" showInputMessage="1" showErrorMessage="1" errorTitle="Invalid Job" error="Pick a job from the Reference list." promptTitle="" prompt="" xr:uid="{00000000-0002-0000-0002-00000004}">
          <x14:formula1>
            <xm:f>Reference!$A$2:$A$18</xm:f>
          </x14:formula1>
          <xm:sqref>K9:K413</xm:sqref>
        </x14:dataValidation>
        <x14:dataValidation xmlns:xr="http://schemas.microsoft.com/office/spreadsheetml/2014/revision" type="list" errorStyle="stop" allowBlank="1" showInputMessage="1" showErrorMessage="1" errorTitle="Invalid Department" error="Pick a department from the Reference list." promptTitle="" prompt="" xr:uid="{00000000-0002-0000-0002-00000005}">
          <x14:formula1>
            <xm:f>Reference!$L$2:$L$10</xm:f>
          </x14:formula1>
          <xm:sqref>M9:M413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86AB"/>
  </sheetPr>
  <dimension ref="A1:M414"/>
  <sheetViews>
    <sheetView zoomScaleNormal="100" workbookViewId="0">
      <pane ySplit="6" topLeftCell="A7" activePane="bottomLeft" state="frozen"/>
      <selection pane="bottomLeft" activeCell="C14" sqref="C14"/>
    </sheetView>
  </sheetViews>
  <sheetFormatPr defaultColWidth="8.7109375" defaultRowHeight="15" x14ac:dyDescent="0.25"/>
  <cols>
    <col min="1" max="1" width="26" customWidth="1"/>
    <col min="2" max="3" width="16" customWidth="1"/>
    <col min="4" max="4" width="20" customWidth="1"/>
    <col min="5" max="5" width="18" customWidth="1"/>
    <col min="6" max="6" width="10" customWidth="1"/>
    <col min="7" max="7" width="28" customWidth="1"/>
    <col min="8" max="9" width="22" customWidth="1"/>
    <col min="10" max="10" width="16" customWidth="1"/>
    <col min="11" max="11" width="18" customWidth="1"/>
    <col min="12" max="12" width="34" customWidth="1"/>
    <col min="13" max="13" width="20" customWidth="1"/>
  </cols>
  <sheetData>
    <row r="1" spans="1:13" ht="7.5" customHeight="1" x14ac:dyDescent="0.25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3" ht="31.5" customHeight="1" x14ac:dyDescent="0.25">
      <c r="A2" s="160" t="s">
        <v>890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</row>
    <row r="3" spans="1:13" ht="19.5" customHeight="1" x14ac:dyDescent="0.25">
      <c r="A3" s="164" t="s">
        <v>891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</row>
    <row r="4" spans="1:13" ht="6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27.75" customHeight="1" x14ac:dyDescent="0.25">
      <c r="A5" s="95" t="s">
        <v>147</v>
      </c>
      <c r="B5" s="96">
        <v>339</v>
      </c>
      <c r="C5" s="97"/>
      <c r="D5" s="95" t="s">
        <v>148</v>
      </c>
      <c r="E5" s="98">
        <f>B39+B73+B107+B141+B175+B209+B243+B277+B311+B345+B379+B413</f>
        <v>62</v>
      </c>
      <c r="F5" s="97"/>
      <c r="G5" s="95" t="s">
        <v>149</v>
      </c>
      <c r="H5" s="99">
        <f>IF(B5=0,0,E5/B5)</f>
        <v>0.18289085545722714</v>
      </c>
      <c r="I5" s="97"/>
      <c r="J5" s="97"/>
      <c r="K5" s="97"/>
      <c r="L5" s="97"/>
      <c r="M5" s="97"/>
    </row>
    <row r="6" spans="1:13" ht="6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21.75" customHeight="1" x14ac:dyDescent="0.25">
      <c r="A7" s="163" t="s">
        <v>892</v>
      </c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</row>
    <row r="8" spans="1:13" ht="19.5" customHeight="1" x14ac:dyDescent="0.25">
      <c r="A8" s="64" t="s">
        <v>151</v>
      </c>
      <c r="B8" s="64" t="s">
        <v>152</v>
      </c>
      <c r="C8" s="64" t="s">
        <v>153</v>
      </c>
      <c r="D8" s="64" t="s">
        <v>154</v>
      </c>
      <c r="E8" s="64" t="s">
        <v>155</v>
      </c>
      <c r="F8" s="64" t="s">
        <v>156</v>
      </c>
      <c r="G8" s="64" t="s">
        <v>157</v>
      </c>
      <c r="H8" s="64" t="s">
        <v>158</v>
      </c>
      <c r="I8" s="64" t="s">
        <v>159</v>
      </c>
      <c r="J8" s="64" t="s">
        <v>160</v>
      </c>
      <c r="K8" s="64" t="s">
        <v>134</v>
      </c>
      <c r="L8" s="64" t="s">
        <v>161</v>
      </c>
      <c r="M8" s="64" t="s">
        <v>162</v>
      </c>
    </row>
    <row r="9" spans="1:13" ht="15" customHeight="1" x14ac:dyDescent="0.25">
      <c r="A9" s="100"/>
      <c r="B9" s="101"/>
      <c r="C9" s="101"/>
      <c r="D9" s="100">
        <f>IF(OR(B9="",C9=""),"",IF(DATEDIF(C9,B9,"y")&gt;=1,DATEDIF(C9,B9,"y")&amp;IF(DATEDIF(C9,B9,"y")=1," year "," years ")&amp;DATEDIF(C9,B9,"ym")&amp;IF(DATEDIF(C9,B9,"ym")=1," month"," months"),IF(DATEDIF(C9,B9,"m")&gt;=1,DATEDIF(C9,B9,"m")&amp;IF(DATEDIF(C9,B9,"m")=1," month"," months"),DATEDIF(C9,B9,"d")&amp;IF(DATEDIF(C9,B9,"d")=1," day"," days"))))</f>
      </c>
      <c r="E9" s="100"/>
      <c r="F9" s="100"/>
      <c r="G9" s="100"/>
      <c r="H9" s="100"/>
      <c r="I9" s="100"/>
      <c r="J9" s="101"/>
      <c r="K9" s="100"/>
      <c r="L9" s="100"/>
      <c r="M9" s="102" t="str">
        <f>IFERROR(VLOOKUP(G9,Reference!$I$2:$J$175,2,FALSE()),"Operations")</f>
        <v>Operations</v>
      </c>
    </row>
    <row r="10" spans="1:13" ht="15" customHeight="1" x14ac:dyDescent="0.25">
      <c r="A10" s="103"/>
      <c r="B10" s="104"/>
      <c r="C10" s="104"/>
      <c r="D10" s="103">
        <f>IF(OR(B10="",C10=""),"",IF(DATEDIF(C10,B10,"y")&gt;=1,DATEDIF(C10,B10,"y")&amp;IF(DATEDIF(C10,B10,"y")=1," year "," years ")&amp;DATEDIF(C10,B10,"ym")&amp;IF(DATEDIF(C10,B10,"ym")=1," month"," months"),IF(DATEDIF(C10,B10,"m")&gt;=1,DATEDIF(C10,B10,"m")&amp;IF(DATEDIF(C10,B10,"m")=1," month"," months"),DATEDIF(C10,B10,"d")&amp;IF(DATEDIF(C10,B10,"d")=1," day"," days"))))</f>
      </c>
      <c r="E10" s="103"/>
      <c r="F10" s="103"/>
      <c r="G10" s="103"/>
      <c r="H10" s="103"/>
      <c r="I10" s="103"/>
      <c r="J10" s="104"/>
      <c r="K10" s="103"/>
      <c r="L10" s="103"/>
      <c r="M10" s="105" t="str">
        <f>IFERROR(VLOOKUP(G10,Reference!$I$2:$J$175,2,FALSE()),"Operations")</f>
        <v>Operations</v>
      </c>
    </row>
    <row r="11" spans="1:13" ht="15" customHeight="1" x14ac:dyDescent="0.25">
      <c r="A11" s="100"/>
      <c r="B11" s="101"/>
      <c r="C11" s="101"/>
      <c r="D11" s="100">
        <f>IF(OR(B11="",C11=""),"",IF(DATEDIF(C11,B11,"y")&gt;=1,DATEDIF(C11,B11,"y")&amp;IF(DATEDIF(C11,B11,"y")=1," year "," years ")&amp;DATEDIF(C11,B11,"ym")&amp;IF(DATEDIF(C11,B11,"ym")=1," month"," months"),IF(DATEDIF(C11,B11,"m")&gt;=1,DATEDIF(C11,B11,"m")&amp;IF(DATEDIF(C11,B11,"m")=1," month"," months"),DATEDIF(C11,B11,"d")&amp;IF(DATEDIF(C11,B11,"d")=1," day"," days"))))</f>
      </c>
      <c r="E11" s="100"/>
      <c r="F11" s="100"/>
      <c r="G11" s="100"/>
      <c r="H11" s="100"/>
      <c r="I11" s="100"/>
      <c r="J11" s="101"/>
      <c r="K11" s="100"/>
      <c r="L11" s="100"/>
      <c r="M11" s="102" t="str">
        <f>IFERROR(VLOOKUP(G11,Reference!$I$2:$J$175,2,FALSE()),"Operations")</f>
        <v>Operations</v>
      </c>
    </row>
    <row r="12" spans="1:13" ht="15" customHeight="1" x14ac:dyDescent="0.25">
      <c r="A12" s="103"/>
      <c r="B12" s="104"/>
      <c r="C12" s="104"/>
      <c r="D12" s="103">
        <f>IF(OR(B12="",C12=""),"",IF(DATEDIF(C12,B12,"y")&gt;=1,DATEDIF(C12,B12,"y")&amp;IF(DATEDIF(C12,B12,"y")=1," year "," years ")&amp;DATEDIF(C12,B12,"ym")&amp;IF(DATEDIF(C12,B12,"ym")=1," month"," months"),IF(DATEDIF(C12,B12,"m")&gt;=1,DATEDIF(C12,B12,"m")&amp;IF(DATEDIF(C12,B12,"m")=1," month"," months"),DATEDIF(C12,B12,"d")&amp;IF(DATEDIF(C12,B12,"d")=1," day"," days"))))</f>
      </c>
      <c r="E12" s="103"/>
      <c r="F12" s="103"/>
      <c r="G12" s="103"/>
      <c r="H12" s="103"/>
      <c r="I12" s="103"/>
      <c r="J12" s="104"/>
      <c r="K12" s="103"/>
      <c r="L12" s="103"/>
      <c r="M12" s="105" t="str">
        <f>IFERROR(VLOOKUP(G12,Reference!$I$2:$J$175,2,FALSE()),"Operations")</f>
        <v>Operations</v>
      </c>
    </row>
    <row r="13" spans="1:13" ht="15" customHeight="1" x14ac:dyDescent="0.25">
      <c r="A13" s="100"/>
      <c r="B13" s="101"/>
      <c r="C13" s="101"/>
      <c r="D13" s="100">
        <f>IF(OR(B13="",C13=""),"",IF(DATEDIF(C13,B13,"y")&gt;=1,DATEDIF(C13,B13,"y")&amp;IF(DATEDIF(C13,B13,"y")=1," year "," years ")&amp;DATEDIF(C13,B13,"ym")&amp;IF(DATEDIF(C13,B13,"ym")=1," month"," months"),IF(DATEDIF(C13,B13,"m")&gt;=1,DATEDIF(C13,B13,"m")&amp;IF(DATEDIF(C13,B13,"m")=1," month"," months"),DATEDIF(C13,B13,"d")&amp;IF(DATEDIF(C13,B13,"d")=1," day"," days"))))</f>
      </c>
      <c r="E13" s="100"/>
      <c r="F13" s="100"/>
      <c r="G13" s="100"/>
      <c r="H13" s="100"/>
      <c r="I13" s="100"/>
      <c r="J13" s="101"/>
      <c r="K13" s="100"/>
      <c r="L13" s="100"/>
      <c r="M13" s="102" t="str">
        <f>IFERROR(VLOOKUP(G13,Reference!$I$2:$J$175,2,FALSE()),"Operations")</f>
        <v>Operations</v>
      </c>
    </row>
    <row r="14" spans="1:13" ht="15" customHeight="1" x14ac:dyDescent="0.25">
      <c r="A14" s="103"/>
      <c r="B14" s="104"/>
      <c r="C14" s="104"/>
      <c r="D14" s="103">
        <f>IF(OR(B14="",C14=""),"",IF(DATEDIF(C14,B14,"y")&gt;=1,DATEDIF(C14,B14,"y")&amp;IF(DATEDIF(C14,B14,"y")=1," year "," years ")&amp;DATEDIF(C14,B14,"ym")&amp;IF(DATEDIF(C14,B14,"ym")=1," month"," months"),IF(DATEDIF(C14,B14,"m")&gt;=1,DATEDIF(C14,B14,"m")&amp;IF(DATEDIF(C14,B14,"m")=1," month"," months"),DATEDIF(C14,B14,"d")&amp;IF(DATEDIF(C14,B14,"d")=1," day"," days"))))</f>
      </c>
      <c r="E14" s="103"/>
      <c r="F14" s="103"/>
      <c r="G14" s="103"/>
      <c r="H14" s="103"/>
      <c r="I14" s="103"/>
      <c r="J14" s="104"/>
      <c r="K14" s="103"/>
      <c r="L14" s="103"/>
      <c r="M14" s="105" t="str">
        <f>IFERROR(VLOOKUP(G14,Reference!$I$2:$J$175,2,FALSE()),"Operations")</f>
        <v>Operations</v>
      </c>
    </row>
    <row r="15" spans="1:13" ht="15" customHeight="1" x14ac:dyDescent="0.25">
      <c r="A15" s="100"/>
      <c r="B15" s="101"/>
      <c r="C15" s="101"/>
      <c r="D15" s="100">
        <f>IF(OR(B15="",C15=""),"",IF(DATEDIF(C15,B15,"y")&gt;=1,DATEDIF(C15,B15,"y")&amp;IF(DATEDIF(C15,B15,"y")=1," year "," years ")&amp;DATEDIF(C15,B15,"ym")&amp;IF(DATEDIF(C15,B15,"ym")=1," month"," months"),IF(DATEDIF(C15,B15,"m")&gt;=1,DATEDIF(C15,B15,"m")&amp;IF(DATEDIF(C15,B15,"m")=1," month"," months"),DATEDIF(C15,B15,"d")&amp;IF(DATEDIF(C15,B15,"d")=1," day"," days"))))</f>
      </c>
      <c r="E15" s="100"/>
      <c r="F15" s="100"/>
      <c r="G15" s="100"/>
      <c r="H15" s="100"/>
      <c r="I15" s="100"/>
      <c r="J15" s="101"/>
      <c r="K15" s="100"/>
      <c r="L15" s="100"/>
      <c r="M15" s="102" t="str">
        <f>IFERROR(VLOOKUP(G15,Reference!$I$2:$J$175,2,FALSE()),"Operations")</f>
        <v>Operations</v>
      </c>
    </row>
    <row r="16" spans="1:13" ht="15" customHeight="1" x14ac:dyDescent="0.25">
      <c r="A16" s="103"/>
      <c r="B16" s="104"/>
      <c r="C16" s="104"/>
      <c r="D16" s="103">
        <f>IF(OR(B16="",C16=""),"",IF(DATEDIF(C16,B16,"y")&gt;=1,DATEDIF(C16,B16,"y")&amp;IF(DATEDIF(C16,B16,"y")=1," year "," years ")&amp;DATEDIF(C16,B16,"ym")&amp;IF(DATEDIF(C16,B16,"ym")=1," month"," months"),IF(DATEDIF(C16,B16,"m")&gt;=1,DATEDIF(C16,B16,"m")&amp;IF(DATEDIF(C16,B16,"m")=1," month"," months"),DATEDIF(C16,B16,"d")&amp;IF(DATEDIF(C16,B16,"d")=1," day"," days"))))</f>
      </c>
      <c r="E16" s="103"/>
      <c r="F16" s="103"/>
      <c r="G16" s="103"/>
      <c r="H16" s="103"/>
      <c r="I16" s="103"/>
      <c r="J16" s="104"/>
      <c r="K16" s="103"/>
      <c r="L16" s="103"/>
      <c r="M16" s="105" t="str">
        <f>IFERROR(VLOOKUP(G16,Reference!$I$2:$J$175,2,FALSE()),"Operations")</f>
        <v>Operations</v>
      </c>
    </row>
    <row r="17" spans="1:13" ht="15" customHeight="1" x14ac:dyDescent="0.25">
      <c r="A17" s="100"/>
      <c r="B17" s="101"/>
      <c r="C17" s="101"/>
      <c r="D17" s="100">
        <f>IF(OR(B17="",C17=""),"",IF(DATEDIF(C17,B17,"y")&gt;=1,DATEDIF(C17,B17,"y")&amp;IF(DATEDIF(C17,B17,"y")=1," year "," years ")&amp;DATEDIF(C17,B17,"ym")&amp;IF(DATEDIF(C17,B17,"ym")=1," month"," months"),IF(DATEDIF(C17,B17,"m")&gt;=1,DATEDIF(C17,B17,"m")&amp;IF(DATEDIF(C17,B17,"m")=1," month"," months"),DATEDIF(C17,B17,"d")&amp;IF(DATEDIF(C17,B17,"d")=1," day"," days"))))</f>
      </c>
      <c r="E17" s="100"/>
      <c r="F17" s="100"/>
      <c r="G17" s="100"/>
      <c r="H17" s="100"/>
      <c r="I17" s="100"/>
      <c r="J17" s="101"/>
      <c r="K17" s="100"/>
      <c r="L17" s="100"/>
      <c r="M17" s="102" t="str">
        <f>IFERROR(VLOOKUP(G17,Reference!$I$2:$J$175,2,FALSE()),"Operations")</f>
        <v>Operations</v>
      </c>
    </row>
    <row r="18" spans="1:13" ht="15" customHeight="1" x14ac:dyDescent="0.25">
      <c r="A18" s="103"/>
      <c r="B18" s="104"/>
      <c r="C18" s="104"/>
      <c r="D18" s="103">
        <f>IF(OR(B18="",C18=""),"",IF(DATEDIF(C18,B18,"y")&gt;=1,DATEDIF(C18,B18,"y")&amp;IF(DATEDIF(C18,B18,"y")=1," year "," years ")&amp;DATEDIF(C18,B18,"ym")&amp;IF(DATEDIF(C18,B18,"ym")=1," month"," months"),IF(DATEDIF(C18,B18,"m")&gt;=1,DATEDIF(C18,B18,"m")&amp;IF(DATEDIF(C18,B18,"m")=1," month"," months"),DATEDIF(C18,B18,"d")&amp;IF(DATEDIF(C18,B18,"d")=1," day"," days"))))</f>
      </c>
      <c r="E18" s="103"/>
      <c r="F18" s="103"/>
      <c r="G18" s="103"/>
      <c r="H18" s="103"/>
      <c r="I18" s="103"/>
      <c r="J18" s="104"/>
      <c r="K18" s="103"/>
      <c r="L18" s="103"/>
      <c r="M18" s="105" t="str">
        <f>IFERROR(VLOOKUP(G18,Reference!$I$2:$J$175,2,FALSE()),"Operations")</f>
        <v>Operations</v>
      </c>
    </row>
    <row r="19" spans="1:13" ht="15" customHeight="1" x14ac:dyDescent="0.25">
      <c r="A19" s="100"/>
      <c r="B19" s="101"/>
      <c r="C19" s="101"/>
      <c r="D19" s="100">
        <f>IF(OR(B19="",C19=""),"",IF(DATEDIF(C19,B19,"y")&gt;=1,DATEDIF(C19,B19,"y")&amp;IF(DATEDIF(C19,B19,"y")=1," year "," years ")&amp;DATEDIF(C19,B19,"ym")&amp;IF(DATEDIF(C19,B19,"ym")=1," month"," months"),IF(DATEDIF(C19,B19,"m")&gt;=1,DATEDIF(C19,B19,"m")&amp;IF(DATEDIF(C19,B19,"m")=1," month"," months"),DATEDIF(C19,B19,"d")&amp;IF(DATEDIF(C19,B19,"d")=1," day"," days"))))</f>
      </c>
      <c r="E19" s="100"/>
      <c r="F19" s="100"/>
      <c r="G19" s="100"/>
      <c r="H19" s="100"/>
      <c r="I19" s="100"/>
      <c r="J19" s="101"/>
      <c r="K19" s="100"/>
      <c r="L19" s="100"/>
      <c r="M19" s="102" t="str">
        <f>IFERROR(VLOOKUP(G19,Reference!$I$2:$J$175,2,FALSE()),"Operations")</f>
        <v>Operations</v>
      </c>
    </row>
    <row r="20" spans="1:13" ht="15" customHeight="1" x14ac:dyDescent="0.25">
      <c r="A20" s="103"/>
      <c r="B20" s="104"/>
      <c r="C20" s="104"/>
      <c r="D20" s="103">
        <f>IF(OR(B20="",C20=""),"",IF(DATEDIF(C20,B20,"y")&gt;=1,DATEDIF(C20,B20,"y")&amp;IF(DATEDIF(C20,B20,"y")=1," year "," years ")&amp;DATEDIF(C20,B20,"ym")&amp;IF(DATEDIF(C20,B20,"ym")=1," month"," months"),IF(DATEDIF(C20,B20,"m")&gt;=1,DATEDIF(C20,B20,"m")&amp;IF(DATEDIF(C20,B20,"m")=1," month"," months"),DATEDIF(C20,B20,"d")&amp;IF(DATEDIF(C20,B20,"d")=1," day"," days"))))</f>
      </c>
      <c r="E20" s="103"/>
      <c r="F20" s="103"/>
      <c r="G20" s="103"/>
      <c r="H20" s="103"/>
      <c r="I20" s="103"/>
      <c r="J20" s="104"/>
      <c r="K20" s="103"/>
      <c r="L20" s="103"/>
      <c r="M20" s="105" t="str">
        <f>IFERROR(VLOOKUP(G20,Reference!$I$2:$J$175,2,FALSE()),"Operations")</f>
        <v>Operations</v>
      </c>
    </row>
    <row r="21" spans="1:13" ht="15" customHeight="1" x14ac:dyDescent="0.25">
      <c r="A21" s="100"/>
      <c r="B21" s="101"/>
      <c r="C21" s="101"/>
      <c r="D21" s="100">
        <f>IF(OR(B21="",C21=""),"",IF(DATEDIF(C21,B21,"y")&gt;=1,DATEDIF(C21,B21,"y")&amp;IF(DATEDIF(C21,B21,"y")=1," year "," years ")&amp;DATEDIF(C21,B21,"ym")&amp;IF(DATEDIF(C21,B21,"ym")=1," month"," months"),IF(DATEDIF(C21,B21,"m")&gt;=1,DATEDIF(C21,B21,"m")&amp;IF(DATEDIF(C21,B21,"m")=1," month"," months"),DATEDIF(C21,B21,"d")&amp;IF(DATEDIF(C21,B21,"d")=1," day"," days"))))</f>
      </c>
      <c r="E21" s="100"/>
      <c r="F21" s="100"/>
      <c r="G21" s="100"/>
      <c r="H21" s="100"/>
      <c r="I21" s="100"/>
      <c r="J21" s="101"/>
      <c r="K21" s="100"/>
      <c r="L21" s="100"/>
      <c r="M21" s="102" t="str">
        <f>IFERROR(VLOOKUP(G21,Reference!$I$2:$J$175,2,FALSE()),"Operations")</f>
        <v>Operations</v>
      </c>
    </row>
    <row r="22" spans="1:13" ht="15" customHeight="1" x14ac:dyDescent="0.25">
      <c r="A22" s="103"/>
      <c r="B22" s="104"/>
      <c r="C22" s="104"/>
      <c r="D22" s="103">
        <f>IF(OR(B22="",C22=""),"",IF(DATEDIF(C22,B22,"y")&gt;=1,DATEDIF(C22,B22,"y")&amp;IF(DATEDIF(C22,B22,"y")=1," year "," years ")&amp;DATEDIF(C22,B22,"ym")&amp;IF(DATEDIF(C22,B22,"ym")=1," month"," months"),IF(DATEDIF(C22,B22,"m")&gt;=1,DATEDIF(C22,B22,"m")&amp;IF(DATEDIF(C22,B22,"m")=1," month"," months"),DATEDIF(C22,B22,"d")&amp;IF(DATEDIF(C22,B22,"d")=1," day"," days"))))</f>
      </c>
      <c r="E22" s="103"/>
      <c r="F22" s="103"/>
      <c r="G22" s="103"/>
      <c r="H22" s="103"/>
      <c r="I22" s="103"/>
      <c r="J22" s="104"/>
      <c r="K22" s="103"/>
      <c r="L22" s="103"/>
      <c r="M22" s="105" t="str">
        <f>IFERROR(VLOOKUP(G22,Reference!$I$2:$J$175,2,FALSE()),"Operations")</f>
        <v>Operations</v>
      </c>
    </row>
    <row r="23" spans="1:13" ht="15" customHeight="1" x14ac:dyDescent="0.25">
      <c r="A23" s="100"/>
      <c r="B23" s="101"/>
      <c r="C23" s="101"/>
      <c r="D23" s="100">
        <f>IF(OR(B23="",C23=""),"",IF(DATEDIF(C23,B23,"y")&gt;=1,DATEDIF(C23,B23,"y")&amp;IF(DATEDIF(C23,B23,"y")=1," year "," years ")&amp;DATEDIF(C23,B23,"ym")&amp;IF(DATEDIF(C23,B23,"ym")=1," month"," months"),IF(DATEDIF(C23,B23,"m")&gt;=1,DATEDIF(C23,B23,"m")&amp;IF(DATEDIF(C23,B23,"m")=1," month"," months"),DATEDIF(C23,B23,"d")&amp;IF(DATEDIF(C23,B23,"d")=1," day"," days"))))</f>
      </c>
      <c r="E23" s="100"/>
      <c r="F23" s="100"/>
      <c r="G23" s="100"/>
      <c r="H23" s="100"/>
      <c r="I23" s="100"/>
      <c r="J23" s="101"/>
      <c r="K23" s="100"/>
      <c r="L23" s="100"/>
      <c r="M23" s="102" t="str">
        <f>IFERROR(VLOOKUP(G23,Reference!$I$2:$J$175,2,FALSE()),"Operations")</f>
        <v>Operations</v>
      </c>
    </row>
    <row r="24" spans="1:13" ht="15" customHeight="1" x14ac:dyDescent="0.25">
      <c r="A24" s="103"/>
      <c r="B24" s="104"/>
      <c r="C24" s="104"/>
      <c r="D24" s="103">
        <f>IF(OR(B24="",C24=""),"",IF(DATEDIF(C24,B24,"y")&gt;=1,DATEDIF(C24,B24,"y")&amp;IF(DATEDIF(C24,B24,"y")=1," year "," years ")&amp;DATEDIF(C24,B24,"ym")&amp;IF(DATEDIF(C24,B24,"ym")=1," month"," months"),IF(DATEDIF(C24,B24,"m")&gt;=1,DATEDIF(C24,B24,"m")&amp;IF(DATEDIF(C24,B24,"m")=1," month"," months"),DATEDIF(C24,B24,"d")&amp;IF(DATEDIF(C24,B24,"d")=1," day"," days"))))</f>
      </c>
      <c r="E24" s="103"/>
      <c r="F24" s="103"/>
      <c r="G24" s="103"/>
      <c r="H24" s="103"/>
      <c r="I24" s="103"/>
      <c r="J24" s="104"/>
      <c r="K24" s="103"/>
      <c r="L24" s="103"/>
      <c r="M24" s="105" t="str">
        <f>IFERROR(VLOOKUP(G24,Reference!$I$2:$J$175,2,FALSE()),"Operations")</f>
        <v>Operations</v>
      </c>
    </row>
    <row r="25" spans="1:13" ht="15" customHeight="1" x14ac:dyDescent="0.25">
      <c r="A25" s="100"/>
      <c r="B25" s="101"/>
      <c r="C25" s="101"/>
      <c r="D25" s="100">
        <f>IF(OR(B25="",C25=""),"",IF(DATEDIF(C25,B25,"y")&gt;=1,DATEDIF(C25,B25,"y")&amp;IF(DATEDIF(C25,B25,"y")=1," year "," years ")&amp;DATEDIF(C25,B25,"ym")&amp;IF(DATEDIF(C25,B25,"ym")=1," month"," months"),IF(DATEDIF(C25,B25,"m")&gt;=1,DATEDIF(C25,B25,"m")&amp;IF(DATEDIF(C25,B25,"m")=1," month"," months"),DATEDIF(C25,B25,"d")&amp;IF(DATEDIF(C25,B25,"d")=1," day"," days"))))</f>
      </c>
      <c r="E25" s="100"/>
      <c r="F25" s="100"/>
      <c r="G25" s="100"/>
      <c r="H25" s="100"/>
      <c r="I25" s="100"/>
      <c r="J25" s="101"/>
      <c r="K25" s="100"/>
      <c r="L25" s="100"/>
      <c r="M25" s="102" t="str">
        <f>IFERROR(VLOOKUP(G25,Reference!$I$2:$J$175,2,FALSE()),"Operations")</f>
        <v>Operations</v>
      </c>
    </row>
    <row r="26" spans="1:13" ht="15" customHeight="1" x14ac:dyDescent="0.25">
      <c r="A26" s="103"/>
      <c r="B26" s="104"/>
      <c r="C26" s="104"/>
      <c r="D26" s="103">
        <f>IF(OR(B26="",C26=""),"",IF(DATEDIF(C26,B26,"y")&gt;=1,DATEDIF(C26,B26,"y")&amp;IF(DATEDIF(C26,B26,"y")=1," year "," years ")&amp;DATEDIF(C26,B26,"ym")&amp;IF(DATEDIF(C26,B26,"ym")=1," month"," months"),IF(DATEDIF(C26,B26,"m")&gt;=1,DATEDIF(C26,B26,"m")&amp;IF(DATEDIF(C26,B26,"m")=1," month"," months"),DATEDIF(C26,B26,"d")&amp;IF(DATEDIF(C26,B26,"d")=1," day"," days"))))</f>
      </c>
      <c r="E26" s="103"/>
      <c r="F26" s="103"/>
      <c r="G26" s="103"/>
      <c r="H26" s="103"/>
      <c r="I26" s="103"/>
      <c r="J26" s="104"/>
      <c r="K26" s="103"/>
      <c r="L26" s="103"/>
      <c r="M26" s="105" t="str">
        <f>IFERROR(VLOOKUP(G26,Reference!$I$2:$J$175,2,FALSE()),"Operations")</f>
        <v>Operations</v>
      </c>
    </row>
    <row r="27" spans="1:13" ht="15" customHeight="1" x14ac:dyDescent="0.25">
      <c r="A27" s="100"/>
      <c r="B27" s="101"/>
      <c r="C27" s="101"/>
      <c r="D27" s="100">
        <f>IF(OR(B27="",C27=""),"",IF(DATEDIF(C27,B27,"y")&gt;=1,DATEDIF(C27,B27,"y")&amp;IF(DATEDIF(C27,B27,"y")=1," year "," years ")&amp;DATEDIF(C27,B27,"ym")&amp;IF(DATEDIF(C27,B27,"ym")=1," month"," months"),IF(DATEDIF(C27,B27,"m")&gt;=1,DATEDIF(C27,B27,"m")&amp;IF(DATEDIF(C27,B27,"m")=1," month"," months"),DATEDIF(C27,B27,"d")&amp;IF(DATEDIF(C27,B27,"d")=1," day"," days"))))</f>
      </c>
      <c r="E27" s="100"/>
      <c r="F27" s="100"/>
      <c r="G27" s="100"/>
      <c r="H27" s="100"/>
      <c r="I27" s="100"/>
      <c r="J27" s="101"/>
      <c r="K27" s="100"/>
      <c r="L27" s="100"/>
      <c r="M27" s="102" t="str">
        <f>IFERROR(VLOOKUP(G27,Reference!$I$2:$J$175,2,FALSE()),"Operations")</f>
        <v>Operations</v>
      </c>
    </row>
    <row r="28" spans="1:13" ht="15" customHeight="1" x14ac:dyDescent="0.25">
      <c r="A28" s="103"/>
      <c r="B28" s="104"/>
      <c r="C28" s="104"/>
      <c r="D28" s="103">
        <f>IF(OR(B28="",C28=""),"",IF(DATEDIF(C28,B28,"y")&gt;=1,DATEDIF(C28,B28,"y")&amp;IF(DATEDIF(C28,B28,"y")=1," year "," years ")&amp;DATEDIF(C28,B28,"ym")&amp;IF(DATEDIF(C28,B28,"ym")=1," month"," months"),IF(DATEDIF(C28,B28,"m")&gt;=1,DATEDIF(C28,B28,"m")&amp;IF(DATEDIF(C28,B28,"m")=1," month"," months"),DATEDIF(C28,B28,"d")&amp;IF(DATEDIF(C28,B28,"d")=1," day"," days"))))</f>
      </c>
      <c r="E28" s="103"/>
      <c r="F28" s="103"/>
      <c r="G28" s="103"/>
      <c r="H28" s="103"/>
      <c r="I28" s="103"/>
      <c r="J28" s="104"/>
      <c r="K28" s="103"/>
      <c r="L28" s="103"/>
      <c r="M28" s="105" t="str">
        <f>IFERROR(VLOOKUP(G28,Reference!$I$2:$J$175,2,FALSE()),"Operations")</f>
        <v>Operations</v>
      </c>
    </row>
    <row r="29" spans="1:13" ht="15" customHeight="1" x14ac:dyDescent="0.25">
      <c r="A29" s="100"/>
      <c r="B29" s="101"/>
      <c r="C29" s="101"/>
      <c r="D29" s="100">
        <f>IF(OR(B29="",C29=""),"",IF(DATEDIF(C29,B29,"y")&gt;=1,DATEDIF(C29,B29,"y")&amp;IF(DATEDIF(C29,B29,"y")=1," year "," years ")&amp;DATEDIF(C29,B29,"ym")&amp;IF(DATEDIF(C29,B29,"ym")=1," month"," months"),IF(DATEDIF(C29,B29,"m")&gt;=1,DATEDIF(C29,B29,"m")&amp;IF(DATEDIF(C29,B29,"m")=1," month"," months"),DATEDIF(C29,B29,"d")&amp;IF(DATEDIF(C29,B29,"d")=1," day"," days"))))</f>
      </c>
      <c r="E29" s="100"/>
      <c r="F29" s="100"/>
      <c r="G29" s="100"/>
      <c r="H29" s="100"/>
      <c r="I29" s="100"/>
      <c r="J29" s="101"/>
      <c r="K29" s="100"/>
      <c r="L29" s="100"/>
      <c r="M29" s="102" t="str">
        <f>IFERROR(VLOOKUP(G29,Reference!$I$2:$J$175,2,FALSE()),"Operations")</f>
        <v>Operations</v>
      </c>
    </row>
    <row r="30" spans="1:13" ht="15" customHeight="1" x14ac:dyDescent="0.25">
      <c r="A30" s="103"/>
      <c r="B30" s="104"/>
      <c r="C30" s="104"/>
      <c r="D30" s="103">
        <f>IF(OR(B30="",C30=""),"",IF(DATEDIF(C30,B30,"y")&gt;=1,DATEDIF(C30,B30,"y")&amp;IF(DATEDIF(C30,B30,"y")=1," year "," years ")&amp;DATEDIF(C30,B30,"ym")&amp;IF(DATEDIF(C30,B30,"ym")=1," month"," months"),IF(DATEDIF(C30,B30,"m")&gt;=1,DATEDIF(C30,B30,"m")&amp;IF(DATEDIF(C30,B30,"m")=1," month"," months"),DATEDIF(C30,B30,"d")&amp;IF(DATEDIF(C30,B30,"d")=1," day"," days"))))</f>
      </c>
      <c r="E30" s="103"/>
      <c r="F30" s="103"/>
      <c r="G30" s="103"/>
      <c r="H30" s="103"/>
      <c r="I30" s="103"/>
      <c r="J30" s="104"/>
      <c r="K30" s="103"/>
      <c r="L30" s="103"/>
      <c r="M30" s="105" t="str">
        <f>IFERROR(VLOOKUP(G30,Reference!$I$2:$J$175,2,FALSE()),"Operations")</f>
        <v>Operations</v>
      </c>
    </row>
    <row r="31" spans="1:13" ht="15" customHeight="1" x14ac:dyDescent="0.25">
      <c r="A31" s="100"/>
      <c r="B31" s="101"/>
      <c r="C31" s="101"/>
      <c r="D31" s="100">
        <f>IF(OR(B31="",C31=""),"",IF(DATEDIF(C31,B31,"y")&gt;=1,DATEDIF(C31,B31,"y")&amp;IF(DATEDIF(C31,B31,"y")=1," year "," years ")&amp;DATEDIF(C31,B31,"ym")&amp;IF(DATEDIF(C31,B31,"ym")=1," month"," months"),IF(DATEDIF(C31,B31,"m")&gt;=1,DATEDIF(C31,B31,"m")&amp;IF(DATEDIF(C31,B31,"m")=1," month"," months"),DATEDIF(C31,B31,"d")&amp;IF(DATEDIF(C31,B31,"d")=1," day"," days"))))</f>
      </c>
      <c r="E31" s="100"/>
      <c r="F31" s="100"/>
      <c r="G31" s="100"/>
      <c r="H31" s="100"/>
      <c r="I31" s="100"/>
      <c r="J31" s="101"/>
      <c r="K31" s="100"/>
      <c r="L31" s="100"/>
      <c r="M31" s="102" t="str">
        <f>IFERROR(VLOOKUP(G31,Reference!$I$2:$J$175,2,FALSE()),"Operations")</f>
        <v>Operations</v>
      </c>
    </row>
    <row r="32" spans="1:13" ht="15" customHeight="1" x14ac:dyDescent="0.25">
      <c r="A32" s="103"/>
      <c r="B32" s="104"/>
      <c r="C32" s="104"/>
      <c r="D32" s="103">
        <f>IF(OR(B32="",C32=""),"",IF(DATEDIF(C32,B32,"y")&gt;=1,DATEDIF(C32,B32,"y")&amp;IF(DATEDIF(C32,B32,"y")=1," year "," years ")&amp;DATEDIF(C32,B32,"ym")&amp;IF(DATEDIF(C32,B32,"ym")=1," month"," months"),IF(DATEDIF(C32,B32,"m")&gt;=1,DATEDIF(C32,B32,"m")&amp;IF(DATEDIF(C32,B32,"m")=1," month"," months"),DATEDIF(C32,B32,"d")&amp;IF(DATEDIF(C32,B32,"d")=1," day"," days"))))</f>
      </c>
      <c r="E32" s="103"/>
      <c r="F32" s="103"/>
      <c r="G32" s="103"/>
      <c r="H32" s="103"/>
      <c r="I32" s="103"/>
      <c r="J32" s="104"/>
      <c r="K32" s="103"/>
      <c r="L32" s="103"/>
      <c r="M32" s="105" t="str">
        <f>IFERROR(VLOOKUP(G32,Reference!$I$2:$J$175,2,FALSE()),"Operations")</f>
        <v>Operations</v>
      </c>
    </row>
    <row r="33" spans="1:13" ht="15" customHeight="1" x14ac:dyDescent="0.25">
      <c r="A33" s="100"/>
      <c r="B33" s="101"/>
      <c r="C33" s="101"/>
      <c r="D33" s="100">
        <f>IF(OR(B33="",C33=""),"",IF(DATEDIF(C33,B33,"y")&gt;=1,DATEDIF(C33,B33,"y")&amp;IF(DATEDIF(C33,B33,"y")=1," year "," years ")&amp;DATEDIF(C33,B33,"ym")&amp;IF(DATEDIF(C33,B33,"ym")=1," month"," months"),IF(DATEDIF(C33,B33,"m")&gt;=1,DATEDIF(C33,B33,"m")&amp;IF(DATEDIF(C33,B33,"m")=1," month"," months"),DATEDIF(C33,B33,"d")&amp;IF(DATEDIF(C33,B33,"d")=1," day"," days"))))</f>
      </c>
      <c r="E33" s="100"/>
      <c r="F33" s="100"/>
      <c r="G33" s="100"/>
      <c r="H33" s="100"/>
      <c r="I33" s="100"/>
      <c r="J33" s="101"/>
      <c r="K33" s="100"/>
      <c r="L33" s="100"/>
      <c r="M33" s="102" t="str">
        <f>IFERROR(VLOOKUP(G33,Reference!$I$2:$J$175,2,FALSE()),"Operations")</f>
        <v>Operations</v>
      </c>
    </row>
    <row r="34" spans="1:13" ht="15" customHeight="1" x14ac:dyDescent="0.25">
      <c r="A34" s="103"/>
      <c r="B34" s="104"/>
      <c r="C34" s="104"/>
      <c r="D34" s="103">
        <f>IF(OR(B34="",C34=""),"",IF(DATEDIF(C34,B34,"y")&gt;=1,DATEDIF(C34,B34,"y")&amp;IF(DATEDIF(C34,B34,"y")=1," year "," years ")&amp;DATEDIF(C34,B34,"ym")&amp;IF(DATEDIF(C34,B34,"ym")=1," month"," months"),IF(DATEDIF(C34,B34,"m")&gt;=1,DATEDIF(C34,B34,"m")&amp;IF(DATEDIF(C34,B34,"m")=1," month"," months"),DATEDIF(C34,B34,"d")&amp;IF(DATEDIF(C34,B34,"d")=1," day"," days"))))</f>
      </c>
      <c r="E34" s="103"/>
      <c r="F34" s="103"/>
      <c r="G34" s="103"/>
      <c r="H34" s="103"/>
      <c r="I34" s="103"/>
      <c r="J34" s="104"/>
      <c r="K34" s="103"/>
      <c r="L34" s="103"/>
      <c r="M34" s="105" t="str">
        <f>IFERROR(VLOOKUP(G34,Reference!$I$2:$J$175,2,FALSE()),"Operations")</f>
        <v>Operations</v>
      </c>
    </row>
    <row r="35" spans="1:13" ht="15" customHeight="1" x14ac:dyDescent="0.25">
      <c r="A35" s="100"/>
      <c r="B35" s="101"/>
      <c r="C35" s="101"/>
      <c r="D35" s="100">
        <f>IF(OR(B35="",C35=""),"",IF(DATEDIF(C35,B35,"y")&gt;=1,DATEDIF(C35,B35,"y")&amp;IF(DATEDIF(C35,B35,"y")=1," year "," years ")&amp;DATEDIF(C35,B35,"ym")&amp;IF(DATEDIF(C35,B35,"ym")=1," month"," months"),IF(DATEDIF(C35,B35,"m")&gt;=1,DATEDIF(C35,B35,"m")&amp;IF(DATEDIF(C35,B35,"m")=1," month"," months"),DATEDIF(C35,B35,"d")&amp;IF(DATEDIF(C35,B35,"d")=1," day"," days"))))</f>
      </c>
      <c r="E35" s="100"/>
      <c r="F35" s="100"/>
      <c r="G35" s="100"/>
      <c r="H35" s="100"/>
      <c r="I35" s="100"/>
      <c r="J35" s="101"/>
      <c r="K35" s="100"/>
      <c r="L35" s="100"/>
      <c r="M35" s="102" t="str">
        <f>IFERROR(VLOOKUP(G35,Reference!$I$2:$J$175,2,FALSE()),"Operations")</f>
        <v>Operations</v>
      </c>
    </row>
    <row r="36" spans="1:13" ht="15" customHeight="1" x14ac:dyDescent="0.25">
      <c r="A36" s="103"/>
      <c r="B36" s="104"/>
      <c r="C36" s="104"/>
      <c r="D36" s="103">
        <f>IF(OR(B36="",C36=""),"",IF(DATEDIF(C36,B36,"y")&gt;=1,DATEDIF(C36,B36,"y")&amp;IF(DATEDIF(C36,B36,"y")=1," year "," years ")&amp;DATEDIF(C36,B36,"ym")&amp;IF(DATEDIF(C36,B36,"ym")=1," month"," months"),IF(DATEDIF(C36,B36,"m")&gt;=1,DATEDIF(C36,B36,"m")&amp;IF(DATEDIF(C36,B36,"m")=1," month"," months"),DATEDIF(C36,B36,"d")&amp;IF(DATEDIF(C36,B36,"d")=1," day"," days"))))</f>
      </c>
      <c r="E36" s="103"/>
      <c r="F36" s="103"/>
      <c r="G36" s="103"/>
      <c r="H36" s="103"/>
      <c r="I36" s="103"/>
      <c r="J36" s="104"/>
      <c r="K36" s="103"/>
      <c r="L36" s="103"/>
      <c r="M36" s="105" t="str">
        <f>IFERROR(VLOOKUP(G36,Reference!$I$2:$J$175,2,FALSE()),"Operations")</f>
        <v>Operations</v>
      </c>
    </row>
    <row r="37" spans="1:13" ht="15" customHeight="1" x14ac:dyDescent="0.25">
      <c r="A37" s="100"/>
      <c r="B37" s="101"/>
      <c r="C37" s="101"/>
      <c r="D37" s="100">
        <f>IF(OR(B37="",C37=""),"",IF(DATEDIF(C37,B37,"y")&gt;=1,DATEDIF(C37,B37,"y")&amp;IF(DATEDIF(C37,B37,"y")=1," year "," years ")&amp;DATEDIF(C37,B37,"ym")&amp;IF(DATEDIF(C37,B37,"ym")=1," month"," months"),IF(DATEDIF(C37,B37,"m")&gt;=1,DATEDIF(C37,B37,"m")&amp;IF(DATEDIF(C37,B37,"m")=1," month"," months"),DATEDIF(C37,B37,"d")&amp;IF(DATEDIF(C37,B37,"d")=1," day"," days"))))</f>
      </c>
      <c r="E37" s="100"/>
      <c r="F37" s="100"/>
      <c r="G37" s="100"/>
      <c r="H37" s="100"/>
      <c r="I37" s="100"/>
      <c r="J37" s="101"/>
      <c r="K37" s="100"/>
      <c r="L37" s="100"/>
      <c r="M37" s="102" t="str">
        <f>IFERROR(VLOOKUP(G37,Reference!$I$2:$J$175,2,FALSE()),"Operations")</f>
        <v>Operations</v>
      </c>
    </row>
    <row r="38" spans="1:13" ht="15" customHeight="1" x14ac:dyDescent="0.25">
      <c r="A38" s="103"/>
      <c r="B38" s="104"/>
      <c r="C38" s="104"/>
      <c r="D38" s="103">
        <f>IF(OR(B38="",C38=""),"",IF(DATEDIF(C38,B38,"y")&gt;=1,DATEDIF(C38,B38,"y")&amp;IF(DATEDIF(C38,B38,"y")=1," year "," years ")&amp;DATEDIF(C38,B38,"ym")&amp;IF(DATEDIF(C38,B38,"ym")=1," month"," months"),IF(DATEDIF(C38,B38,"m")&gt;=1,DATEDIF(C38,B38,"m")&amp;IF(DATEDIF(C38,B38,"m")=1," month"," months"),DATEDIF(C38,B38,"d")&amp;IF(DATEDIF(C38,B38,"d")=1," day"," days"))))</f>
      </c>
      <c r="E38" s="103"/>
      <c r="F38" s="103"/>
      <c r="G38" s="103"/>
      <c r="H38" s="103"/>
      <c r="I38" s="103"/>
      <c r="J38" s="104"/>
      <c r="K38" s="103"/>
      <c r="L38" s="103"/>
      <c r="M38" s="105" t="str">
        <f>IFERROR(VLOOKUP(G38,Reference!$I$2:$J$175,2,FALSE()),"Operations")</f>
        <v>Operations</v>
      </c>
    </row>
    <row r="39" spans="1:13" ht="15" customHeight="1" x14ac:dyDescent="0.25">
      <c r="A39" s="106" t="s">
        <v>163</v>
      </c>
      <c r="B39" s="107">
        <f>COUNTA(A9:A38)</f>
        <v>0</v>
      </c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</row>
    <row r="40" spans="1:13" ht="6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ht="21.75" customHeight="1" x14ac:dyDescent="0.25">
      <c r="A41" s="163" t="s">
        <v>893</v>
      </c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</row>
    <row r="42" spans="1:13" ht="19.5" customHeight="1" x14ac:dyDescent="0.25">
      <c r="A42" s="64" t="s">
        <v>151</v>
      </c>
      <c r="B42" s="64" t="s">
        <v>152</v>
      </c>
      <c r="C42" s="64" t="s">
        <v>153</v>
      </c>
      <c r="D42" s="64" t="s">
        <v>154</v>
      </c>
      <c r="E42" s="64" t="s">
        <v>155</v>
      </c>
      <c r="F42" s="64" t="s">
        <v>156</v>
      </c>
      <c r="G42" s="64" t="s">
        <v>157</v>
      </c>
      <c r="H42" s="64" t="s">
        <v>158</v>
      </c>
      <c r="I42" s="64" t="s">
        <v>159</v>
      </c>
      <c r="J42" s="64" t="s">
        <v>160</v>
      </c>
      <c r="K42" s="64" t="s">
        <v>134</v>
      </c>
      <c r="L42" s="64" t="s">
        <v>161</v>
      </c>
      <c r="M42" s="64" t="s">
        <v>162</v>
      </c>
    </row>
    <row r="43" spans="1:13" ht="15" customHeight="1" x14ac:dyDescent="0.25">
      <c r="A43" s="100"/>
      <c r="B43" s="101"/>
      <c r="C43" s="101"/>
      <c r="D43" s="100">
        <f>IF(OR(B43="",C43=""),"",IF(DATEDIF(C43,B43,"y")&gt;=1,DATEDIF(C43,B43,"y")&amp;IF(DATEDIF(C43,B43,"y")=1," year "," years ")&amp;DATEDIF(C43,B43,"ym")&amp;IF(DATEDIF(C43,B43,"ym")=1," month"," months"),IF(DATEDIF(C43,B43,"m")&gt;=1,DATEDIF(C43,B43,"m")&amp;IF(DATEDIF(C43,B43,"m")=1," month"," months"),DATEDIF(C43,B43,"d")&amp;IF(DATEDIF(C43,B43,"d")=1," day"," days"))))</f>
      </c>
      <c r="E43" s="100"/>
      <c r="F43" s="100"/>
      <c r="G43" s="100"/>
      <c r="H43" s="100"/>
      <c r="I43" s="100"/>
      <c r="J43" s="101"/>
      <c r="K43" s="100"/>
      <c r="L43" s="100"/>
      <c r="M43" s="102" t="str">
        <f>IFERROR(VLOOKUP(G43,Reference!$I$2:$J$175,2,FALSE()),"Operations")</f>
        <v>Operations</v>
      </c>
    </row>
    <row r="44" spans="1:13" ht="15" customHeight="1" x14ac:dyDescent="0.25">
      <c r="A44" s="103"/>
      <c r="B44" s="104"/>
      <c r="C44" s="104"/>
      <c r="D44" s="103">
        <f>IF(OR(B44="",C44=""),"",IF(DATEDIF(C44,B44,"y")&gt;=1,DATEDIF(C44,B44,"y")&amp;IF(DATEDIF(C44,B44,"y")=1," year "," years ")&amp;DATEDIF(C44,B44,"ym")&amp;IF(DATEDIF(C44,B44,"ym")=1," month"," months"),IF(DATEDIF(C44,B44,"m")&gt;=1,DATEDIF(C44,B44,"m")&amp;IF(DATEDIF(C44,B44,"m")=1," month"," months"),DATEDIF(C44,B44,"d")&amp;IF(DATEDIF(C44,B44,"d")=1," day"," days"))))</f>
      </c>
      <c r="E44" s="103"/>
      <c r="F44" s="103"/>
      <c r="G44" s="103"/>
      <c r="H44" s="103"/>
      <c r="I44" s="103"/>
      <c r="J44" s="104"/>
      <c r="K44" s="103"/>
      <c r="L44" s="103"/>
      <c r="M44" s="105" t="str">
        <f>IFERROR(VLOOKUP(G44,Reference!$I$2:$J$175,2,FALSE()),"Operations")</f>
        <v>Operations</v>
      </c>
    </row>
    <row r="45" spans="1:13" ht="15" customHeight="1" x14ac:dyDescent="0.25">
      <c r="A45" s="100"/>
      <c r="B45" s="101"/>
      <c r="C45" s="101"/>
      <c r="D45" s="100">
        <f>IF(OR(B45="",C45=""),"",IF(DATEDIF(C45,B45,"y")&gt;=1,DATEDIF(C45,B45,"y")&amp;IF(DATEDIF(C45,B45,"y")=1," year "," years ")&amp;DATEDIF(C45,B45,"ym")&amp;IF(DATEDIF(C45,B45,"ym")=1," month"," months"),IF(DATEDIF(C45,B45,"m")&gt;=1,DATEDIF(C45,B45,"m")&amp;IF(DATEDIF(C45,B45,"m")=1," month"," months"),DATEDIF(C45,B45,"d")&amp;IF(DATEDIF(C45,B45,"d")=1," day"," days"))))</f>
      </c>
      <c r="E45" s="100"/>
      <c r="F45" s="100"/>
      <c r="G45" s="100"/>
      <c r="H45" s="100"/>
      <c r="I45" s="100"/>
      <c r="J45" s="101"/>
      <c r="K45" s="100"/>
      <c r="L45" s="100"/>
      <c r="M45" s="102" t="str">
        <f>IFERROR(VLOOKUP(G45,Reference!$I$2:$J$175,2,FALSE()),"Operations")</f>
        <v>Operations</v>
      </c>
    </row>
    <row r="46" spans="1:13" ht="15" customHeight="1" x14ac:dyDescent="0.25">
      <c r="A46" s="103"/>
      <c r="B46" s="104"/>
      <c r="C46" s="104"/>
      <c r="D46" s="103">
        <f>IF(OR(B46="",C46=""),"",IF(DATEDIF(C46,B46,"y")&gt;=1,DATEDIF(C46,B46,"y")&amp;IF(DATEDIF(C46,B46,"y")=1," year "," years ")&amp;DATEDIF(C46,B46,"ym")&amp;IF(DATEDIF(C46,B46,"ym")=1," month"," months"),IF(DATEDIF(C46,B46,"m")&gt;=1,DATEDIF(C46,B46,"m")&amp;IF(DATEDIF(C46,B46,"m")=1," month"," months"),DATEDIF(C46,B46,"d")&amp;IF(DATEDIF(C46,B46,"d")=1," day"," days"))))</f>
      </c>
      <c r="E46" s="103"/>
      <c r="F46" s="103"/>
      <c r="G46" s="103"/>
      <c r="H46" s="103"/>
      <c r="I46" s="103"/>
      <c r="J46" s="104"/>
      <c r="K46" s="103"/>
      <c r="L46" s="103"/>
      <c r="M46" s="105" t="str">
        <f>IFERROR(VLOOKUP(G46,Reference!$I$2:$J$175,2,FALSE()),"Operations")</f>
        <v>Operations</v>
      </c>
    </row>
    <row r="47" spans="1:13" ht="15" customHeight="1" x14ac:dyDescent="0.25">
      <c r="A47" s="100"/>
      <c r="B47" s="101"/>
      <c r="C47" s="101"/>
      <c r="D47" s="100">
        <f>IF(OR(B47="",C47=""),"",IF(DATEDIF(C47,B47,"y")&gt;=1,DATEDIF(C47,B47,"y")&amp;IF(DATEDIF(C47,B47,"y")=1," year "," years ")&amp;DATEDIF(C47,B47,"ym")&amp;IF(DATEDIF(C47,B47,"ym")=1," month"," months"),IF(DATEDIF(C47,B47,"m")&gt;=1,DATEDIF(C47,B47,"m")&amp;IF(DATEDIF(C47,B47,"m")=1," month"," months"),DATEDIF(C47,B47,"d")&amp;IF(DATEDIF(C47,B47,"d")=1," day"," days"))))</f>
      </c>
      <c r="E47" s="100"/>
      <c r="F47" s="100"/>
      <c r="G47" s="100"/>
      <c r="H47" s="100"/>
      <c r="I47" s="100"/>
      <c r="J47" s="101"/>
      <c r="K47" s="100"/>
      <c r="L47" s="100"/>
      <c r="M47" s="102" t="str">
        <f>IFERROR(VLOOKUP(G47,Reference!$I$2:$J$175,2,FALSE()),"Operations")</f>
        <v>Operations</v>
      </c>
    </row>
    <row r="48" spans="1:13" ht="15" customHeight="1" x14ac:dyDescent="0.25">
      <c r="A48" s="103"/>
      <c r="B48" s="104"/>
      <c r="C48" s="104"/>
      <c r="D48" s="103">
        <f>IF(OR(B48="",C48=""),"",IF(DATEDIF(C48,B48,"y")&gt;=1,DATEDIF(C48,B48,"y")&amp;IF(DATEDIF(C48,B48,"y")=1," year "," years ")&amp;DATEDIF(C48,B48,"ym")&amp;IF(DATEDIF(C48,B48,"ym")=1," month"," months"),IF(DATEDIF(C48,B48,"m")&gt;=1,DATEDIF(C48,B48,"m")&amp;IF(DATEDIF(C48,B48,"m")=1," month"," months"),DATEDIF(C48,B48,"d")&amp;IF(DATEDIF(C48,B48,"d")=1," day"," days"))))</f>
      </c>
      <c r="E48" s="103"/>
      <c r="F48" s="103"/>
      <c r="G48" s="103"/>
      <c r="H48" s="103"/>
      <c r="I48" s="103"/>
      <c r="J48" s="104"/>
      <c r="K48" s="103"/>
      <c r="L48" s="103"/>
      <c r="M48" s="105" t="str">
        <f>IFERROR(VLOOKUP(G48,Reference!$I$2:$J$175,2,FALSE()),"Operations")</f>
        <v>Operations</v>
      </c>
    </row>
    <row r="49" spans="1:13" ht="15" customHeight="1" x14ac:dyDescent="0.25">
      <c r="A49" s="100"/>
      <c r="B49" s="101"/>
      <c r="C49" s="101"/>
      <c r="D49" s="100">
        <f>IF(OR(B49="",C49=""),"",IF(DATEDIF(C49,B49,"y")&gt;=1,DATEDIF(C49,B49,"y")&amp;IF(DATEDIF(C49,B49,"y")=1," year "," years ")&amp;DATEDIF(C49,B49,"ym")&amp;IF(DATEDIF(C49,B49,"ym")=1," month"," months"),IF(DATEDIF(C49,B49,"m")&gt;=1,DATEDIF(C49,B49,"m")&amp;IF(DATEDIF(C49,B49,"m")=1," month"," months"),DATEDIF(C49,B49,"d")&amp;IF(DATEDIF(C49,B49,"d")=1," day"," days"))))</f>
      </c>
      <c r="E49" s="100"/>
      <c r="F49" s="100"/>
      <c r="G49" s="100"/>
      <c r="H49" s="100"/>
      <c r="I49" s="100"/>
      <c r="J49" s="101"/>
      <c r="K49" s="100"/>
      <c r="L49" s="100"/>
      <c r="M49" s="102" t="str">
        <f>IFERROR(VLOOKUP(G49,Reference!$I$2:$J$175,2,FALSE()),"Operations")</f>
        <v>Operations</v>
      </c>
    </row>
    <row r="50" spans="1:13" ht="15" customHeight="1" x14ac:dyDescent="0.25">
      <c r="A50" s="103"/>
      <c r="B50" s="104"/>
      <c r="C50" s="104"/>
      <c r="D50" s="103">
        <f>IF(OR(B50="",C50=""),"",IF(DATEDIF(C50,B50,"y")&gt;=1,DATEDIF(C50,B50,"y")&amp;IF(DATEDIF(C50,B50,"y")=1," year "," years ")&amp;DATEDIF(C50,B50,"ym")&amp;IF(DATEDIF(C50,B50,"ym")=1," month"," months"),IF(DATEDIF(C50,B50,"m")&gt;=1,DATEDIF(C50,B50,"m")&amp;IF(DATEDIF(C50,B50,"m")=1," month"," months"),DATEDIF(C50,B50,"d")&amp;IF(DATEDIF(C50,B50,"d")=1," day"," days"))))</f>
      </c>
      <c r="E50" s="103"/>
      <c r="F50" s="103"/>
      <c r="G50" s="103"/>
      <c r="H50" s="103"/>
      <c r="I50" s="103"/>
      <c r="J50" s="104"/>
      <c r="K50" s="103"/>
      <c r="L50" s="103"/>
      <c r="M50" s="105" t="str">
        <f>IFERROR(VLOOKUP(G50,Reference!$I$2:$J$175,2,FALSE()),"Operations")</f>
        <v>Operations</v>
      </c>
    </row>
    <row r="51" spans="1:13" ht="15" customHeight="1" x14ac:dyDescent="0.25">
      <c r="A51" s="100"/>
      <c r="B51" s="101"/>
      <c r="C51" s="101"/>
      <c r="D51" s="100">
        <f>IF(OR(B51="",C51=""),"",IF(DATEDIF(C51,B51,"y")&gt;=1,DATEDIF(C51,B51,"y")&amp;IF(DATEDIF(C51,B51,"y")=1," year "," years ")&amp;DATEDIF(C51,B51,"ym")&amp;IF(DATEDIF(C51,B51,"ym")=1," month"," months"),IF(DATEDIF(C51,B51,"m")&gt;=1,DATEDIF(C51,B51,"m")&amp;IF(DATEDIF(C51,B51,"m")=1," month"," months"),DATEDIF(C51,B51,"d")&amp;IF(DATEDIF(C51,B51,"d")=1," day"," days"))))</f>
      </c>
      <c r="E51" s="100"/>
      <c r="F51" s="100"/>
      <c r="G51" s="100"/>
      <c r="H51" s="100"/>
      <c r="I51" s="100"/>
      <c r="J51" s="101"/>
      <c r="K51" s="100"/>
      <c r="L51" s="100"/>
      <c r="M51" s="102" t="str">
        <f>IFERROR(VLOOKUP(G51,Reference!$I$2:$J$175,2,FALSE()),"Operations")</f>
        <v>Operations</v>
      </c>
    </row>
    <row r="52" spans="1:13" ht="15" customHeight="1" x14ac:dyDescent="0.25">
      <c r="A52" s="103"/>
      <c r="B52" s="104"/>
      <c r="C52" s="104"/>
      <c r="D52" s="103">
        <f>IF(OR(B52="",C52=""),"",IF(DATEDIF(C52,B52,"y")&gt;=1,DATEDIF(C52,B52,"y")&amp;IF(DATEDIF(C52,B52,"y")=1," year "," years ")&amp;DATEDIF(C52,B52,"ym")&amp;IF(DATEDIF(C52,B52,"ym")=1," month"," months"),IF(DATEDIF(C52,B52,"m")&gt;=1,DATEDIF(C52,B52,"m")&amp;IF(DATEDIF(C52,B52,"m")=1," month"," months"),DATEDIF(C52,B52,"d")&amp;IF(DATEDIF(C52,B52,"d")=1," day"," days"))))</f>
      </c>
      <c r="E52" s="103"/>
      <c r="F52" s="103"/>
      <c r="G52" s="103"/>
      <c r="H52" s="103"/>
      <c r="I52" s="103"/>
      <c r="J52" s="104"/>
      <c r="K52" s="103"/>
      <c r="L52" s="103"/>
      <c r="M52" s="105" t="str">
        <f>IFERROR(VLOOKUP(G52,Reference!$I$2:$J$175,2,FALSE()),"Operations")</f>
        <v>Operations</v>
      </c>
    </row>
    <row r="53" spans="1:13" ht="15" customHeight="1" x14ac:dyDescent="0.25">
      <c r="A53" s="100"/>
      <c r="B53" s="101"/>
      <c r="C53" s="101"/>
      <c r="D53" s="100">
        <f>IF(OR(B53="",C53=""),"",IF(DATEDIF(C53,B53,"y")&gt;=1,DATEDIF(C53,B53,"y")&amp;IF(DATEDIF(C53,B53,"y")=1," year "," years ")&amp;DATEDIF(C53,B53,"ym")&amp;IF(DATEDIF(C53,B53,"ym")=1," month"," months"),IF(DATEDIF(C53,B53,"m")&gt;=1,DATEDIF(C53,B53,"m")&amp;IF(DATEDIF(C53,B53,"m")=1," month"," months"),DATEDIF(C53,B53,"d")&amp;IF(DATEDIF(C53,B53,"d")=1," day"," days"))))</f>
      </c>
      <c r="E53" s="100"/>
      <c r="F53" s="100"/>
      <c r="G53" s="100"/>
      <c r="H53" s="100"/>
      <c r="I53" s="100"/>
      <c r="J53" s="101"/>
      <c r="K53" s="100"/>
      <c r="L53" s="100"/>
      <c r="M53" s="102" t="str">
        <f>IFERROR(VLOOKUP(G53,Reference!$I$2:$J$175,2,FALSE()),"Operations")</f>
        <v>Operations</v>
      </c>
    </row>
    <row r="54" spans="1:13" ht="15" customHeight="1" x14ac:dyDescent="0.25">
      <c r="A54" s="103"/>
      <c r="B54" s="104"/>
      <c r="C54" s="104"/>
      <c r="D54" s="103">
        <f>IF(OR(B54="",C54=""),"",IF(DATEDIF(C54,B54,"y")&gt;=1,DATEDIF(C54,B54,"y")&amp;IF(DATEDIF(C54,B54,"y")=1," year "," years ")&amp;DATEDIF(C54,B54,"ym")&amp;IF(DATEDIF(C54,B54,"ym")=1," month"," months"),IF(DATEDIF(C54,B54,"m")&gt;=1,DATEDIF(C54,B54,"m")&amp;IF(DATEDIF(C54,B54,"m")=1," month"," months"),DATEDIF(C54,B54,"d")&amp;IF(DATEDIF(C54,B54,"d")=1," day"," days"))))</f>
      </c>
      <c r="E54" s="103"/>
      <c r="F54" s="103"/>
      <c r="G54" s="103"/>
      <c r="H54" s="103"/>
      <c r="I54" s="103"/>
      <c r="J54" s="104"/>
      <c r="K54" s="103"/>
      <c r="L54" s="103"/>
      <c r="M54" s="105" t="str">
        <f>IFERROR(VLOOKUP(G54,Reference!$I$2:$J$175,2,FALSE()),"Operations")</f>
        <v>Operations</v>
      </c>
    </row>
    <row r="55" spans="1:13" ht="15" customHeight="1" x14ac:dyDescent="0.25">
      <c r="A55" s="100"/>
      <c r="B55" s="101"/>
      <c r="C55" s="101"/>
      <c r="D55" s="100">
        <f>IF(OR(B55="",C55=""),"",IF(DATEDIF(C55,B55,"y")&gt;=1,DATEDIF(C55,B55,"y")&amp;IF(DATEDIF(C55,B55,"y")=1," year "," years ")&amp;DATEDIF(C55,B55,"ym")&amp;IF(DATEDIF(C55,B55,"ym")=1," month"," months"),IF(DATEDIF(C55,B55,"m")&gt;=1,DATEDIF(C55,B55,"m")&amp;IF(DATEDIF(C55,B55,"m")=1," month"," months"),DATEDIF(C55,B55,"d")&amp;IF(DATEDIF(C55,B55,"d")=1," day"," days"))))</f>
      </c>
      <c r="E55" s="100"/>
      <c r="F55" s="100"/>
      <c r="G55" s="100"/>
      <c r="H55" s="100"/>
      <c r="I55" s="100"/>
      <c r="J55" s="101"/>
      <c r="K55" s="100"/>
      <c r="L55" s="100"/>
      <c r="M55" s="102" t="str">
        <f>IFERROR(VLOOKUP(G55,Reference!$I$2:$J$175,2,FALSE()),"Operations")</f>
        <v>Operations</v>
      </c>
    </row>
    <row r="56" spans="1:13" ht="15" customHeight="1" x14ac:dyDescent="0.25">
      <c r="A56" s="103"/>
      <c r="B56" s="104"/>
      <c r="C56" s="104"/>
      <c r="D56" s="103">
        <f>IF(OR(B56="",C56=""),"",IF(DATEDIF(C56,B56,"y")&gt;=1,DATEDIF(C56,B56,"y")&amp;IF(DATEDIF(C56,B56,"y")=1," year "," years ")&amp;DATEDIF(C56,B56,"ym")&amp;IF(DATEDIF(C56,B56,"ym")=1," month"," months"),IF(DATEDIF(C56,B56,"m")&gt;=1,DATEDIF(C56,B56,"m")&amp;IF(DATEDIF(C56,B56,"m")=1," month"," months"),DATEDIF(C56,B56,"d")&amp;IF(DATEDIF(C56,B56,"d")=1," day"," days"))))</f>
      </c>
      <c r="E56" s="103"/>
      <c r="F56" s="103"/>
      <c r="G56" s="103"/>
      <c r="H56" s="103"/>
      <c r="I56" s="103"/>
      <c r="J56" s="104"/>
      <c r="K56" s="103"/>
      <c r="L56" s="103"/>
      <c r="M56" s="105" t="str">
        <f>IFERROR(VLOOKUP(G56,Reference!$I$2:$J$175,2,FALSE()),"Operations")</f>
        <v>Operations</v>
      </c>
    </row>
    <row r="57" spans="1:13" ht="15" customHeight="1" x14ac:dyDescent="0.25">
      <c r="A57" s="100"/>
      <c r="B57" s="101"/>
      <c r="C57" s="101"/>
      <c r="D57" s="100">
        <f>IF(OR(B57="",C57=""),"",IF(DATEDIF(C57,B57,"y")&gt;=1,DATEDIF(C57,B57,"y")&amp;IF(DATEDIF(C57,B57,"y")=1," year "," years ")&amp;DATEDIF(C57,B57,"ym")&amp;IF(DATEDIF(C57,B57,"ym")=1," month"," months"),IF(DATEDIF(C57,B57,"m")&gt;=1,DATEDIF(C57,B57,"m")&amp;IF(DATEDIF(C57,B57,"m")=1," month"," months"),DATEDIF(C57,B57,"d")&amp;IF(DATEDIF(C57,B57,"d")=1," day"," days"))))</f>
      </c>
      <c r="E57" s="100"/>
      <c r="F57" s="100"/>
      <c r="G57" s="100"/>
      <c r="H57" s="100"/>
      <c r="I57" s="100"/>
      <c r="J57" s="101"/>
      <c r="K57" s="100"/>
      <c r="L57" s="100"/>
      <c r="M57" s="102" t="str">
        <f>IFERROR(VLOOKUP(G57,Reference!$I$2:$J$175,2,FALSE()),"Operations")</f>
        <v>Operations</v>
      </c>
    </row>
    <row r="58" spans="1:13" ht="15" customHeight="1" x14ac:dyDescent="0.25">
      <c r="A58" s="103"/>
      <c r="B58" s="104"/>
      <c r="C58" s="104"/>
      <c r="D58" s="103">
        <f>IF(OR(B58="",C58=""),"",IF(DATEDIF(C58,B58,"y")&gt;=1,DATEDIF(C58,B58,"y")&amp;IF(DATEDIF(C58,B58,"y")=1," year "," years ")&amp;DATEDIF(C58,B58,"ym")&amp;IF(DATEDIF(C58,B58,"ym")=1," month"," months"),IF(DATEDIF(C58,B58,"m")&gt;=1,DATEDIF(C58,B58,"m")&amp;IF(DATEDIF(C58,B58,"m")=1," month"," months"),DATEDIF(C58,B58,"d")&amp;IF(DATEDIF(C58,B58,"d")=1," day"," days"))))</f>
      </c>
      <c r="E58" s="103"/>
      <c r="F58" s="103"/>
      <c r="G58" s="103"/>
      <c r="H58" s="103"/>
      <c r="I58" s="103"/>
      <c r="J58" s="104"/>
      <c r="K58" s="103"/>
      <c r="L58" s="103"/>
      <c r="M58" s="105" t="str">
        <f>IFERROR(VLOOKUP(G58,Reference!$I$2:$J$175,2,FALSE()),"Operations")</f>
        <v>Operations</v>
      </c>
    </row>
    <row r="59" spans="1:13" ht="15" customHeight="1" x14ac:dyDescent="0.25">
      <c r="A59" s="100"/>
      <c r="B59" s="101"/>
      <c r="C59" s="101"/>
      <c r="D59" s="100">
        <f>IF(OR(B59="",C59=""),"",IF(DATEDIF(C59,B59,"y")&gt;=1,DATEDIF(C59,B59,"y")&amp;IF(DATEDIF(C59,B59,"y")=1," year "," years ")&amp;DATEDIF(C59,B59,"ym")&amp;IF(DATEDIF(C59,B59,"ym")=1," month"," months"),IF(DATEDIF(C59,B59,"m")&gt;=1,DATEDIF(C59,B59,"m")&amp;IF(DATEDIF(C59,B59,"m")=1," month"," months"),DATEDIF(C59,B59,"d")&amp;IF(DATEDIF(C59,B59,"d")=1," day"," days"))))</f>
      </c>
      <c r="E59" s="100"/>
      <c r="F59" s="100"/>
      <c r="G59" s="100"/>
      <c r="H59" s="100"/>
      <c r="I59" s="100"/>
      <c r="J59" s="101"/>
      <c r="K59" s="100"/>
      <c r="L59" s="100"/>
      <c r="M59" s="102" t="str">
        <f>IFERROR(VLOOKUP(G59,Reference!$I$2:$J$175,2,FALSE()),"Operations")</f>
        <v>Operations</v>
      </c>
    </row>
    <row r="60" spans="1:13" ht="15" customHeight="1" x14ac:dyDescent="0.25">
      <c r="A60" s="103"/>
      <c r="B60" s="104"/>
      <c r="C60" s="104"/>
      <c r="D60" s="103">
        <f>IF(OR(B60="",C60=""),"",IF(DATEDIF(C60,B60,"y")&gt;=1,DATEDIF(C60,B60,"y")&amp;IF(DATEDIF(C60,B60,"y")=1," year "," years ")&amp;DATEDIF(C60,B60,"ym")&amp;IF(DATEDIF(C60,B60,"ym")=1," month"," months"),IF(DATEDIF(C60,B60,"m")&gt;=1,DATEDIF(C60,B60,"m")&amp;IF(DATEDIF(C60,B60,"m")=1," month"," months"),DATEDIF(C60,B60,"d")&amp;IF(DATEDIF(C60,B60,"d")=1," day"," days"))))</f>
      </c>
      <c r="E60" s="103"/>
      <c r="F60" s="103"/>
      <c r="G60" s="103"/>
      <c r="H60" s="103"/>
      <c r="I60" s="103"/>
      <c r="J60" s="104"/>
      <c r="K60" s="103"/>
      <c r="L60" s="103"/>
      <c r="M60" s="105" t="str">
        <f>IFERROR(VLOOKUP(G60,Reference!$I$2:$J$175,2,FALSE()),"Operations")</f>
        <v>Operations</v>
      </c>
    </row>
    <row r="61" spans="1:13" ht="15" customHeight="1" x14ac:dyDescent="0.25">
      <c r="A61" s="100"/>
      <c r="B61" s="101"/>
      <c r="C61" s="101"/>
      <c r="D61" s="100">
        <f>IF(OR(B61="",C61=""),"",IF(DATEDIF(C61,B61,"y")&gt;=1,DATEDIF(C61,B61,"y")&amp;IF(DATEDIF(C61,B61,"y")=1," year "," years ")&amp;DATEDIF(C61,B61,"ym")&amp;IF(DATEDIF(C61,B61,"ym")=1," month"," months"),IF(DATEDIF(C61,B61,"m")&gt;=1,DATEDIF(C61,B61,"m")&amp;IF(DATEDIF(C61,B61,"m")=1," month"," months"),DATEDIF(C61,B61,"d")&amp;IF(DATEDIF(C61,B61,"d")=1," day"," days"))))</f>
      </c>
      <c r="E61" s="100"/>
      <c r="F61" s="100"/>
      <c r="G61" s="100"/>
      <c r="H61" s="100"/>
      <c r="I61" s="100"/>
      <c r="J61" s="101"/>
      <c r="K61" s="100"/>
      <c r="L61" s="100"/>
      <c r="M61" s="102" t="str">
        <f>IFERROR(VLOOKUP(G61,Reference!$I$2:$J$175,2,FALSE()),"Operations")</f>
        <v>Operations</v>
      </c>
    </row>
    <row r="62" spans="1:13" ht="15" customHeight="1" x14ac:dyDescent="0.25">
      <c r="A62" s="103"/>
      <c r="B62" s="104"/>
      <c r="C62" s="104"/>
      <c r="D62" s="103">
        <f>IF(OR(B62="",C62=""),"",IF(DATEDIF(C62,B62,"y")&gt;=1,DATEDIF(C62,B62,"y")&amp;IF(DATEDIF(C62,B62,"y")=1," year "," years ")&amp;DATEDIF(C62,B62,"ym")&amp;IF(DATEDIF(C62,B62,"ym")=1," month"," months"),IF(DATEDIF(C62,B62,"m")&gt;=1,DATEDIF(C62,B62,"m")&amp;IF(DATEDIF(C62,B62,"m")=1," month"," months"),DATEDIF(C62,B62,"d")&amp;IF(DATEDIF(C62,B62,"d")=1," day"," days"))))</f>
      </c>
      <c r="E62" s="103"/>
      <c r="F62" s="103"/>
      <c r="G62" s="103"/>
      <c r="H62" s="103"/>
      <c r="I62" s="103"/>
      <c r="J62" s="104"/>
      <c r="K62" s="103"/>
      <c r="L62" s="103"/>
      <c r="M62" s="105" t="str">
        <f>IFERROR(VLOOKUP(G62,Reference!$I$2:$J$175,2,FALSE()),"Operations")</f>
        <v>Operations</v>
      </c>
    </row>
    <row r="63" spans="1:13" ht="15" customHeight="1" x14ac:dyDescent="0.25">
      <c r="A63" s="100"/>
      <c r="B63" s="101"/>
      <c r="C63" s="101"/>
      <c r="D63" s="100">
        <f>IF(OR(B63="",C63=""),"",IF(DATEDIF(C63,B63,"y")&gt;=1,DATEDIF(C63,B63,"y")&amp;IF(DATEDIF(C63,B63,"y")=1," year "," years ")&amp;DATEDIF(C63,B63,"ym")&amp;IF(DATEDIF(C63,B63,"ym")=1," month"," months"),IF(DATEDIF(C63,B63,"m")&gt;=1,DATEDIF(C63,B63,"m")&amp;IF(DATEDIF(C63,B63,"m")=1," month"," months"),DATEDIF(C63,B63,"d")&amp;IF(DATEDIF(C63,B63,"d")=1," day"," days"))))</f>
      </c>
      <c r="E63" s="100"/>
      <c r="F63" s="100"/>
      <c r="G63" s="100"/>
      <c r="H63" s="100"/>
      <c r="I63" s="100"/>
      <c r="J63" s="101"/>
      <c r="K63" s="100"/>
      <c r="L63" s="100"/>
      <c r="M63" s="102" t="str">
        <f>IFERROR(VLOOKUP(G63,Reference!$I$2:$J$175,2,FALSE()),"Operations")</f>
        <v>Operations</v>
      </c>
    </row>
    <row r="64" spans="1:13" ht="15" customHeight="1" x14ac:dyDescent="0.25">
      <c r="A64" s="103"/>
      <c r="B64" s="104"/>
      <c r="C64" s="104"/>
      <c r="D64" s="103">
        <f>IF(OR(B64="",C64=""),"",IF(DATEDIF(C64,B64,"y")&gt;=1,DATEDIF(C64,B64,"y")&amp;IF(DATEDIF(C64,B64,"y")=1," year "," years ")&amp;DATEDIF(C64,B64,"ym")&amp;IF(DATEDIF(C64,B64,"ym")=1," month"," months"),IF(DATEDIF(C64,B64,"m")&gt;=1,DATEDIF(C64,B64,"m")&amp;IF(DATEDIF(C64,B64,"m")=1," month"," months"),DATEDIF(C64,B64,"d")&amp;IF(DATEDIF(C64,B64,"d")=1," day"," days"))))</f>
      </c>
      <c r="E64" s="103"/>
      <c r="F64" s="103"/>
      <c r="G64" s="103"/>
      <c r="H64" s="103"/>
      <c r="I64" s="103"/>
      <c r="J64" s="104"/>
      <c r="K64" s="103"/>
      <c r="L64" s="103"/>
      <c r="M64" s="105" t="str">
        <f>IFERROR(VLOOKUP(G64,Reference!$I$2:$J$175,2,FALSE()),"Operations")</f>
        <v>Operations</v>
      </c>
    </row>
    <row r="65" spans="1:13" ht="15" customHeight="1" x14ac:dyDescent="0.25">
      <c r="A65" s="100"/>
      <c r="B65" s="101"/>
      <c r="C65" s="101"/>
      <c r="D65" s="100">
        <f>IF(OR(B65="",C65=""),"",IF(DATEDIF(C65,B65,"y")&gt;=1,DATEDIF(C65,B65,"y")&amp;IF(DATEDIF(C65,B65,"y")=1," year "," years ")&amp;DATEDIF(C65,B65,"ym")&amp;IF(DATEDIF(C65,B65,"ym")=1," month"," months"),IF(DATEDIF(C65,B65,"m")&gt;=1,DATEDIF(C65,B65,"m")&amp;IF(DATEDIF(C65,B65,"m")=1," month"," months"),DATEDIF(C65,B65,"d")&amp;IF(DATEDIF(C65,B65,"d")=1," day"," days"))))</f>
      </c>
      <c r="E65" s="100"/>
      <c r="F65" s="100"/>
      <c r="G65" s="100"/>
      <c r="H65" s="100"/>
      <c r="I65" s="100"/>
      <c r="J65" s="101"/>
      <c r="K65" s="100"/>
      <c r="L65" s="100"/>
      <c r="M65" s="102" t="str">
        <f>IFERROR(VLOOKUP(G65,Reference!$I$2:$J$175,2,FALSE()),"Operations")</f>
        <v>Operations</v>
      </c>
    </row>
    <row r="66" spans="1:13" ht="15" customHeight="1" x14ac:dyDescent="0.25">
      <c r="A66" s="103"/>
      <c r="B66" s="104"/>
      <c r="C66" s="104"/>
      <c r="D66" s="103">
        <f>IF(OR(B66="",C66=""),"",IF(DATEDIF(C66,B66,"y")&gt;=1,DATEDIF(C66,B66,"y")&amp;IF(DATEDIF(C66,B66,"y")=1," year "," years ")&amp;DATEDIF(C66,B66,"ym")&amp;IF(DATEDIF(C66,B66,"ym")=1," month"," months"),IF(DATEDIF(C66,B66,"m")&gt;=1,DATEDIF(C66,B66,"m")&amp;IF(DATEDIF(C66,B66,"m")=1," month"," months"),DATEDIF(C66,B66,"d")&amp;IF(DATEDIF(C66,B66,"d")=1," day"," days"))))</f>
      </c>
      <c r="E66" s="103"/>
      <c r="F66" s="103"/>
      <c r="G66" s="103"/>
      <c r="H66" s="103"/>
      <c r="I66" s="103"/>
      <c r="J66" s="104"/>
      <c r="K66" s="103"/>
      <c r="L66" s="103"/>
      <c r="M66" s="105" t="str">
        <f>IFERROR(VLOOKUP(G66,Reference!$I$2:$J$175,2,FALSE()),"Operations")</f>
        <v>Operations</v>
      </c>
    </row>
    <row r="67" spans="1:13" ht="15" customHeight="1" x14ac:dyDescent="0.25">
      <c r="A67" s="100"/>
      <c r="B67" s="101"/>
      <c r="C67" s="101"/>
      <c r="D67" s="100">
        <f>IF(OR(B67="",C67=""),"",IF(DATEDIF(C67,B67,"y")&gt;=1,DATEDIF(C67,B67,"y")&amp;IF(DATEDIF(C67,B67,"y")=1," year "," years ")&amp;DATEDIF(C67,B67,"ym")&amp;IF(DATEDIF(C67,B67,"ym")=1," month"," months"),IF(DATEDIF(C67,B67,"m")&gt;=1,DATEDIF(C67,B67,"m")&amp;IF(DATEDIF(C67,B67,"m")=1," month"," months"),DATEDIF(C67,B67,"d")&amp;IF(DATEDIF(C67,B67,"d")=1," day"," days"))))</f>
      </c>
      <c r="E67" s="100"/>
      <c r="F67" s="100"/>
      <c r="G67" s="100"/>
      <c r="H67" s="100"/>
      <c r="I67" s="100"/>
      <c r="J67" s="101"/>
      <c r="K67" s="100"/>
      <c r="L67" s="100"/>
      <c r="M67" s="102" t="str">
        <f>IFERROR(VLOOKUP(G67,Reference!$I$2:$J$175,2,FALSE()),"Operations")</f>
        <v>Operations</v>
      </c>
    </row>
    <row r="68" spans="1:13" ht="15" customHeight="1" x14ac:dyDescent="0.25">
      <c r="A68" s="103"/>
      <c r="B68" s="104"/>
      <c r="C68" s="104"/>
      <c r="D68" s="103">
        <f>IF(OR(B68="",C68=""),"",IF(DATEDIF(C68,B68,"y")&gt;=1,DATEDIF(C68,B68,"y")&amp;IF(DATEDIF(C68,B68,"y")=1," year "," years ")&amp;DATEDIF(C68,B68,"ym")&amp;IF(DATEDIF(C68,B68,"ym")=1," month"," months"),IF(DATEDIF(C68,B68,"m")&gt;=1,DATEDIF(C68,B68,"m")&amp;IF(DATEDIF(C68,B68,"m")=1," month"," months"),DATEDIF(C68,B68,"d")&amp;IF(DATEDIF(C68,B68,"d")=1," day"," days"))))</f>
      </c>
      <c r="E68" s="103"/>
      <c r="F68" s="103"/>
      <c r="G68" s="103"/>
      <c r="H68" s="103"/>
      <c r="I68" s="103"/>
      <c r="J68" s="104"/>
      <c r="K68" s="103"/>
      <c r="L68" s="103"/>
      <c r="M68" s="105" t="str">
        <f>IFERROR(VLOOKUP(G68,Reference!$I$2:$J$175,2,FALSE()),"Operations")</f>
        <v>Operations</v>
      </c>
    </row>
    <row r="69" spans="1:13" ht="15" customHeight="1" x14ac:dyDescent="0.25">
      <c r="A69" s="100"/>
      <c r="B69" s="101"/>
      <c r="C69" s="101"/>
      <c r="D69" s="100">
        <f>IF(OR(B69="",C69=""),"",IF(DATEDIF(C69,B69,"y")&gt;=1,DATEDIF(C69,B69,"y")&amp;IF(DATEDIF(C69,B69,"y")=1," year "," years ")&amp;DATEDIF(C69,B69,"ym")&amp;IF(DATEDIF(C69,B69,"ym")=1," month"," months"),IF(DATEDIF(C69,B69,"m")&gt;=1,DATEDIF(C69,B69,"m")&amp;IF(DATEDIF(C69,B69,"m")=1," month"," months"),DATEDIF(C69,B69,"d")&amp;IF(DATEDIF(C69,B69,"d")=1," day"," days"))))</f>
      </c>
      <c r="E69" s="100"/>
      <c r="F69" s="100"/>
      <c r="G69" s="100"/>
      <c r="H69" s="100"/>
      <c r="I69" s="100"/>
      <c r="J69" s="101"/>
      <c r="K69" s="100"/>
      <c r="L69" s="100"/>
      <c r="M69" s="102" t="str">
        <f>IFERROR(VLOOKUP(G69,Reference!$I$2:$J$175,2,FALSE()),"Operations")</f>
        <v>Operations</v>
      </c>
    </row>
    <row r="70" spans="1:13" ht="15" customHeight="1" x14ac:dyDescent="0.25">
      <c r="A70" s="103"/>
      <c r="B70" s="104"/>
      <c r="C70" s="104"/>
      <c r="D70" s="103">
        <f>IF(OR(B70="",C70=""),"",IF(DATEDIF(C70,B70,"y")&gt;=1,DATEDIF(C70,B70,"y")&amp;IF(DATEDIF(C70,B70,"y")=1," year "," years ")&amp;DATEDIF(C70,B70,"ym")&amp;IF(DATEDIF(C70,B70,"ym")=1," month"," months"),IF(DATEDIF(C70,B70,"m")&gt;=1,DATEDIF(C70,B70,"m")&amp;IF(DATEDIF(C70,B70,"m")=1," month"," months"),DATEDIF(C70,B70,"d")&amp;IF(DATEDIF(C70,B70,"d")=1," day"," days"))))</f>
      </c>
      <c r="E70" s="103"/>
      <c r="F70" s="103"/>
      <c r="G70" s="103"/>
      <c r="H70" s="103"/>
      <c r="I70" s="103"/>
      <c r="J70" s="104"/>
      <c r="K70" s="103"/>
      <c r="L70" s="103"/>
      <c r="M70" s="105" t="str">
        <f>IFERROR(VLOOKUP(G70,Reference!$I$2:$J$175,2,FALSE()),"Operations")</f>
        <v>Operations</v>
      </c>
    </row>
    <row r="71" spans="1:13" ht="15" customHeight="1" x14ac:dyDescent="0.25">
      <c r="A71" s="100"/>
      <c r="B71" s="101"/>
      <c r="C71" s="101"/>
      <c r="D71" s="100">
        <f>IF(OR(B71="",C71=""),"",IF(DATEDIF(C71,B71,"y")&gt;=1,DATEDIF(C71,B71,"y")&amp;IF(DATEDIF(C71,B71,"y")=1," year "," years ")&amp;DATEDIF(C71,B71,"ym")&amp;IF(DATEDIF(C71,B71,"ym")=1," month"," months"),IF(DATEDIF(C71,B71,"m")&gt;=1,DATEDIF(C71,B71,"m")&amp;IF(DATEDIF(C71,B71,"m")=1," month"," months"),DATEDIF(C71,B71,"d")&amp;IF(DATEDIF(C71,B71,"d")=1," day"," days"))))</f>
      </c>
      <c r="E71" s="100"/>
      <c r="F71" s="100"/>
      <c r="G71" s="100"/>
      <c r="H71" s="100"/>
      <c r="I71" s="100"/>
      <c r="J71" s="101"/>
      <c r="K71" s="100"/>
      <c r="L71" s="100"/>
      <c r="M71" s="102" t="str">
        <f>IFERROR(VLOOKUP(G71,Reference!$I$2:$J$175,2,FALSE()),"Operations")</f>
        <v>Operations</v>
      </c>
    </row>
    <row r="72" spans="1:13" ht="15" customHeight="1" x14ac:dyDescent="0.25">
      <c r="A72" s="103"/>
      <c r="B72" s="104"/>
      <c r="C72" s="104"/>
      <c r="D72" s="103">
        <f>IF(OR(B72="",C72=""),"",IF(DATEDIF(C72,B72,"y")&gt;=1,DATEDIF(C72,B72,"y")&amp;IF(DATEDIF(C72,B72,"y")=1," year "," years ")&amp;DATEDIF(C72,B72,"ym")&amp;IF(DATEDIF(C72,B72,"ym")=1," month"," months"),IF(DATEDIF(C72,B72,"m")&gt;=1,DATEDIF(C72,B72,"m")&amp;IF(DATEDIF(C72,B72,"m")=1," month"," months"),DATEDIF(C72,B72,"d")&amp;IF(DATEDIF(C72,B72,"d")=1," day"," days"))))</f>
      </c>
      <c r="E72" s="103"/>
      <c r="F72" s="103"/>
      <c r="G72" s="103"/>
      <c r="H72" s="103"/>
      <c r="I72" s="103"/>
      <c r="J72" s="104"/>
      <c r="K72" s="103"/>
      <c r="L72" s="103"/>
      <c r="M72" s="105" t="str">
        <f>IFERROR(VLOOKUP(G72,Reference!$I$2:$J$175,2,FALSE()),"Operations")</f>
        <v>Operations</v>
      </c>
    </row>
    <row r="73" spans="1:13" ht="15" customHeight="1" x14ac:dyDescent="0.25">
      <c r="A73" s="106" t="s">
        <v>163</v>
      </c>
      <c r="B73" s="107">
        <f>COUNTA(A43:A72)</f>
        <v>0</v>
      </c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</row>
    <row r="74" spans="1:13" ht="6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1:13" ht="21.75" customHeight="1" x14ac:dyDescent="0.25">
      <c r="A75" s="163" t="s">
        <v>894</v>
      </c>
      <c r="B75" s="163"/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</row>
    <row r="76" spans="1:13" ht="19.5" customHeight="1" x14ac:dyDescent="0.25">
      <c r="A76" s="64" t="s">
        <v>151</v>
      </c>
      <c r="B76" s="64" t="s">
        <v>152</v>
      </c>
      <c r="C76" s="64" t="s">
        <v>153</v>
      </c>
      <c r="D76" s="64" t="s">
        <v>154</v>
      </c>
      <c r="E76" s="64" t="s">
        <v>155</v>
      </c>
      <c r="F76" s="64" t="s">
        <v>156</v>
      </c>
      <c r="G76" s="64" t="s">
        <v>157</v>
      </c>
      <c r="H76" s="64" t="s">
        <v>158</v>
      </c>
      <c r="I76" s="64" t="s">
        <v>159</v>
      </c>
      <c r="J76" s="64" t="s">
        <v>160</v>
      </c>
      <c r="K76" s="64" t="s">
        <v>134</v>
      </c>
      <c r="L76" s="64" t="s">
        <v>161</v>
      </c>
      <c r="M76" s="64" t="s">
        <v>162</v>
      </c>
    </row>
    <row r="77" spans="1:13" ht="15" customHeight="1" x14ac:dyDescent="0.25">
      <c r="A77" s="100"/>
      <c r="B77" s="101"/>
      <c r="C77" s="101"/>
      <c r="D77" s="100">
        <f>IF(OR(B77="",C77=""),"",IF(DATEDIF(C77,B77,"y")&gt;=1,DATEDIF(C77,B77,"y")&amp;IF(DATEDIF(C77,B77,"y")=1," year "," years ")&amp;DATEDIF(C77,B77,"ym")&amp;IF(DATEDIF(C77,B77,"ym")=1," month"," months"),IF(DATEDIF(C77,B77,"m")&gt;=1,DATEDIF(C77,B77,"m")&amp;IF(DATEDIF(C77,B77,"m")=1," month"," months"),DATEDIF(C77,B77,"d")&amp;IF(DATEDIF(C77,B77,"d")=1," day"," days"))))</f>
      </c>
      <c r="E77" s="100"/>
      <c r="F77" s="100"/>
      <c r="G77" s="100"/>
      <c r="H77" s="100"/>
      <c r="I77" s="100"/>
      <c r="J77" s="101"/>
      <c r="K77" s="100"/>
      <c r="L77" s="100"/>
      <c r="M77" s="102" t="str">
        <f>IFERROR(VLOOKUP(G77,Reference!$I$2:$J$175,2,FALSE()),"Operations")</f>
        <v>Operations</v>
      </c>
    </row>
    <row r="78" spans="1:13" ht="15" customHeight="1" x14ac:dyDescent="0.25">
      <c r="A78" s="103"/>
      <c r="B78" s="104"/>
      <c r="C78" s="104"/>
      <c r="D78" s="103">
        <f>IF(OR(B78="",C78=""),"",IF(DATEDIF(C78,B78,"y")&gt;=1,DATEDIF(C78,B78,"y")&amp;IF(DATEDIF(C78,B78,"y")=1," year "," years ")&amp;DATEDIF(C78,B78,"ym")&amp;IF(DATEDIF(C78,B78,"ym")=1," month"," months"),IF(DATEDIF(C78,B78,"m")&gt;=1,DATEDIF(C78,B78,"m")&amp;IF(DATEDIF(C78,B78,"m")=1," month"," months"),DATEDIF(C78,B78,"d")&amp;IF(DATEDIF(C78,B78,"d")=1," day"," days"))))</f>
      </c>
      <c r="E78" s="103"/>
      <c r="F78" s="103"/>
      <c r="G78" s="103"/>
      <c r="H78" s="103"/>
      <c r="I78" s="103"/>
      <c r="J78" s="104"/>
      <c r="K78" s="103"/>
      <c r="L78" s="103"/>
      <c r="M78" s="105" t="str">
        <f>IFERROR(VLOOKUP(G78,Reference!$I$2:$J$175,2,FALSE()),"Operations")</f>
        <v>Operations</v>
      </c>
    </row>
    <row r="79" spans="1:13" ht="15" customHeight="1" x14ac:dyDescent="0.25">
      <c r="A79" s="100"/>
      <c r="B79" s="101"/>
      <c r="C79" s="101"/>
      <c r="D79" s="100">
        <f>IF(OR(B79="",C79=""),"",IF(DATEDIF(C79,B79,"y")&gt;=1,DATEDIF(C79,B79,"y")&amp;IF(DATEDIF(C79,B79,"y")=1," year "," years ")&amp;DATEDIF(C79,B79,"ym")&amp;IF(DATEDIF(C79,B79,"ym")=1," month"," months"),IF(DATEDIF(C79,B79,"m")&gt;=1,DATEDIF(C79,B79,"m")&amp;IF(DATEDIF(C79,B79,"m")=1," month"," months"),DATEDIF(C79,B79,"d")&amp;IF(DATEDIF(C79,B79,"d")=1," day"," days"))))</f>
      </c>
      <c r="E79" s="100"/>
      <c r="F79" s="100"/>
      <c r="G79" s="100"/>
      <c r="H79" s="100"/>
      <c r="I79" s="100"/>
      <c r="J79" s="101"/>
      <c r="K79" s="100"/>
      <c r="L79" s="100"/>
      <c r="M79" s="102" t="str">
        <f>IFERROR(VLOOKUP(G79,Reference!$I$2:$J$175,2,FALSE()),"Operations")</f>
        <v>Operations</v>
      </c>
    </row>
    <row r="80" spans="1:13" ht="15" customHeight="1" x14ac:dyDescent="0.25">
      <c r="A80" s="103"/>
      <c r="B80" s="104"/>
      <c r="C80" s="104"/>
      <c r="D80" s="103">
        <f>IF(OR(B80="",C80=""),"",IF(DATEDIF(C80,B80,"y")&gt;=1,DATEDIF(C80,B80,"y")&amp;IF(DATEDIF(C80,B80,"y")=1," year "," years ")&amp;DATEDIF(C80,B80,"ym")&amp;IF(DATEDIF(C80,B80,"ym")=1," month"," months"),IF(DATEDIF(C80,B80,"m")&gt;=1,DATEDIF(C80,B80,"m")&amp;IF(DATEDIF(C80,B80,"m")=1," month"," months"),DATEDIF(C80,B80,"d")&amp;IF(DATEDIF(C80,B80,"d")=1," day"," days"))))</f>
      </c>
      <c r="E80" s="103"/>
      <c r="F80" s="103"/>
      <c r="G80" s="103"/>
      <c r="H80" s="103"/>
      <c r="I80" s="103"/>
      <c r="J80" s="104"/>
      <c r="K80" s="103"/>
      <c r="L80" s="103"/>
      <c r="M80" s="105" t="str">
        <f>IFERROR(VLOOKUP(G80,Reference!$I$2:$J$175,2,FALSE()),"Operations")</f>
        <v>Operations</v>
      </c>
    </row>
    <row r="81" spans="1:13" ht="15" customHeight="1" x14ac:dyDescent="0.25">
      <c r="A81" s="100"/>
      <c r="B81" s="101"/>
      <c r="C81" s="101"/>
      <c r="D81" s="100">
        <f>IF(OR(B81="",C81=""),"",IF(DATEDIF(C81,B81,"y")&gt;=1,DATEDIF(C81,B81,"y")&amp;IF(DATEDIF(C81,B81,"y")=1," year "," years ")&amp;DATEDIF(C81,B81,"ym")&amp;IF(DATEDIF(C81,B81,"ym")=1," month"," months"),IF(DATEDIF(C81,B81,"m")&gt;=1,DATEDIF(C81,B81,"m")&amp;IF(DATEDIF(C81,B81,"m")=1," month"," months"),DATEDIF(C81,B81,"d")&amp;IF(DATEDIF(C81,B81,"d")=1," day"," days"))))</f>
      </c>
      <c r="E81" s="100"/>
      <c r="F81" s="100"/>
      <c r="G81" s="100"/>
      <c r="H81" s="100"/>
      <c r="I81" s="100"/>
      <c r="J81" s="101"/>
      <c r="K81" s="100"/>
      <c r="L81" s="100"/>
      <c r="M81" s="102" t="str">
        <f>IFERROR(VLOOKUP(G81,Reference!$I$2:$J$175,2,FALSE()),"Operations")</f>
        <v>Operations</v>
      </c>
    </row>
    <row r="82" spans="1:13" ht="15" customHeight="1" x14ac:dyDescent="0.25">
      <c r="A82" s="103"/>
      <c r="B82" s="104"/>
      <c r="C82" s="104"/>
      <c r="D82" s="103">
        <f>IF(OR(B82="",C82=""),"",IF(DATEDIF(C82,B82,"y")&gt;=1,DATEDIF(C82,B82,"y")&amp;IF(DATEDIF(C82,B82,"y")=1," year "," years ")&amp;DATEDIF(C82,B82,"ym")&amp;IF(DATEDIF(C82,B82,"ym")=1," month"," months"),IF(DATEDIF(C82,B82,"m")&gt;=1,DATEDIF(C82,B82,"m")&amp;IF(DATEDIF(C82,B82,"m")=1," month"," months"),DATEDIF(C82,B82,"d")&amp;IF(DATEDIF(C82,B82,"d")=1," day"," days"))))</f>
      </c>
      <c r="E82" s="103"/>
      <c r="F82" s="103"/>
      <c r="G82" s="103"/>
      <c r="H82" s="103"/>
      <c r="I82" s="103"/>
      <c r="J82" s="104"/>
      <c r="K82" s="103"/>
      <c r="L82" s="103"/>
      <c r="M82" s="105" t="str">
        <f>IFERROR(VLOOKUP(G82,Reference!$I$2:$J$175,2,FALSE()),"Operations")</f>
        <v>Operations</v>
      </c>
    </row>
    <row r="83" spans="1:13" ht="15" customHeight="1" x14ac:dyDescent="0.25">
      <c r="A83" s="100"/>
      <c r="B83" s="101"/>
      <c r="C83" s="101"/>
      <c r="D83" s="100">
        <f>IF(OR(B83="",C83=""),"",IF(DATEDIF(C83,B83,"y")&gt;=1,DATEDIF(C83,B83,"y")&amp;IF(DATEDIF(C83,B83,"y")=1," year "," years ")&amp;DATEDIF(C83,B83,"ym")&amp;IF(DATEDIF(C83,B83,"ym")=1," month"," months"),IF(DATEDIF(C83,B83,"m")&gt;=1,DATEDIF(C83,B83,"m")&amp;IF(DATEDIF(C83,B83,"m")=1," month"," months"),DATEDIF(C83,B83,"d")&amp;IF(DATEDIF(C83,B83,"d")=1," day"," days"))))</f>
      </c>
      <c r="E83" s="100"/>
      <c r="F83" s="100"/>
      <c r="G83" s="100"/>
      <c r="H83" s="100"/>
      <c r="I83" s="100"/>
      <c r="J83" s="101"/>
      <c r="K83" s="100"/>
      <c r="L83" s="100"/>
      <c r="M83" s="102" t="str">
        <f>IFERROR(VLOOKUP(G83,Reference!$I$2:$J$175,2,FALSE()),"Operations")</f>
        <v>Operations</v>
      </c>
    </row>
    <row r="84" spans="1:13" ht="15" customHeight="1" x14ac:dyDescent="0.25">
      <c r="A84" s="103"/>
      <c r="B84" s="104"/>
      <c r="C84" s="104"/>
      <c r="D84" s="103">
        <f>IF(OR(B84="",C84=""),"",IF(DATEDIF(C84,B84,"y")&gt;=1,DATEDIF(C84,B84,"y")&amp;IF(DATEDIF(C84,B84,"y")=1," year "," years ")&amp;DATEDIF(C84,B84,"ym")&amp;IF(DATEDIF(C84,B84,"ym")=1," month"," months"),IF(DATEDIF(C84,B84,"m")&gt;=1,DATEDIF(C84,B84,"m")&amp;IF(DATEDIF(C84,B84,"m")=1," month"," months"),DATEDIF(C84,B84,"d")&amp;IF(DATEDIF(C84,B84,"d")=1," day"," days"))))</f>
      </c>
      <c r="E84" s="103"/>
      <c r="F84" s="103"/>
      <c r="G84" s="103"/>
      <c r="H84" s="103"/>
      <c r="I84" s="103"/>
      <c r="J84" s="104"/>
      <c r="K84" s="103"/>
      <c r="L84" s="103"/>
      <c r="M84" s="105" t="str">
        <f>IFERROR(VLOOKUP(G84,Reference!$I$2:$J$175,2,FALSE()),"Operations")</f>
        <v>Operations</v>
      </c>
    </row>
    <row r="85" spans="1:13" ht="15" customHeight="1" x14ac:dyDescent="0.25">
      <c r="A85" s="100"/>
      <c r="B85" s="101"/>
      <c r="C85" s="101"/>
      <c r="D85" s="100">
        <f>IF(OR(B85="",C85=""),"",IF(DATEDIF(C85,B85,"y")&gt;=1,DATEDIF(C85,B85,"y")&amp;IF(DATEDIF(C85,B85,"y")=1," year "," years ")&amp;DATEDIF(C85,B85,"ym")&amp;IF(DATEDIF(C85,B85,"ym")=1," month"," months"),IF(DATEDIF(C85,B85,"m")&gt;=1,DATEDIF(C85,B85,"m")&amp;IF(DATEDIF(C85,B85,"m")=1," month"," months"),DATEDIF(C85,B85,"d")&amp;IF(DATEDIF(C85,B85,"d")=1," day"," days"))))</f>
      </c>
      <c r="E85" s="100"/>
      <c r="F85" s="100"/>
      <c r="G85" s="100"/>
      <c r="H85" s="100"/>
      <c r="I85" s="100"/>
      <c r="J85" s="101"/>
      <c r="K85" s="100"/>
      <c r="L85" s="100"/>
      <c r="M85" s="102" t="str">
        <f>IFERROR(VLOOKUP(G85,Reference!$I$2:$J$175,2,FALSE()),"Operations")</f>
        <v>Operations</v>
      </c>
    </row>
    <row r="86" spans="1:13" ht="15" customHeight="1" x14ac:dyDescent="0.25">
      <c r="A86" s="103"/>
      <c r="B86" s="104"/>
      <c r="C86" s="104"/>
      <c r="D86" s="103">
        <f>IF(OR(B86="",C86=""),"",IF(DATEDIF(C86,B86,"y")&gt;=1,DATEDIF(C86,B86,"y")&amp;IF(DATEDIF(C86,B86,"y")=1," year "," years ")&amp;DATEDIF(C86,B86,"ym")&amp;IF(DATEDIF(C86,B86,"ym")=1," month"," months"),IF(DATEDIF(C86,B86,"m")&gt;=1,DATEDIF(C86,B86,"m")&amp;IF(DATEDIF(C86,B86,"m")=1," month"," months"),DATEDIF(C86,B86,"d")&amp;IF(DATEDIF(C86,B86,"d")=1," day"," days"))))</f>
      </c>
      <c r="E86" s="103"/>
      <c r="F86" s="103"/>
      <c r="G86" s="103"/>
      <c r="H86" s="103"/>
      <c r="I86" s="103"/>
      <c r="J86" s="104"/>
      <c r="K86" s="103"/>
      <c r="L86" s="103"/>
      <c r="M86" s="105" t="str">
        <f>IFERROR(VLOOKUP(G86,Reference!$I$2:$J$175,2,FALSE()),"Operations")</f>
        <v>Operations</v>
      </c>
    </row>
    <row r="87" spans="1:13" ht="15" customHeight="1" x14ac:dyDescent="0.25">
      <c r="A87" s="100"/>
      <c r="B87" s="101"/>
      <c r="C87" s="101"/>
      <c r="D87" s="100">
        <f>IF(OR(B87="",C87=""),"",IF(DATEDIF(C87,B87,"y")&gt;=1,DATEDIF(C87,B87,"y")&amp;IF(DATEDIF(C87,B87,"y")=1," year "," years ")&amp;DATEDIF(C87,B87,"ym")&amp;IF(DATEDIF(C87,B87,"ym")=1," month"," months"),IF(DATEDIF(C87,B87,"m")&gt;=1,DATEDIF(C87,B87,"m")&amp;IF(DATEDIF(C87,B87,"m")=1," month"," months"),DATEDIF(C87,B87,"d")&amp;IF(DATEDIF(C87,B87,"d")=1," day"," days"))))</f>
      </c>
      <c r="E87" s="100"/>
      <c r="F87" s="100"/>
      <c r="G87" s="100"/>
      <c r="H87" s="100"/>
      <c r="I87" s="100"/>
      <c r="J87" s="101"/>
      <c r="K87" s="100"/>
      <c r="L87" s="100"/>
      <c r="M87" s="102" t="str">
        <f>IFERROR(VLOOKUP(G87,Reference!$I$2:$J$175,2,FALSE()),"Operations")</f>
        <v>Operations</v>
      </c>
    </row>
    <row r="88" spans="1:13" ht="15" customHeight="1" x14ac:dyDescent="0.25">
      <c r="A88" s="103"/>
      <c r="B88" s="104"/>
      <c r="C88" s="104"/>
      <c r="D88" s="103">
        <f>IF(OR(B88="",C88=""),"",IF(DATEDIF(C88,B88,"y")&gt;=1,DATEDIF(C88,B88,"y")&amp;IF(DATEDIF(C88,B88,"y")=1," year "," years ")&amp;DATEDIF(C88,B88,"ym")&amp;IF(DATEDIF(C88,B88,"ym")=1," month"," months"),IF(DATEDIF(C88,B88,"m")&gt;=1,DATEDIF(C88,B88,"m")&amp;IF(DATEDIF(C88,B88,"m")=1," month"," months"),DATEDIF(C88,B88,"d")&amp;IF(DATEDIF(C88,B88,"d")=1," day"," days"))))</f>
      </c>
      <c r="E88" s="103"/>
      <c r="F88" s="103"/>
      <c r="G88" s="103"/>
      <c r="H88" s="103"/>
      <c r="I88" s="103"/>
      <c r="J88" s="104"/>
      <c r="K88" s="103"/>
      <c r="L88" s="103"/>
      <c r="M88" s="105" t="str">
        <f>IFERROR(VLOOKUP(G88,Reference!$I$2:$J$175,2,FALSE()),"Operations")</f>
        <v>Operations</v>
      </c>
    </row>
    <row r="89" spans="1:13" ht="15" customHeight="1" x14ac:dyDescent="0.25">
      <c r="A89" s="100"/>
      <c r="B89" s="101"/>
      <c r="C89" s="101"/>
      <c r="D89" s="100">
        <f>IF(OR(B89="",C89=""),"",IF(DATEDIF(C89,B89,"y")&gt;=1,DATEDIF(C89,B89,"y")&amp;IF(DATEDIF(C89,B89,"y")=1," year "," years ")&amp;DATEDIF(C89,B89,"ym")&amp;IF(DATEDIF(C89,B89,"ym")=1," month"," months"),IF(DATEDIF(C89,B89,"m")&gt;=1,DATEDIF(C89,B89,"m")&amp;IF(DATEDIF(C89,B89,"m")=1," month"," months"),DATEDIF(C89,B89,"d")&amp;IF(DATEDIF(C89,B89,"d")=1," day"," days"))))</f>
      </c>
      <c r="E89" s="100"/>
      <c r="F89" s="100"/>
      <c r="G89" s="100"/>
      <c r="H89" s="100"/>
      <c r="I89" s="100"/>
      <c r="J89" s="101"/>
      <c r="K89" s="100"/>
      <c r="L89" s="100"/>
      <c r="M89" s="102" t="str">
        <f>IFERROR(VLOOKUP(G89,Reference!$I$2:$J$175,2,FALSE()),"Operations")</f>
        <v>Operations</v>
      </c>
    </row>
    <row r="90" spans="1:13" ht="15" customHeight="1" x14ac:dyDescent="0.25">
      <c r="A90" s="103"/>
      <c r="B90" s="104"/>
      <c r="C90" s="104"/>
      <c r="D90" s="103">
        <f>IF(OR(B90="",C90=""),"",IF(DATEDIF(C90,B90,"y")&gt;=1,DATEDIF(C90,B90,"y")&amp;IF(DATEDIF(C90,B90,"y")=1," year "," years ")&amp;DATEDIF(C90,B90,"ym")&amp;IF(DATEDIF(C90,B90,"ym")=1," month"," months"),IF(DATEDIF(C90,B90,"m")&gt;=1,DATEDIF(C90,B90,"m")&amp;IF(DATEDIF(C90,B90,"m")=1," month"," months"),DATEDIF(C90,B90,"d")&amp;IF(DATEDIF(C90,B90,"d")=1," day"," days"))))</f>
      </c>
      <c r="E90" s="103"/>
      <c r="F90" s="103"/>
      <c r="G90" s="103"/>
      <c r="H90" s="103"/>
      <c r="I90" s="103"/>
      <c r="J90" s="104"/>
      <c r="K90" s="103"/>
      <c r="L90" s="103"/>
      <c r="M90" s="105" t="str">
        <f>IFERROR(VLOOKUP(G90,Reference!$I$2:$J$175,2,FALSE()),"Operations")</f>
        <v>Operations</v>
      </c>
    </row>
    <row r="91" spans="1:13" ht="15" customHeight="1" x14ac:dyDescent="0.25">
      <c r="A91" s="100"/>
      <c r="B91" s="101"/>
      <c r="C91" s="101"/>
      <c r="D91" s="100">
        <f>IF(OR(B91="",C91=""),"",IF(DATEDIF(C91,B91,"y")&gt;=1,DATEDIF(C91,B91,"y")&amp;IF(DATEDIF(C91,B91,"y")=1," year "," years ")&amp;DATEDIF(C91,B91,"ym")&amp;IF(DATEDIF(C91,B91,"ym")=1," month"," months"),IF(DATEDIF(C91,B91,"m")&gt;=1,DATEDIF(C91,B91,"m")&amp;IF(DATEDIF(C91,B91,"m")=1," month"," months"),DATEDIF(C91,B91,"d")&amp;IF(DATEDIF(C91,B91,"d")=1," day"," days"))))</f>
      </c>
      <c r="E91" s="100"/>
      <c r="F91" s="100"/>
      <c r="G91" s="100"/>
      <c r="H91" s="100"/>
      <c r="I91" s="100"/>
      <c r="J91" s="101"/>
      <c r="K91" s="100"/>
      <c r="L91" s="100"/>
      <c r="M91" s="102" t="str">
        <f>IFERROR(VLOOKUP(G91,Reference!$I$2:$J$175,2,FALSE()),"Operations")</f>
        <v>Operations</v>
      </c>
    </row>
    <row r="92" spans="1:13" ht="15" customHeight="1" x14ac:dyDescent="0.25">
      <c r="A92" s="103"/>
      <c r="B92" s="104"/>
      <c r="C92" s="104"/>
      <c r="D92" s="103">
        <f>IF(OR(B92="",C92=""),"",IF(DATEDIF(C92,B92,"y")&gt;=1,DATEDIF(C92,B92,"y")&amp;IF(DATEDIF(C92,B92,"y")=1," year "," years ")&amp;DATEDIF(C92,B92,"ym")&amp;IF(DATEDIF(C92,B92,"ym")=1," month"," months"),IF(DATEDIF(C92,B92,"m")&gt;=1,DATEDIF(C92,B92,"m")&amp;IF(DATEDIF(C92,B92,"m")=1," month"," months"),DATEDIF(C92,B92,"d")&amp;IF(DATEDIF(C92,B92,"d")=1," day"," days"))))</f>
      </c>
      <c r="E92" s="103"/>
      <c r="F92" s="103"/>
      <c r="G92" s="103"/>
      <c r="H92" s="103"/>
      <c r="I92" s="103"/>
      <c r="J92" s="104"/>
      <c r="K92" s="103"/>
      <c r="L92" s="103"/>
      <c r="M92" s="105" t="str">
        <f>IFERROR(VLOOKUP(G92,Reference!$I$2:$J$175,2,FALSE()),"Operations")</f>
        <v>Operations</v>
      </c>
    </row>
    <row r="93" spans="1:13" ht="15" customHeight="1" x14ac:dyDescent="0.25">
      <c r="A93" s="100"/>
      <c r="B93" s="101"/>
      <c r="C93" s="101"/>
      <c r="D93" s="100">
        <f>IF(OR(B93="",C93=""),"",IF(DATEDIF(C93,B93,"y")&gt;=1,DATEDIF(C93,B93,"y")&amp;IF(DATEDIF(C93,B93,"y")=1," year "," years ")&amp;DATEDIF(C93,B93,"ym")&amp;IF(DATEDIF(C93,B93,"ym")=1," month"," months"),IF(DATEDIF(C93,B93,"m")&gt;=1,DATEDIF(C93,B93,"m")&amp;IF(DATEDIF(C93,B93,"m")=1," month"," months"),DATEDIF(C93,B93,"d")&amp;IF(DATEDIF(C93,B93,"d")=1," day"," days"))))</f>
      </c>
      <c r="E93" s="100"/>
      <c r="F93" s="100"/>
      <c r="G93" s="100"/>
      <c r="H93" s="100"/>
      <c r="I93" s="100"/>
      <c r="J93" s="101"/>
      <c r="K93" s="100"/>
      <c r="L93" s="100"/>
      <c r="M93" s="102" t="str">
        <f>IFERROR(VLOOKUP(G93,Reference!$I$2:$J$175,2,FALSE()),"Operations")</f>
        <v>Operations</v>
      </c>
    </row>
    <row r="94" spans="1:13" ht="15" customHeight="1" x14ac:dyDescent="0.25">
      <c r="A94" s="103"/>
      <c r="B94" s="104"/>
      <c r="C94" s="104"/>
      <c r="D94" s="103">
        <f>IF(OR(B94="",C94=""),"",IF(DATEDIF(C94,B94,"y")&gt;=1,DATEDIF(C94,B94,"y")&amp;IF(DATEDIF(C94,B94,"y")=1," year "," years ")&amp;DATEDIF(C94,B94,"ym")&amp;IF(DATEDIF(C94,B94,"ym")=1," month"," months"),IF(DATEDIF(C94,B94,"m")&gt;=1,DATEDIF(C94,B94,"m")&amp;IF(DATEDIF(C94,B94,"m")=1," month"," months"),DATEDIF(C94,B94,"d")&amp;IF(DATEDIF(C94,B94,"d")=1," day"," days"))))</f>
      </c>
      <c r="E94" s="103"/>
      <c r="F94" s="103"/>
      <c r="G94" s="103"/>
      <c r="H94" s="103"/>
      <c r="I94" s="103"/>
      <c r="J94" s="104"/>
      <c r="K94" s="103"/>
      <c r="L94" s="103"/>
      <c r="M94" s="105" t="str">
        <f>IFERROR(VLOOKUP(G94,Reference!$I$2:$J$175,2,FALSE()),"Operations")</f>
        <v>Operations</v>
      </c>
    </row>
    <row r="95" spans="1:13" ht="15" customHeight="1" x14ac:dyDescent="0.25">
      <c r="A95" s="100"/>
      <c r="B95" s="101"/>
      <c r="C95" s="101"/>
      <c r="D95" s="100">
        <f>IF(OR(B95="",C95=""),"",IF(DATEDIF(C95,B95,"y")&gt;=1,DATEDIF(C95,B95,"y")&amp;IF(DATEDIF(C95,B95,"y")=1," year "," years ")&amp;DATEDIF(C95,B95,"ym")&amp;IF(DATEDIF(C95,B95,"ym")=1," month"," months"),IF(DATEDIF(C95,B95,"m")&gt;=1,DATEDIF(C95,B95,"m")&amp;IF(DATEDIF(C95,B95,"m")=1," month"," months"),DATEDIF(C95,B95,"d")&amp;IF(DATEDIF(C95,B95,"d")=1," day"," days"))))</f>
      </c>
      <c r="E95" s="100"/>
      <c r="F95" s="100"/>
      <c r="G95" s="100"/>
      <c r="H95" s="100"/>
      <c r="I95" s="100"/>
      <c r="J95" s="101"/>
      <c r="K95" s="100"/>
      <c r="L95" s="100"/>
      <c r="M95" s="102" t="str">
        <f>IFERROR(VLOOKUP(G95,Reference!$I$2:$J$175,2,FALSE()),"Operations")</f>
        <v>Operations</v>
      </c>
    </row>
    <row r="96" spans="1:13" ht="15" customHeight="1" x14ac:dyDescent="0.25">
      <c r="A96" s="103"/>
      <c r="B96" s="104"/>
      <c r="C96" s="104"/>
      <c r="D96" s="103">
        <f>IF(OR(B96="",C96=""),"",IF(DATEDIF(C96,B96,"y")&gt;=1,DATEDIF(C96,B96,"y")&amp;IF(DATEDIF(C96,B96,"y")=1," year "," years ")&amp;DATEDIF(C96,B96,"ym")&amp;IF(DATEDIF(C96,B96,"ym")=1," month"," months"),IF(DATEDIF(C96,B96,"m")&gt;=1,DATEDIF(C96,B96,"m")&amp;IF(DATEDIF(C96,B96,"m")=1," month"," months"),DATEDIF(C96,B96,"d")&amp;IF(DATEDIF(C96,B96,"d")=1," day"," days"))))</f>
      </c>
      <c r="E96" s="103"/>
      <c r="F96" s="103"/>
      <c r="G96" s="103"/>
      <c r="H96" s="103"/>
      <c r="I96" s="103"/>
      <c r="J96" s="104"/>
      <c r="K96" s="103"/>
      <c r="L96" s="103"/>
      <c r="M96" s="105" t="str">
        <f>IFERROR(VLOOKUP(G96,Reference!$I$2:$J$175,2,FALSE()),"Operations")</f>
        <v>Operations</v>
      </c>
    </row>
    <row r="97" spans="1:13" ht="15" customHeight="1" x14ac:dyDescent="0.25">
      <c r="A97" s="100"/>
      <c r="B97" s="101"/>
      <c r="C97" s="101"/>
      <c r="D97" s="100">
        <f>IF(OR(B97="",C97=""),"",IF(DATEDIF(C97,B97,"y")&gt;=1,DATEDIF(C97,B97,"y")&amp;IF(DATEDIF(C97,B97,"y")=1," year "," years ")&amp;DATEDIF(C97,B97,"ym")&amp;IF(DATEDIF(C97,B97,"ym")=1," month"," months"),IF(DATEDIF(C97,B97,"m")&gt;=1,DATEDIF(C97,B97,"m")&amp;IF(DATEDIF(C97,B97,"m")=1," month"," months"),DATEDIF(C97,B97,"d")&amp;IF(DATEDIF(C97,B97,"d")=1," day"," days"))))</f>
      </c>
      <c r="E97" s="100"/>
      <c r="F97" s="100"/>
      <c r="G97" s="100"/>
      <c r="H97" s="100"/>
      <c r="I97" s="100"/>
      <c r="J97" s="101"/>
      <c r="K97" s="100"/>
      <c r="L97" s="100"/>
      <c r="M97" s="102" t="str">
        <f>IFERROR(VLOOKUP(G97,Reference!$I$2:$J$175,2,FALSE()),"Operations")</f>
        <v>Operations</v>
      </c>
    </row>
    <row r="98" spans="1:13" ht="15" customHeight="1" x14ac:dyDescent="0.25">
      <c r="A98" s="103"/>
      <c r="B98" s="104"/>
      <c r="C98" s="104"/>
      <c r="D98" s="103">
        <f>IF(OR(B98="",C98=""),"",IF(DATEDIF(C98,B98,"y")&gt;=1,DATEDIF(C98,B98,"y")&amp;IF(DATEDIF(C98,B98,"y")=1," year "," years ")&amp;DATEDIF(C98,B98,"ym")&amp;IF(DATEDIF(C98,B98,"ym")=1," month"," months"),IF(DATEDIF(C98,B98,"m")&gt;=1,DATEDIF(C98,B98,"m")&amp;IF(DATEDIF(C98,B98,"m")=1," month"," months"),DATEDIF(C98,B98,"d")&amp;IF(DATEDIF(C98,B98,"d")=1," day"," days"))))</f>
      </c>
      <c r="E98" s="103"/>
      <c r="F98" s="103"/>
      <c r="G98" s="103"/>
      <c r="H98" s="103"/>
      <c r="I98" s="103"/>
      <c r="J98" s="104"/>
      <c r="K98" s="103"/>
      <c r="L98" s="103"/>
      <c r="M98" s="105" t="str">
        <f>IFERROR(VLOOKUP(G98,Reference!$I$2:$J$175,2,FALSE()),"Operations")</f>
        <v>Operations</v>
      </c>
    </row>
    <row r="99" spans="1:13" ht="15" customHeight="1" x14ac:dyDescent="0.25">
      <c r="A99" s="100"/>
      <c r="B99" s="101"/>
      <c r="C99" s="101"/>
      <c r="D99" s="100">
        <f>IF(OR(B99="",C99=""),"",IF(DATEDIF(C99,B99,"y")&gt;=1,DATEDIF(C99,B99,"y")&amp;IF(DATEDIF(C99,B99,"y")=1," year "," years ")&amp;DATEDIF(C99,B99,"ym")&amp;IF(DATEDIF(C99,B99,"ym")=1," month"," months"),IF(DATEDIF(C99,B99,"m")&gt;=1,DATEDIF(C99,B99,"m")&amp;IF(DATEDIF(C99,B99,"m")=1," month"," months"),DATEDIF(C99,B99,"d")&amp;IF(DATEDIF(C99,B99,"d")=1," day"," days"))))</f>
      </c>
      <c r="E99" s="100"/>
      <c r="F99" s="100"/>
      <c r="G99" s="100"/>
      <c r="H99" s="100"/>
      <c r="I99" s="100"/>
      <c r="J99" s="101"/>
      <c r="K99" s="100"/>
      <c r="L99" s="100"/>
      <c r="M99" s="102" t="str">
        <f>IFERROR(VLOOKUP(G99,Reference!$I$2:$J$175,2,FALSE()),"Operations")</f>
        <v>Operations</v>
      </c>
    </row>
    <row r="100" spans="1:13" ht="15" customHeight="1" x14ac:dyDescent="0.25">
      <c r="A100" s="103"/>
      <c r="B100" s="104"/>
      <c r="C100" s="104"/>
      <c r="D100" s="103">
        <f>IF(OR(B100="",C100=""),"",IF(DATEDIF(C100,B100,"y")&gt;=1,DATEDIF(C100,B100,"y")&amp;IF(DATEDIF(C100,B100,"y")=1," year "," years ")&amp;DATEDIF(C100,B100,"ym")&amp;IF(DATEDIF(C100,B100,"ym")=1," month"," months"),IF(DATEDIF(C100,B100,"m")&gt;=1,DATEDIF(C100,B100,"m")&amp;IF(DATEDIF(C100,B100,"m")=1," month"," months"),DATEDIF(C100,B100,"d")&amp;IF(DATEDIF(C100,B100,"d")=1," day"," days"))))</f>
      </c>
      <c r="E100" s="103"/>
      <c r="F100" s="103"/>
      <c r="G100" s="103"/>
      <c r="H100" s="103"/>
      <c r="I100" s="103"/>
      <c r="J100" s="104"/>
      <c r="K100" s="103"/>
      <c r="L100" s="103"/>
      <c r="M100" s="105" t="str">
        <f>IFERROR(VLOOKUP(G100,Reference!$I$2:$J$175,2,FALSE()),"Operations")</f>
        <v>Operations</v>
      </c>
    </row>
    <row r="101" spans="1:13" ht="15" customHeight="1" x14ac:dyDescent="0.25">
      <c r="A101" s="100"/>
      <c r="B101" s="101"/>
      <c r="C101" s="101"/>
      <c r="D101" s="100">
        <f>IF(OR(B101="",C101=""),"",IF(DATEDIF(C101,B101,"y")&gt;=1,DATEDIF(C101,B101,"y")&amp;IF(DATEDIF(C101,B101,"y")=1," year "," years ")&amp;DATEDIF(C101,B101,"ym")&amp;IF(DATEDIF(C101,B101,"ym")=1," month"," months"),IF(DATEDIF(C101,B101,"m")&gt;=1,DATEDIF(C101,B101,"m")&amp;IF(DATEDIF(C101,B101,"m")=1," month"," months"),DATEDIF(C101,B101,"d")&amp;IF(DATEDIF(C101,B101,"d")=1," day"," days"))))</f>
      </c>
      <c r="E101" s="100"/>
      <c r="F101" s="100"/>
      <c r="G101" s="100"/>
      <c r="H101" s="100"/>
      <c r="I101" s="100"/>
      <c r="J101" s="101"/>
      <c r="K101" s="100"/>
      <c r="L101" s="100"/>
      <c r="M101" s="102" t="str">
        <f>IFERROR(VLOOKUP(G101,Reference!$I$2:$J$175,2,FALSE()),"Operations")</f>
        <v>Operations</v>
      </c>
    </row>
    <row r="102" spans="1:13" ht="15" customHeight="1" x14ac:dyDescent="0.25">
      <c r="A102" s="103"/>
      <c r="B102" s="104"/>
      <c r="C102" s="104"/>
      <c r="D102" s="103">
        <f>IF(OR(B102="",C102=""),"",IF(DATEDIF(C102,B102,"y")&gt;=1,DATEDIF(C102,B102,"y")&amp;IF(DATEDIF(C102,B102,"y")=1," year "," years ")&amp;DATEDIF(C102,B102,"ym")&amp;IF(DATEDIF(C102,B102,"ym")=1," month"," months"),IF(DATEDIF(C102,B102,"m")&gt;=1,DATEDIF(C102,B102,"m")&amp;IF(DATEDIF(C102,B102,"m")=1," month"," months"),DATEDIF(C102,B102,"d")&amp;IF(DATEDIF(C102,B102,"d")=1," day"," days"))))</f>
      </c>
      <c r="E102" s="103"/>
      <c r="F102" s="103"/>
      <c r="G102" s="103"/>
      <c r="H102" s="103"/>
      <c r="I102" s="103"/>
      <c r="J102" s="104"/>
      <c r="K102" s="103"/>
      <c r="L102" s="103"/>
      <c r="M102" s="105" t="str">
        <f>IFERROR(VLOOKUP(G102,Reference!$I$2:$J$175,2,FALSE()),"Operations")</f>
        <v>Operations</v>
      </c>
    </row>
    <row r="103" spans="1:13" ht="15" customHeight="1" x14ac:dyDescent="0.25">
      <c r="A103" s="100"/>
      <c r="B103" s="101"/>
      <c r="C103" s="101"/>
      <c r="D103" s="100">
        <f>IF(OR(B103="",C103=""),"",IF(DATEDIF(C103,B103,"y")&gt;=1,DATEDIF(C103,B103,"y")&amp;IF(DATEDIF(C103,B103,"y")=1," year "," years ")&amp;DATEDIF(C103,B103,"ym")&amp;IF(DATEDIF(C103,B103,"ym")=1," month"," months"),IF(DATEDIF(C103,B103,"m")&gt;=1,DATEDIF(C103,B103,"m")&amp;IF(DATEDIF(C103,B103,"m")=1," month"," months"),DATEDIF(C103,B103,"d")&amp;IF(DATEDIF(C103,B103,"d")=1," day"," days"))))</f>
      </c>
      <c r="E103" s="100"/>
      <c r="F103" s="100"/>
      <c r="G103" s="100"/>
      <c r="H103" s="100"/>
      <c r="I103" s="100"/>
      <c r="J103" s="101"/>
      <c r="K103" s="100"/>
      <c r="L103" s="100"/>
      <c r="M103" s="102" t="str">
        <f>IFERROR(VLOOKUP(G103,Reference!$I$2:$J$175,2,FALSE()),"Operations")</f>
        <v>Operations</v>
      </c>
    </row>
    <row r="104" spans="1:13" ht="15" customHeight="1" x14ac:dyDescent="0.25">
      <c r="A104" s="103"/>
      <c r="B104" s="104"/>
      <c r="C104" s="104"/>
      <c r="D104" s="103">
        <f>IF(OR(B104="",C104=""),"",IF(DATEDIF(C104,B104,"y")&gt;=1,DATEDIF(C104,B104,"y")&amp;IF(DATEDIF(C104,B104,"y")=1," year "," years ")&amp;DATEDIF(C104,B104,"ym")&amp;IF(DATEDIF(C104,B104,"ym")=1," month"," months"),IF(DATEDIF(C104,B104,"m")&gt;=1,DATEDIF(C104,B104,"m")&amp;IF(DATEDIF(C104,B104,"m")=1," month"," months"),DATEDIF(C104,B104,"d")&amp;IF(DATEDIF(C104,B104,"d")=1," day"," days"))))</f>
      </c>
      <c r="E104" s="103"/>
      <c r="F104" s="103"/>
      <c r="G104" s="103"/>
      <c r="H104" s="103"/>
      <c r="I104" s="103"/>
      <c r="J104" s="104"/>
      <c r="K104" s="103"/>
      <c r="L104" s="103"/>
      <c r="M104" s="105" t="str">
        <f>IFERROR(VLOOKUP(G104,Reference!$I$2:$J$175,2,FALSE()),"Operations")</f>
        <v>Operations</v>
      </c>
    </row>
    <row r="105" spans="1:13" ht="15" customHeight="1" x14ac:dyDescent="0.25">
      <c r="A105" s="100"/>
      <c r="B105" s="101"/>
      <c r="C105" s="101"/>
      <c r="D105" s="100">
        <f>IF(OR(B105="",C105=""),"",IF(DATEDIF(C105,B105,"y")&gt;=1,DATEDIF(C105,B105,"y")&amp;IF(DATEDIF(C105,B105,"y")=1," year "," years ")&amp;DATEDIF(C105,B105,"ym")&amp;IF(DATEDIF(C105,B105,"ym")=1," month"," months"),IF(DATEDIF(C105,B105,"m")&gt;=1,DATEDIF(C105,B105,"m")&amp;IF(DATEDIF(C105,B105,"m")=1," month"," months"),DATEDIF(C105,B105,"d")&amp;IF(DATEDIF(C105,B105,"d")=1," day"," days"))))</f>
      </c>
      <c r="E105" s="100"/>
      <c r="F105" s="100"/>
      <c r="G105" s="100"/>
      <c r="H105" s="100"/>
      <c r="I105" s="100"/>
      <c r="J105" s="101"/>
      <c r="K105" s="100"/>
      <c r="L105" s="100"/>
      <c r="M105" s="102" t="str">
        <f>IFERROR(VLOOKUP(G105,Reference!$I$2:$J$175,2,FALSE()),"Operations")</f>
        <v>Operations</v>
      </c>
    </row>
    <row r="106" spans="1:13" ht="15" customHeight="1" x14ac:dyDescent="0.25">
      <c r="A106" s="103"/>
      <c r="B106" s="104"/>
      <c r="C106" s="104"/>
      <c r="D106" s="103">
        <f>IF(OR(B106="",C106=""),"",IF(DATEDIF(C106,B106,"y")&gt;=1,DATEDIF(C106,B106,"y")&amp;IF(DATEDIF(C106,B106,"y")=1," year "," years ")&amp;DATEDIF(C106,B106,"ym")&amp;IF(DATEDIF(C106,B106,"ym")=1," month"," months"),IF(DATEDIF(C106,B106,"m")&gt;=1,DATEDIF(C106,B106,"m")&amp;IF(DATEDIF(C106,B106,"m")=1," month"," months"),DATEDIF(C106,B106,"d")&amp;IF(DATEDIF(C106,B106,"d")=1," day"," days"))))</f>
      </c>
      <c r="E106" s="103"/>
      <c r="F106" s="103"/>
      <c r="G106" s="103"/>
      <c r="H106" s="103"/>
      <c r="I106" s="103"/>
      <c r="J106" s="104"/>
      <c r="K106" s="103"/>
      <c r="L106" s="103"/>
      <c r="M106" s="105" t="str">
        <f>IFERROR(VLOOKUP(G106,Reference!$I$2:$J$175,2,FALSE()),"Operations")</f>
        <v>Operations</v>
      </c>
    </row>
    <row r="107" spans="1:13" ht="15" customHeight="1" x14ac:dyDescent="0.25">
      <c r="A107" s="106" t="s">
        <v>163</v>
      </c>
      <c r="B107" s="107">
        <f>COUNTA(A77:A106)</f>
        <v>0</v>
      </c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</row>
    <row r="108" spans="1:13" ht="6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 spans="1:13" ht="21.75" customHeight="1" x14ac:dyDescent="0.25">
      <c r="A109" s="163" t="s">
        <v>895</v>
      </c>
      <c r="B109" s="163"/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</row>
    <row r="110" spans="1:13" ht="19.5" customHeight="1" x14ac:dyDescent="0.25">
      <c r="A110" s="64" t="s">
        <v>151</v>
      </c>
      <c r="B110" s="64" t="s">
        <v>152</v>
      </c>
      <c r="C110" s="64" t="s">
        <v>153</v>
      </c>
      <c r="D110" s="64" t="s">
        <v>154</v>
      </c>
      <c r="E110" s="64" t="s">
        <v>155</v>
      </c>
      <c r="F110" s="64" t="s">
        <v>156</v>
      </c>
      <c r="G110" s="64" t="s">
        <v>157</v>
      </c>
      <c r="H110" s="64" t="s">
        <v>158</v>
      </c>
      <c r="I110" s="64" t="s">
        <v>159</v>
      </c>
      <c r="J110" s="64" t="s">
        <v>160</v>
      </c>
      <c r="K110" s="64" t="s">
        <v>134</v>
      </c>
      <c r="L110" s="64" t="s">
        <v>161</v>
      </c>
      <c r="M110" s="64" t="s">
        <v>162</v>
      </c>
    </row>
    <row r="111" spans="1:13" ht="15" customHeight="1" x14ac:dyDescent="0.25">
      <c r="A111" s="100"/>
      <c r="B111" s="101"/>
      <c r="C111" s="101"/>
      <c r="D111" s="100">
        <f>IF(OR(B111="",C111=""),"",IF(DATEDIF(C111,B111,"y")&gt;=1,DATEDIF(C111,B111,"y")&amp;IF(DATEDIF(C111,B111,"y")=1," year "," years ")&amp;DATEDIF(C111,B111,"ym")&amp;IF(DATEDIF(C111,B111,"ym")=1," month"," months"),IF(DATEDIF(C111,B111,"m")&gt;=1,DATEDIF(C111,B111,"m")&amp;IF(DATEDIF(C111,B111,"m")=1," month"," months"),DATEDIF(C111,B111,"d")&amp;IF(DATEDIF(C111,B111,"d")=1," day"," days"))))</f>
      </c>
      <c r="E111" s="100"/>
      <c r="F111" s="100"/>
      <c r="G111" s="100"/>
      <c r="H111" s="100"/>
      <c r="I111" s="100"/>
      <c r="J111" s="101"/>
      <c r="K111" s="100"/>
      <c r="L111" s="100"/>
      <c r="M111" s="102" t="str">
        <f>IFERROR(VLOOKUP(G111,Reference!$I$2:$J$175,2,FALSE()),"Operations")</f>
        <v>Operations</v>
      </c>
    </row>
    <row r="112" spans="1:13" ht="15" customHeight="1" x14ac:dyDescent="0.25">
      <c r="A112" s="103"/>
      <c r="B112" s="104"/>
      <c r="C112" s="104"/>
      <c r="D112" s="103">
        <f>IF(OR(B112="",C112=""),"",IF(DATEDIF(C112,B112,"y")&gt;=1,DATEDIF(C112,B112,"y")&amp;IF(DATEDIF(C112,B112,"y")=1," year "," years ")&amp;DATEDIF(C112,B112,"ym")&amp;IF(DATEDIF(C112,B112,"ym")=1," month"," months"),IF(DATEDIF(C112,B112,"m")&gt;=1,DATEDIF(C112,B112,"m")&amp;IF(DATEDIF(C112,B112,"m")=1," month"," months"),DATEDIF(C112,B112,"d")&amp;IF(DATEDIF(C112,B112,"d")=1," day"," days"))))</f>
      </c>
      <c r="E112" s="103"/>
      <c r="F112" s="103"/>
      <c r="G112" s="103"/>
      <c r="H112" s="103"/>
      <c r="I112" s="103"/>
      <c r="J112" s="104"/>
      <c r="K112" s="103"/>
      <c r="L112" s="103"/>
      <c r="M112" s="105" t="str">
        <f>IFERROR(VLOOKUP(G112,Reference!$I$2:$J$175,2,FALSE()),"Operations")</f>
        <v>Operations</v>
      </c>
    </row>
    <row r="113" spans="1:13" ht="15" customHeight="1" x14ac:dyDescent="0.25">
      <c r="A113" s="100"/>
      <c r="B113" s="101"/>
      <c r="C113" s="101"/>
      <c r="D113" s="100">
        <f>IF(OR(B113="",C113=""),"",IF(DATEDIF(C113,B113,"y")&gt;=1,DATEDIF(C113,B113,"y")&amp;IF(DATEDIF(C113,B113,"y")=1," year "," years ")&amp;DATEDIF(C113,B113,"ym")&amp;IF(DATEDIF(C113,B113,"ym")=1," month"," months"),IF(DATEDIF(C113,B113,"m")&gt;=1,DATEDIF(C113,B113,"m")&amp;IF(DATEDIF(C113,B113,"m")=1," month"," months"),DATEDIF(C113,B113,"d")&amp;IF(DATEDIF(C113,B113,"d")=1," day"," days"))))</f>
      </c>
      <c r="E113" s="100"/>
      <c r="F113" s="100"/>
      <c r="G113" s="100"/>
      <c r="H113" s="100"/>
      <c r="I113" s="100"/>
      <c r="J113" s="101"/>
      <c r="K113" s="100"/>
      <c r="L113" s="100"/>
      <c r="M113" s="102" t="str">
        <f>IFERROR(VLOOKUP(G113,Reference!$I$2:$J$175,2,FALSE()),"Operations")</f>
        <v>Operations</v>
      </c>
    </row>
    <row r="114" spans="1:13" ht="15" customHeight="1" x14ac:dyDescent="0.25">
      <c r="A114" s="103"/>
      <c r="B114" s="104"/>
      <c r="C114" s="104"/>
      <c r="D114" s="103">
        <f>IF(OR(B114="",C114=""),"",IF(DATEDIF(C114,B114,"y")&gt;=1,DATEDIF(C114,B114,"y")&amp;IF(DATEDIF(C114,B114,"y")=1," year "," years ")&amp;DATEDIF(C114,B114,"ym")&amp;IF(DATEDIF(C114,B114,"ym")=1," month"," months"),IF(DATEDIF(C114,B114,"m")&gt;=1,DATEDIF(C114,B114,"m")&amp;IF(DATEDIF(C114,B114,"m")=1," month"," months"),DATEDIF(C114,B114,"d")&amp;IF(DATEDIF(C114,B114,"d")=1," day"," days"))))</f>
      </c>
      <c r="E114" s="103"/>
      <c r="F114" s="103"/>
      <c r="G114" s="103"/>
      <c r="H114" s="103"/>
      <c r="I114" s="103"/>
      <c r="J114" s="104"/>
      <c r="K114" s="103"/>
      <c r="L114" s="103"/>
      <c r="M114" s="105" t="str">
        <f>IFERROR(VLOOKUP(G114,Reference!$I$2:$J$175,2,FALSE()),"Operations")</f>
        <v>Operations</v>
      </c>
    </row>
    <row r="115" spans="1:13" ht="15" customHeight="1" x14ac:dyDescent="0.25">
      <c r="A115" s="100"/>
      <c r="B115" s="101"/>
      <c r="C115" s="101"/>
      <c r="D115" s="100">
        <f>IF(OR(B115="",C115=""),"",IF(DATEDIF(C115,B115,"y")&gt;=1,DATEDIF(C115,B115,"y")&amp;IF(DATEDIF(C115,B115,"y")=1," year "," years ")&amp;DATEDIF(C115,B115,"ym")&amp;IF(DATEDIF(C115,B115,"ym")=1," month"," months"),IF(DATEDIF(C115,B115,"m")&gt;=1,DATEDIF(C115,B115,"m")&amp;IF(DATEDIF(C115,B115,"m")=1," month"," months"),DATEDIF(C115,B115,"d")&amp;IF(DATEDIF(C115,B115,"d")=1," day"," days"))))</f>
      </c>
      <c r="E115" s="100"/>
      <c r="F115" s="100"/>
      <c r="G115" s="100"/>
      <c r="H115" s="100"/>
      <c r="I115" s="100"/>
      <c r="J115" s="101"/>
      <c r="K115" s="100"/>
      <c r="L115" s="100"/>
      <c r="M115" s="102" t="str">
        <f>IFERROR(VLOOKUP(G115,Reference!$I$2:$J$175,2,FALSE()),"Operations")</f>
        <v>Operations</v>
      </c>
    </row>
    <row r="116" spans="1:13" ht="15" customHeight="1" x14ac:dyDescent="0.25">
      <c r="A116" s="103"/>
      <c r="B116" s="104"/>
      <c r="C116" s="104"/>
      <c r="D116" s="103">
        <f>IF(OR(B116="",C116=""),"",IF(DATEDIF(C116,B116,"y")&gt;=1,DATEDIF(C116,B116,"y")&amp;IF(DATEDIF(C116,B116,"y")=1," year "," years ")&amp;DATEDIF(C116,B116,"ym")&amp;IF(DATEDIF(C116,B116,"ym")=1," month"," months"),IF(DATEDIF(C116,B116,"m")&gt;=1,DATEDIF(C116,B116,"m")&amp;IF(DATEDIF(C116,B116,"m")=1," month"," months"),DATEDIF(C116,B116,"d")&amp;IF(DATEDIF(C116,B116,"d")=1," day"," days"))))</f>
      </c>
      <c r="E116" s="103"/>
      <c r="F116" s="103"/>
      <c r="G116" s="103"/>
      <c r="H116" s="103"/>
      <c r="I116" s="103"/>
      <c r="J116" s="104"/>
      <c r="K116" s="103"/>
      <c r="L116" s="103"/>
      <c r="M116" s="105" t="str">
        <f>IFERROR(VLOOKUP(G116,Reference!$I$2:$J$175,2,FALSE()),"Operations")</f>
        <v>Operations</v>
      </c>
    </row>
    <row r="117" spans="1:13" ht="15" customHeight="1" x14ac:dyDescent="0.25">
      <c r="A117" s="100"/>
      <c r="B117" s="101"/>
      <c r="C117" s="101"/>
      <c r="D117" s="100">
        <f>IF(OR(B117="",C117=""),"",IF(DATEDIF(C117,B117,"y")&gt;=1,DATEDIF(C117,B117,"y")&amp;IF(DATEDIF(C117,B117,"y")=1," year "," years ")&amp;DATEDIF(C117,B117,"ym")&amp;IF(DATEDIF(C117,B117,"ym")=1," month"," months"),IF(DATEDIF(C117,B117,"m")&gt;=1,DATEDIF(C117,B117,"m")&amp;IF(DATEDIF(C117,B117,"m")=1," month"," months"),DATEDIF(C117,B117,"d")&amp;IF(DATEDIF(C117,B117,"d")=1," day"," days"))))</f>
      </c>
      <c r="E117" s="100"/>
      <c r="F117" s="100"/>
      <c r="G117" s="100"/>
      <c r="H117" s="100"/>
      <c r="I117" s="100"/>
      <c r="J117" s="101"/>
      <c r="K117" s="100"/>
      <c r="L117" s="100"/>
      <c r="M117" s="102" t="str">
        <f>IFERROR(VLOOKUP(G117,Reference!$I$2:$J$175,2,FALSE()),"Operations")</f>
        <v>Operations</v>
      </c>
    </row>
    <row r="118" spans="1:13" ht="15" customHeight="1" x14ac:dyDescent="0.25">
      <c r="A118" s="103"/>
      <c r="B118" s="104"/>
      <c r="C118" s="104"/>
      <c r="D118" s="103">
        <f>IF(OR(B118="",C118=""),"",IF(DATEDIF(C118,B118,"y")&gt;=1,DATEDIF(C118,B118,"y")&amp;IF(DATEDIF(C118,B118,"y")=1," year "," years ")&amp;DATEDIF(C118,B118,"ym")&amp;IF(DATEDIF(C118,B118,"ym")=1," month"," months"),IF(DATEDIF(C118,B118,"m")&gt;=1,DATEDIF(C118,B118,"m")&amp;IF(DATEDIF(C118,B118,"m")=1," month"," months"),DATEDIF(C118,B118,"d")&amp;IF(DATEDIF(C118,B118,"d")=1," day"," days"))))</f>
      </c>
      <c r="E118" s="103"/>
      <c r="F118" s="103"/>
      <c r="G118" s="103"/>
      <c r="H118" s="103"/>
      <c r="I118" s="103"/>
      <c r="J118" s="104"/>
      <c r="K118" s="103"/>
      <c r="L118" s="103"/>
      <c r="M118" s="105" t="str">
        <f>IFERROR(VLOOKUP(G118,Reference!$I$2:$J$175,2,FALSE()),"Operations")</f>
        <v>Operations</v>
      </c>
    </row>
    <row r="119" spans="1:13" ht="15" customHeight="1" x14ac:dyDescent="0.25">
      <c r="A119" s="100"/>
      <c r="B119" s="101"/>
      <c r="C119" s="101"/>
      <c r="D119" s="100">
        <f>IF(OR(B119="",C119=""),"",IF(DATEDIF(C119,B119,"y")&gt;=1,DATEDIF(C119,B119,"y")&amp;IF(DATEDIF(C119,B119,"y")=1," year "," years ")&amp;DATEDIF(C119,B119,"ym")&amp;IF(DATEDIF(C119,B119,"ym")=1," month"," months"),IF(DATEDIF(C119,B119,"m")&gt;=1,DATEDIF(C119,B119,"m")&amp;IF(DATEDIF(C119,B119,"m")=1," month"," months"),DATEDIF(C119,B119,"d")&amp;IF(DATEDIF(C119,B119,"d")=1," day"," days"))))</f>
      </c>
      <c r="E119" s="100"/>
      <c r="F119" s="100"/>
      <c r="G119" s="100"/>
      <c r="H119" s="100"/>
      <c r="I119" s="100"/>
      <c r="J119" s="101"/>
      <c r="K119" s="100"/>
      <c r="L119" s="100"/>
      <c r="M119" s="102" t="str">
        <f>IFERROR(VLOOKUP(G119,Reference!$I$2:$J$175,2,FALSE()),"Operations")</f>
        <v>Operations</v>
      </c>
    </row>
    <row r="120" spans="1:13" ht="15" customHeight="1" x14ac:dyDescent="0.25">
      <c r="A120" s="103"/>
      <c r="B120" s="104"/>
      <c r="C120" s="104"/>
      <c r="D120" s="103">
        <f>IF(OR(B120="",C120=""),"",IF(DATEDIF(C120,B120,"y")&gt;=1,DATEDIF(C120,B120,"y")&amp;IF(DATEDIF(C120,B120,"y")=1," year "," years ")&amp;DATEDIF(C120,B120,"ym")&amp;IF(DATEDIF(C120,B120,"ym")=1," month"," months"),IF(DATEDIF(C120,B120,"m")&gt;=1,DATEDIF(C120,B120,"m")&amp;IF(DATEDIF(C120,B120,"m")=1," month"," months"),DATEDIF(C120,B120,"d")&amp;IF(DATEDIF(C120,B120,"d")=1," day"," days"))))</f>
      </c>
      <c r="E120" s="103"/>
      <c r="F120" s="103"/>
      <c r="G120" s="103"/>
      <c r="H120" s="103"/>
      <c r="I120" s="103"/>
      <c r="J120" s="104"/>
      <c r="K120" s="103"/>
      <c r="L120" s="103"/>
      <c r="M120" s="105" t="str">
        <f>IFERROR(VLOOKUP(G120,Reference!$I$2:$J$175,2,FALSE()),"Operations")</f>
        <v>Operations</v>
      </c>
    </row>
    <row r="121" spans="1:13" ht="15" customHeight="1" x14ac:dyDescent="0.25">
      <c r="A121" s="100"/>
      <c r="B121" s="101"/>
      <c r="C121" s="101"/>
      <c r="D121" s="100">
        <f>IF(OR(B121="",C121=""),"",IF(DATEDIF(C121,B121,"y")&gt;=1,DATEDIF(C121,B121,"y")&amp;IF(DATEDIF(C121,B121,"y")=1," year "," years ")&amp;DATEDIF(C121,B121,"ym")&amp;IF(DATEDIF(C121,B121,"ym")=1," month"," months"),IF(DATEDIF(C121,B121,"m")&gt;=1,DATEDIF(C121,B121,"m")&amp;IF(DATEDIF(C121,B121,"m")=1," month"," months"),DATEDIF(C121,B121,"d")&amp;IF(DATEDIF(C121,B121,"d")=1," day"," days"))))</f>
      </c>
      <c r="E121" s="100"/>
      <c r="F121" s="100"/>
      <c r="G121" s="100"/>
      <c r="H121" s="100"/>
      <c r="I121" s="100"/>
      <c r="J121" s="101"/>
      <c r="K121" s="100"/>
      <c r="L121" s="100"/>
      <c r="M121" s="102" t="str">
        <f>IFERROR(VLOOKUP(G121,Reference!$I$2:$J$175,2,FALSE()),"Operations")</f>
        <v>Operations</v>
      </c>
    </row>
    <row r="122" spans="1:13" ht="15" customHeight="1" x14ac:dyDescent="0.25">
      <c r="A122" s="103"/>
      <c r="B122" s="104"/>
      <c r="C122" s="104"/>
      <c r="D122" s="103">
        <f>IF(OR(B122="",C122=""),"",IF(DATEDIF(C122,B122,"y")&gt;=1,DATEDIF(C122,B122,"y")&amp;IF(DATEDIF(C122,B122,"y")=1," year "," years ")&amp;DATEDIF(C122,B122,"ym")&amp;IF(DATEDIF(C122,B122,"ym")=1," month"," months"),IF(DATEDIF(C122,B122,"m")&gt;=1,DATEDIF(C122,B122,"m")&amp;IF(DATEDIF(C122,B122,"m")=1," month"," months"),DATEDIF(C122,B122,"d")&amp;IF(DATEDIF(C122,B122,"d")=1," day"," days"))))</f>
      </c>
      <c r="E122" s="103"/>
      <c r="F122" s="103"/>
      <c r="G122" s="103"/>
      <c r="H122" s="103"/>
      <c r="I122" s="103"/>
      <c r="J122" s="104"/>
      <c r="K122" s="103"/>
      <c r="L122" s="103"/>
      <c r="M122" s="105" t="str">
        <f>IFERROR(VLOOKUP(G122,Reference!$I$2:$J$175,2,FALSE()),"Operations")</f>
        <v>Operations</v>
      </c>
    </row>
    <row r="123" spans="1:13" ht="15" customHeight="1" x14ac:dyDescent="0.25">
      <c r="A123" s="100"/>
      <c r="B123" s="101"/>
      <c r="C123" s="101"/>
      <c r="D123" s="100">
        <f>IF(OR(B123="",C123=""),"",IF(DATEDIF(C123,B123,"y")&gt;=1,DATEDIF(C123,B123,"y")&amp;IF(DATEDIF(C123,B123,"y")=1," year "," years ")&amp;DATEDIF(C123,B123,"ym")&amp;IF(DATEDIF(C123,B123,"ym")=1," month"," months"),IF(DATEDIF(C123,B123,"m")&gt;=1,DATEDIF(C123,B123,"m")&amp;IF(DATEDIF(C123,B123,"m")=1," month"," months"),DATEDIF(C123,B123,"d")&amp;IF(DATEDIF(C123,B123,"d")=1," day"," days"))))</f>
      </c>
      <c r="E123" s="100"/>
      <c r="F123" s="100"/>
      <c r="G123" s="100"/>
      <c r="H123" s="100"/>
      <c r="I123" s="100"/>
      <c r="J123" s="101"/>
      <c r="K123" s="100"/>
      <c r="L123" s="100"/>
      <c r="M123" s="102" t="str">
        <f>IFERROR(VLOOKUP(G123,Reference!$I$2:$J$175,2,FALSE()),"Operations")</f>
        <v>Operations</v>
      </c>
    </row>
    <row r="124" spans="1:13" ht="15" customHeight="1" x14ac:dyDescent="0.25">
      <c r="A124" s="103"/>
      <c r="B124" s="104"/>
      <c r="C124" s="104"/>
      <c r="D124" s="103">
        <f>IF(OR(B124="",C124=""),"",IF(DATEDIF(C124,B124,"y")&gt;=1,DATEDIF(C124,B124,"y")&amp;IF(DATEDIF(C124,B124,"y")=1," year "," years ")&amp;DATEDIF(C124,B124,"ym")&amp;IF(DATEDIF(C124,B124,"ym")=1," month"," months"),IF(DATEDIF(C124,B124,"m")&gt;=1,DATEDIF(C124,B124,"m")&amp;IF(DATEDIF(C124,B124,"m")=1," month"," months"),DATEDIF(C124,B124,"d")&amp;IF(DATEDIF(C124,B124,"d")=1," day"," days"))))</f>
      </c>
      <c r="E124" s="103"/>
      <c r="F124" s="103"/>
      <c r="G124" s="103"/>
      <c r="H124" s="103"/>
      <c r="I124" s="103"/>
      <c r="J124" s="104"/>
      <c r="K124" s="103"/>
      <c r="L124" s="103"/>
      <c r="M124" s="105" t="str">
        <f>IFERROR(VLOOKUP(G124,Reference!$I$2:$J$175,2,FALSE()),"Operations")</f>
        <v>Operations</v>
      </c>
    </row>
    <row r="125" spans="1:13" ht="15" customHeight="1" x14ac:dyDescent="0.25">
      <c r="A125" s="100"/>
      <c r="B125" s="101"/>
      <c r="C125" s="101"/>
      <c r="D125" s="100">
        <f>IF(OR(B125="",C125=""),"",IF(DATEDIF(C125,B125,"y")&gt;=1,DATEDIF(C125,B125,"y")&amp;IF(DATEDIF(C125,B125,"y")=1," year "," years ")&amp;DATEDIF(C125,B125,"ym")&amp;IF(DATEDIF(C125,B125,"ym")=1," month"," months"),IF(DATEDIF(C125,B125,"m")&gt;=1,DATEDIF(C125,B125,"m")&amp;IF(DATEDIF(C125,B125,"m")=1," month"," months"),DATEDIF(C125,B125,"d")&amp;IF(DATEDIF(C125,B125,"d")=1," day"," days"))))</f>
      </c>
      <c r="E125" s="100"/>
      <c r="F125" s="100"/>
      <c r="G125" s="100"/>
      <c r="H125" s="100"/>
      <c r="I125" s="100"/>
      <c r="J125" s="101"/>
      <c r="K125" s="100"/>
      <c r="L125" s="100"/>
      <c r="M125" s="102" t="str">
        <f>IFERROR(VLOOKUP(G125,Reference!$I$2:$J$175,2,FALSE()),"Operations")</f>
        <v>Operations</v>
      </c>
    </row>
    <row r="126" spans="1:13" ht="15" customHeight="1" x14ac:dyDescent="0.25">
      <c r="A126" s="103"/>
      <c r="B126" s="104"/>
      <c r="C126" s="104"/>
      <c r="D126" s="103">
        <f>IF(OR(B126="",C126=""),"",IF(DATEDIF(C126,B126,"y")&gt;=1,DATEDIF(C126,B126,"y")&amp;IF(DATEDIF(C126,B126,"y")=1," year "," years ")&amp;DATEDIF(C126,B126,"ym")&amp;IF(DATEDIF(C126,B126,"ym")=1," month"," months"),IF(DATEDIF(C126,B126,"m")&gt;=1,DATEDIF(C126,B126,"m")&amp;IF(DATEDIF(C126,B126,"m")=1," month"," months"),DATEDIF(C126,B126,"d")&amp;IF(DATEDIF(C126,B126,"d")=1," day"," days"))))</f>
      </c>
      <c r="E126" s="103"/>
      <c r="F126" s="103"/>
      <c r="G126" s="103"/>
      <c r="H126" s="103"/>
      <c r="I126" s="103"/>
      <c r="J126" s="104"/>
      <c r="K126" s="103"/>
      <c r="L126" s="103"/>
      <c r="M126" s="105" t="str">
        <f>IFERROR(VLOOKUP(G126,Reference!$I$2:$J$175,2,FALSE()),"Operations")</f>
        <v>Operations</v>
      </c>
    </row>
    <row r="127" spans="1:13" ht="15" customHeight="1" x14ac:dyDescent="0.25">
      <c r="A127" s="100"/>
      <c r="B127" s="101"/>
      <c r="C127" s="101"/>
      <c r="D127" s="100">
        <f>IF(OR(B127="",C127=""),"",IF(DATEDIF(C127,B127,"y")&gt;=1,DATEDIF(C127,B127,"y")&amp;IF(DATEDIF(C127,B127,"y")=1," year "," years ")&amp;DATEDIF(C127,B127,"ym")&amp;IF(DATEDIF(C127,B127,"ym")=1," month"," months"),IF(DATEDIF(C127,B127,"m")&gt;=1,DATEDIF(C127,B127,"m")&amp;IF(DATEDIF(C127,B127,"m")=1," month"," months"),DATEDIF(C127,B127,"d")&amp;IF(DATEDIF(C127,B127,"d")=1," day"," days"))))</f>
      </c>
      <c r="E127" s="100"/>
      <c r="F127" s="100"/>
      <c r="G127" s="100"/>
      <c r="H127" s="100"/>
      <c r="I127" s="100"/>
      <c r="J127" s="101"/>
      <c r="K127" s="100"/>
      <c r="L127" s="100"/>
      <c r="M127" s="102" t="str">
        <f>IFERROR(VLOOKUP(G127,Reference!$I$2:$J$175,2,FALSE()),"Operations")</f>
        <v>Operations</v>
      </c>
    </row>
    <row r="128" spans="1:13" ht="15" customHeight="1" x14ac:dyDescent="0.25">
      <c r="A128" s="103"/>
      <c r="B128" s="104"/>
      <c r="C128" s="104"/>
      <c r="D128" s="103">
        <f>IF(OR(B128="",C128=""),"",IF(DATEDIF(C128,B128,"y")&gt;=1,DATEDIF(C128,B128,"y")&amp;IF(DATEDIF(C128,B128,"y")=1," year "," years ")&amp;DATEDIF(C128,B128,"ym")&amp;IF(DATEDIF(C128,B128,"ym")=1," month"," months"),IF(DATEDIF(C128,B128,"m")&gt;=1,DATEDIF(C128,B128,"m")&amp;IF(DATEDIF(C128,B128,"m")=1," month"," months"),DATEDIF(C128,B128,"d")&amp;IF(DATEDIF(C128,B128,"d")=1," day"," days"))))</f>
      </c>
      <c r="E128" s="103"/>
      <c r="F128" s="103"/>
      <c r="G128" s="103"/>
      <c r="H128" s="103"/>
      <c r="I128" s="103"/>
      <c r="J128" s="104"/>
      <c r="K128" s="103"/>
      <c r="L128" s="103"/>
      <c r="M128" s="105" t="str">
        <f>IFERROR(VLOOKUP(G128,Reference!$I$2:$J$175,2,FALSE()),"Operations")</f>
        <v>Operations</v>
      </c>
    </row>
    <row r="129" spans="1:13" ht="15" customHeight="1" x14ac:dyDescent="0.25">
      <c r="A129" s="100"/>
      <c r="B129" s="101"/>
      <c r="C129" s="101"/>
      <c r="D129" s="100">
        <f>IF(OR(B129="",C129=""),"",IF(DATEDIF(C129,B129,"y")&gt;=1,DATEDIF(C129,B129,"y")&amp;IF(DATEDIF(C129,B129,"y")=1," year "," years ")&amp;DATEDIF(C129,B129,"ym")&amp;IF(DATEDIF(C129,B129,"ym")=1," month"," months"),IF(DATEDIF(C129,B129,"m")&gt;=1,DATEDIF(C129,B129,"m")&amp;IF(DATEDIF(C129,B129,"m")=1," month"," months"),DATEDIF(C129,B129,"d")&amp;IF(DATEDIF(C129,B129,"d")=1," day"," days"))))</f>
      </c>
      <c r="E129" s="100"/>
      <c r="F129" s="100"/>
      <c r="G129" s="100"/>
      <c r="H129" s="100"/>
      <c r="I129" s="100"/>
      <c r="J129" s="101"/>
      <c r="K129" s="100"/>
      <c r="L129" s="100"/>
      <c r="M129" s="102" t="str">
        <f>IFERROR(VLOOKUP(G129,Reference!$I$2:$J$175,2,FALSE()),"Operations")</f>
        <v>Operations</v>
      </c>
    </row>
    <row r="130" spans="1:13" ht="15" customHeight="1" x14ac:dyDescent="0.25">
      <c r="A130" s="103"/>
      <c r="B130" s="104"/>
      <c r="C130" s="104"/>
      <c r="D130" s="103">
        <f>IF(OR(B130="",C130=""),"",IF(DATEDIF(C130,B130,"y")&gt;=1,DATEDIF(C130,B130,"y")&amp;IF(DATEDIF(C130,B130,"y")=1," year "," years ")&amp;DATEDIF(C130,B130,"ym")&amp;IF(DATEDIF(C130,B130,"ym")=1," month"," months"),IF(DATEDIF(C130,B130,"m")&gt;=1,DATEDIF(C130,B130,"m")&amp;IF(DATEDIF(C130,B130,"m")=1," month"," months"),DATEDIF(C130,B130,"d")&amp;IF(DATEDIF(C130,B130,"d")=1," day"," days"))))</f>
      </c>
      <c r="E130" s="103"/>
      <c r="F130" s="103"/>
      <c r="G130" s="103"/>
      <c r="H130" s="103"/>
      <c r="I130" s="103"/>
      <c r="J130" s="104"/>
      <c r="K130" s="103"/>
      <c r="L130" s="103"/>
      <c r="M130" s="105" t="str">
        <f>IFERROR(VLOOKUP(G130,Reference!$I$2:$J$175,2,FALSE()),"Operations")</f>
        <v>Operations</v>
      </c>
    </row>
    <row r="131" spans="1:13" ht="15" customHeight="1" x14ac:dyDescent="0.25">
      <c r="A131" s="100"/>
      <c r="B131" s="101"/>
      <c r="C131" s="101"/>
      <c r="D131" s="100">
        <f>IF(OR(B131="",C131=""),"",IF(DATEDIF(C131,B131,"y")&gt;=1,DATEDIF(C131,B131,"y")&amp;IF(DATEDIF(C131,B131,"y")=1," year "," years ")&amp;DATEDIF(C131,B131,"ym")&amp;IF(DATEDIF(C131,B131,"ym")=1," month"," months"),IF(DATEDIF(C131,B131,"m")&gt;=1,DATEDIF(C131,B131,"m")&amp;IF(DATEDIF(C131,B131,"m")=1," month"," months"),DATEDIF(C131,B131,"d")&amp;IF(DATEDIF(C131,B131,"d")=1," day"," days"))))</f>
      </c>
      <c r="E131" s="100"/>
      <c r="F131" s="100"/>
      <c r="G131" s="100"/>
      <c r="H131" s="100"/>
      <c r="I131" s="100"/>
      <c r="J131" s="101"/>
      <c r="K131" s="100"/>
      <c r="L131" s="100"/>
      <c r="M131" s="102" t="str">
        <f>IFERROR(VLOOKUP(G131,Reference!$I$2:$J$175,2,FALSE()),"Operations")</f>
        <v>Operations</v>
      </c>
    </row>
    <row r="132" spans="1:13" ht="15" customHeight="1" x14ac:dyDescent="0.25">
      <c r="A132" s="103"/>
      <c r="B132" s="104"/>
      <c r="C132" s="104"/>
      <c r="D132" s="103">
        <f>IF(OR(B132="",C132=""),"",IF(DATEDIF(C132,B132,"y")&gt;=1,DATEDIF(C132,B132,"y")&amp;IF(DATEDIF(C132,B132,"y")=1," year "," years ")&amp;DATEDIF(C132,B132,"ym")&amp;IF(DATEDIF(C132,B132,"ym")=1," month"," months"),IF(DATEDIF(C132,B132,"m")&gt;=1,DATEDIF(C132,B132,"m")&amp;IF(DATEDIF(C132,B132,"m")=1," month"," months"),DATEDIF(C132,B132,"d")&amp;IF(DATEDIF(C132,B132,"d")=1," day"," days"))))</f>
      </c>
      <c r="E132" s="103"/>
      <c r="F132" s="103"/>
      <c r="G132" s="103"/>
      <c r="H132" s="103"/>
      <c r="I132" s="103"/>
      <c r="J132" s="104"/>
      <c r="K132" s="103"/>
      <c r="L132" s="103"/>
      <c r="M132" s="105" t="str">
        <f>IFERROR(VLOOKUP(G132,Reference!$I$2:$J$175,2,FALSE()),"Operations")</f>
        <v>Operations</v>
      </c>
    </row>
    <row r="133" spans="1:13" ht="15" customHeight="1" x14ac:dyDescent="0.25">
      <c r="A133" s="100"/>
      <c r="B133" s="101"/>
      <c r="C133" s="101"/>
      <c r="D133" s="100">
        <f>IF(OR(B133="",C133=""),"",IF(DATEDIF(C133,B133,"y")&gt;=1,DATEDIF(C133,B133,"y")&amp;IF(DATEDIF(C133,B133,"y")=1," year "," years ")&amp;DATEDIF(C133,B133,"ym")&amp;IF(DATEDIF(C133,B133,"ym")=1," month"," months"),IF(DATEDIF(C133,B133,"m")&gt;=1,DATEDIF(C133,B133,"m")&amp;IF(DATEDIF(C133,B133,"m")=1," month"," months"),DATEDIF(C133,B133,"d")&amp;IF(DATEDIF(C133,B133,"d")=1," day"," days"))))</f>
      </c>
      <c r="E133" s="100"/>
      <c r="F133" s="100"/>
      <c r="G133" s="100"/>
      <c r="H133" s="100"/>
      <c r="I133" s="100"/>
      <c r="J133" s="101"/>
      <c r="K133" s="100"/>
      <c r="L133" s="100"/>
      <c r="M133" s="102" t="str">
        <f>IFERROR(VLOOKUP(G133,Reference!$I$2:$J$175,2,FALSE()),"Operations")</f>
        <v>Operations</v>
      </c>
    </row>
    <row r="134" spans="1:13" ht="15" customHeight="1" x14ac:dyDescent="0.25">
      <c r="A134" s="103"/>
      <c r="B134" s="104"/>
      <c r="C134" s="104"/>
      <c r="D134" s="103">
        <f>IF(OR(B134="",C134=""),"",IF(DATEDIF(C134,B134,"y")&gt;=1,DATEDIF(C134,B134,"y")&amp;IF(DATEDIF(C134,B134,"y")=1," year "," years ")&amp;DATEDIF(C134,B134,"ym")&amp;IF(DATEDIF(C134,B134,"ym")=1," month"," months"),IF(DATEDIF(C134,B134,"m")&gt;=1,DATEDIF(C134,B134,"m")&amp;IF(DATEDIF(C134,B134,"m")=1," month"," months"),DATEDIF(C134,B134,"d")&amp;IF(DATEDIF(C134,B134,"d")=1," day"," days"))))</f>
      </c>
      <c r="E134" s="103"/>
      <c r="F134" s="103"/>
      <c r="G134" s="103"/>
      <c r="H134" s="103"/>
      <c r="I134" s="103"/>
      <c r="J134" s="104"/>
      <c r="K134" s="103"/>
      <c r="L134" s="103"/>
      <c r="M134" s="105" t="str">
        <f>IFERROR(VLOOKUP(G134,Reference!$I$2:$J$175,2,FALSE()),"Operations")</f>
        <v>Operations</v>
      </c>
    </row>
    <row r="135" spans="1:13" ht="15" customHeight="1" x14ac:dyDescent="0.25">
      <c r="A135" s="100"/>
      <c r="B135" s="101"/>
      <c r="C135" s="101"/>
      <c r="D135" s="100">
        <f>IF(OR(B135="",C135=""),"",IF(DATEDIF(C135,B135,"y")&gt;=1,DATEDIF(C135,B135,"y")&amp;IF(DATEDIF(C135,B135,"y")=1," year "," years ")&amp;DATEDIF(C135,B135,"ym")&amp;IF(DATEDIF(C135,B135,"ym")=1," month"," months"),IF(DATEDIF(C135,B135,"m")&gt;=1,DATEDIF(C135,B135,"m")&amp;IF(DATEDIF(C135,B135,"m")=1," month"," months"),DATEDIF(C135,B135,"d")&amp;IF(DATEDIF(C135,B135,"d")=1," day"," days"))))</f>
      </c>
      <c r="E135" s="100"/>
      <c r="F135" s="100"/>
      <c r="G135" s="100"/>
      <c r="H135" s="100"/>
      <c r="I135" s="100"/>
      <c r="J135" s="101"/>
      <c r="K135" s="100"/>
      <c r="L135" s="100"/>
      <c r="M135" s="102" t="str">
        <f>IFERROR(VLOOKUP(G135,Reference!$I$2:$J$175,2,FALSE()),"Operations")</f>
        <v>Operations</v>
      </c>
    </row>
    <row r="136" spans="1:13" ht="15" customHeight="1" x14ac:dyDescent="0.25">
      <c r="A136" s="103"/>
      <c r="B136" s="104"/>
      <c r="C136" s="104"/>
      <c r="D136" s="103">
        <f>IF(OR(B136="",C136=""),"",IF(DATEDIF(C136,B136,"y")&gt;=1,DATEDIF(C136,B136,"y")&amp;IF(DATEDIF(C136,B136,"y")=1," year "," years ")&amp;DATEDIF(C136,B136,"ym")&amp;IF(DATEDIF(C136,B136,"ym")=1," month"," months"),IF(DATEDIF(C136,B136,"m")&gt;=1,DATEDIF(C136,B136,"m")&amp;IF(DATEDIF(C136,B136,"m")=1," month"," months"),DATEDIF(C136,B136,"d")&amp;IF(DATEDIF(C136,B136,"d")=1," day"," days"))))</f>
      </c>
      <c r="E136" s="103"/>
      <c r="F136" s="103"/>
      <c r="G136" s="103"/>
      <c r="H136" s="103"/>
      <c r="I136" s="103"/>
      <c r="J136" s="104"/>
      <c r="K136" s="103"/>
      <c r="L136" s="103"/>
      <c r="M136" s="105" t="str">
        <f>IFERROR(VLOOKUP(G136,Reference!$I$2:$J$175,2,FALSE()),"Operations")</f>
        <v>Operations</v>
      </c>
    </row>
    <row r="137" spans="1:13" ht="15" customHeight="1" x14ac:dyDescent="0.25">
      <c r="A137" s="100"/>
      <c r="B137" s="101"/>
      <c r="C137" s="101"/>
      <c r="D137" s="100">
        <f>IF(OR(B137="",C137=""),"",IF(DATEDIF(C137,B137,"y")&gt;=1,DATEDIF(C137,B137,"y")&amp;IF(DATEDIF(C137,B137,"y")=1," year "," years ")&amp;DATEDIF(C137,B137,"ym")&amp;IF(DATEDIF(C137,B137,"ym")=1," month"," months"),IF(DATEDIF(C137,B137,"m")&gt;=1,DATEDIF(C137,B137,"m")&amp;IF(DATEDIF(C137,B137,"m")=1," month"," months"),DATEDIF(C137,B137,"d")&amp;IF(DATEDIF(C137,B137,"d")=1," day"," days"))))</f>
      </c>
      <c r="E137" s="100"/>
      <c r="F137" s="100"/>
      <c r="G137" s="100"/>
      <c r="H137" s="100"/>
      <c r="I137" s="100"/>
      <c r="J137" s="101"/>
      <c r="K137" s="100"/>
      <c r="L137" s="100"/>
      <c r="M137" s="102" t="str">
        <f>IFERROR(VLOOKUP(G137,Reference!$I$2:$J$175,2,FALSE()),"Operations")</f>
        <v>Operations</v>
      </c>
    </row>
    <row r="138" spans="1:13" ht="15" customHeight="1" x14ac:dyDescent="0.25">
      <c r="A138" s="103"/>
      <c r="B138" s="104"/>
      <c r="C138" s="104"/>
      <c r="D138" s="103">
        <f>IF(OR(B138="",C138=""),"",IF(DATEDIF(C138,B138,"y")&gt;=1,DATEDIF(C138,B138,"y")&amp;IF(DATEDIF(C138,B138,"y")=1," year "," years ")&amp;DATEDIF(C138,B138,"ym")&amp;IF(DATEDIF(C138,B138,"ym")=1," month"," months"),IF(DATEDIF(C138,B138,"m")&gt;=1,DATEDIF(C138,B138,"m")&amp;IF(DATEDIF(C138,B138,"m")=1," month"," months"),DATEDIF(C138,B138,"d")&amp;IF(DATEDIF(C138,B138,"d")=1," day"," days"))))</f>
      </c>
      <c r="E138" s="103"/>
      <c r="F138" s="103"/>
      <c r="G138" s="103"/>
      <c r="H138" s="103"/>
      <c r="I138" s="103"/>
      <c r="J138" s="104"/>
      <c r="K138" s="103"/>
      <c r="L138" s="103"/>
      <c r="M138" s="105" t="str">
        <f>IFERROR(VLOOKUP(G138,Reference!$I$2:$J$175,2,FALSE()),"Operations")</f>
        <v>Operations</v>
      </c>
    </row>
    <row r="139" spans="1:13" ht="15" customHeight="1" x14ac:dyDescent="0.25">
      <c r="A139" s="100"/>
      <c r="B139" s="101"/>
      <c r="C139" s="101"/>
      <c r="D139" s="100">
        <f>IF(OR(B139="",C139=""),"",IF(DATEDIF(C139,B139,"y")&gt;=1,DATEDIF(C139,B139,"y")&amp;IF(DATEDIF(C139,B139,"y")=1," year "," years ")&amp;DATEDIF(C139,B139,"ym")&amp;IF(DATEDIF(C139,B139,"ym")=1," month"," months"),IF(DATEDIF(C139,B139,"m")&gt;=1,DATEDIF(C139,B139,"m")&amp;IF(DATEDIF(C139,B139,"m")=1," month"," months"),DATEDIF(C139,B139,"d")&amp;IF(DATEDIF(C139,B139,"d")=1," day"," days"))))</f>
      </c>
      <c r="E139" s="100"/>
      <c r="F139" s="100"/>
      <c r="G139" s="100"/>
      <c r="H139" s="100"/>
      <c r="I139" s="100"/>
      <c r="J139" s="101"/>
      <c r="K139" s="100"/>
      <c r="L139" s="100"/>
      <c r="M139" s="102" t="str">
        <f>IFERROR(VLOOKUP(G139,Reference!$I$2:$J$175,2,FALSE()),"Operations")</f>
        <v>Operations</v>
      </c>
    </row>
    <row r="140" spans="1:13" ht="15" customHeight="1" x14ac:dyDescent="0.25">
      <c r="A140" s="103"/>
      <c r="B140" s="104"/>
      <c r="C140" s="104"/>
      <c r="D140" s="103">
        <f>IF(OR(B140="",C140=""),"",IF(DATEDIF(C140,B140,"y")&gt;=1,DATEDIF(C140,B140,"y")&amp;IF(DATEDIF(C140,B140,"y")=1," year "," years ")&amp;DATEDIF(C140,B140,"ym")&amp;IF(DATEDIF(C140,B140,"ym")=1," month"," months"),IF(DATEDIF(C140,B140,"m")&gt;=1,DATEDIF(C140,B140,"m")&amp;IF(DATEDIF(C140,B140,"m")=1," month"," months"),DATEDIF(C140,B140,"d")&amp;IF(DATEDIF(C140,B140,"d")=1," day"," days"))))</f>
      </c>
      <c r="E140" s="103"/>
      <c r="F140" s="103"/>
      <c r="G140" s="103"/>
      <c r="H140" s="103"/>
      <c r="I140" s="103"/>
      <c r="J140" s="104"/>
      <c r="K140" s="103"/>
      <c r="L140" s="103"/>
      <c r="M140" s="105" t="str">
        <f>IFERROR(VLOOKUP(G140,Reference!$I$2:$J$175,2,FALSE()),"Operations")</f>
        <v>Operations</v>
      </c>
    </row>
    <row r="141" spans="1:13" ht="15" customHeight="1" x14ac:dyDescent="0.25">
      <c r="A141" s="106" t="s">
        <v>163</v>
      </c>
      <c r="B141" s="107">
        <f>COUNTA(A111:A140)</f>
        <v>0</v>
      </c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</row>
    <row r="142" spans="1:13" ht="6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</row>
    <row r="143" spans="1:13" ht="21.75" customHeight="1" x14ac:dyDescent="0.25">
      <c r="A143" s="163" t="s">
        <v>896</v>
      </c>
      <c r="B143" s="163"/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</row>
    <row r="144" spans="1:13" ht="19.5" customHeight="1" x14ac:dyDescent="0.25">
      <c r="A144" s="64" t="s">
        <v>151</v>
      </c>
      <c r="B144" s="64" t="s">
        <v>152</v>
      </c>
      <c r="C144" s="64" t="s">
        <v>153</v>
      </c>
      <c r="D144" s="64" t="s">
        <v>154</v>
      </c>
      <c r="E144" s="64" t="s">
        <v>155</v>
      </c>
      <c r="F144" s="64" t="s">
        <v>156</v>
      </c>
      <c r="G144" s="64" t="s">
        <v>157</v>
      </c>
      <c r="H144" s="64" t="s">
        <v>158</v>
      </c>
      <c r="I144" s="64" t="s">
        <v>159</v>
      </c>
      <c r="J144" s="64" t="s">
        <v>160</v>
      </c>
      <c r="K144" s="64" t="s">
        <v>134</v>
      </c>
      <c r="L144" s="64" t="s">
        <v>161</v>
      </c>
      <c r="M144" s="64" t="s">
        <v>162</v>
      </c>
    </row>
    <row r="145" spans="1:13" ht="15" customHeight="1" x14ac:dyDescent="0.25">
      <c r="A145" s="100"/>
      <c r="B145" s="101"/>
      <c r="C145" s="101"/>
      <c r="D145" s="100">
        <f>IF(OR(B145="",C145=""),"",IF(DATEDIF(C145,B145,"y")&gt;=1,DATEDIF(C145,B145,"y")&amp;IF(DATEDIF(C145,B145,"y")=1," year "," years ")&amp;DATEDIF(C145,B145,"ym")&amp;IF(DATEDIF(C145,B145,"ym")=1," month"," months"),IF(DATEDIF(C145,B145,"m")&gt;=1,DATEDIF(C145,B145,"m")&amp;IF(DATEDIF(C145,B145,"m")=1," month"," months"),DATEDIF(C145,B145,"d")&amp;IF(DATEDIF(C145,B145,"d")=1," day"," days"))))</f>
      </c>
      <c r="E145" s="100"/>
      <c r="F145" s="100"/>
      <c r="G145" s="100"/>
      <c r="H145" s="100"/>
      <c r="I145" s="100"/>
      <c r="J145" s="101"/>
      <c r="K145" s="100"/>
      <c r="L145" s="100"/>
      <c r="M145" s="102" t="str">
        <f>IFERROR(VLOOKUP(G145,Reference!$I$2:$J$175,2,FALSE()),"Operations")</f>
        <v>Operations</v>
      </c>
    </row>
    <row r="146" spans="1:13" ht="15" customHeight="1" x14ac:dyDescent="0.25">
      <c r="A146" s="103"/>
      <c r="B146" s="104"/>
      <c r="C146" s="104"/>
      <c r="D146" s="103">
        <f>IF(OR(B146="",C146=""),"",IF(DATEDIF(C146,B146,"y")&gt;=1,DATEDIF(C146,B146,"y")&amp;IF(DATEDIF(C146,B146,"y")=1," year "," years ")&amp;DATEDIF(C146,B146,"ym")&amp;IF(DATEDIF(C146,B146,"ym")=1," month"," months"),IF(DATEDIF(C146,B146,"m")&gt;=1,DATEDIF(C146,B146,"m")&amp;IF(DATEDIF(C146,B146,"m")=1," month"," months"),DATEDIF(C146,B146,"d")&amp;IF(DATEDIF(C146,B146,"d")=1," day"," days"))))</f>
      </c>
      <c r="E146" s="103"/>
      <c r="F146" s="103"/>
      <c r="G146" s="103"/>
      <c r="H146" s="103"/>
      <c r="I146" s="103"/>
      <c r="J146" s="104"/>
      <c r="K146" s="103"/>
      <c r="L146" s="103"/>
      <c r="M146" s="105" t="str">
        <f>IFERROR(VLOOKUP(G146,Reference!$I$2:$J$175,2,FALSE()),"Operations")</f>
        <v>Operations</v>
      </c>
    </row>
    <row r="147" spans="1:13" ht="15" customHeight="1" x14ac:dyDescent="0.25">
      <c r="A147" s="100"/>
      <c r="B147" s="101"/>
      <c r="C147" s="101"/>
      <c r="D147" s="100">
        <f>IF(OR(B147="",C147=""),"",IF(DATEDIF(C147,B147,"y")&gt;=1,DATEDIF(C147,B147,"y")&amp;IF(DATEDIF(C147,B147,"y")=1," year "," years ")&amp;DATEDIF(C147,B147,"ym")&amp;IF(DATEDIF(C147,B147,"ym")=1," month"," months"),IF(DATEDIF(C147,B147,"m")&gt;=1,DATEDIF(C147,B147,"m")&amp;IF(DATEDIF(C147,B147,"m")=1," month"," months"),DATEDIF(C147,B147,"d")&amp;IF(DATEDIF(C147,B147,"d")=1," day"," days"))))</f>
      </c>
      <c r="E147" s="100"/>
      <c r="F147" s="100"/>
      <c r="G147" s="100"/>
      <c r="H147" s="100"/>
      <c r="I147" s="100"/>
      <c r="J147" s="101"/>
      <c r="K147" s="100"/>
      <c r="L147" s="100"/>
      <c r="M147" s="102" t="str">
        <f>IFERROR(VLOOKUP(G147,Reference!$I$2:$J$175,2,FALSE()),"Operations")</f>
        <v>Operations</v>
      </c>
    </row>
    <row r="148" spans="1:13" ht="15" customHeight="1" x14ac:dyDescent="0.25">
      <c r="A148" s="103"/>
      <c r="B148" s="104"/>
      <c r="C148" s="104"/>
      <c r="D148" s="103">
        <f>IF(OR(B148="",C148=""),"",IF(DATEDIF(C148,B148,"y")&gt;=1,DATEDIF(C148,B148,"y")&amp;IF(DATEDIF(C148,B148,"y")=1," year "," years ")&amp;DATEDIF(C148,B148,"ym")&amp;IF(DATEDIF(C148,B148,"ym")=1," month"," months"),IF(DATEDIF(C148,B148,"m")&gt;=1,DATEDIF(C148,B148,"m")&amp;IF(DATEDIF(C148,B148,"m")=1," month"," months"),DATEDIF(C148,B148,"d")&amp;IF(DATEDIF(C148,B148,"d")=1," day"," days"))))</f>
      </c>
      <c r="E148" s="103"/>
      <c r="F148" s="103"/>
      <c r="G148" s="103"/>
      <c r="H148" s="103"/>
      <c r="I148" s="103"/>
      <c r="J148" s="104"/>
      <c r="K148" s="103"/>
      <c r="L148" s="103"/>
      <c r="M148" s="105" t="str">
        <f>IFERROR(VLOOKUP(G148,Reference!$I$2:$J$175,2,FALSE()),"Operations")</f>
        <v>Operations</v>
      </c>
    </row>
    <row r="149" spans="1:13" ht="15" customHeight="1" x14ac:dyDescent="0.25">
      <c r="A149" s="100"/>
      <c r="B149" s="101"/>
      <c r="C149" s="101"/>
      <c r="D149" s="100">
        <f>IF(OR(B149="",C149=""),"",IF(DATEDIF(C149,B149,"y")&gt;=1,DATEDIF(C149,B149,"y")&amp;IF(DATEDIF(C149,B149,"y")=1," year "," years ")&amp;DATEDIF(C149,B149,"ym")&amp;IF(DATEDIF(C149,B149,"ym")=1," month"," months"),IF(DATEDIF(C149,B149,"m")&gt;=1,DATEDIF(C149,B149,"m")&amp;IF(DATEDIF(C149,B149,"m")=1," month"," months"),DATEDIF(C149,B149,"d")&amp;IF(DATEDIF(C149,B149,"d")=1," day"," days"))))</f>
      </c>
      <c r="E149" s="100"/>
      <c r="F149" s="100"/>
      <c r="G149" s="100"/>
      <c r="H149" s="100"/>
      <c r="I149" s="100"/>
      <c r="J149" s="101"/>
      <c r="K149" s="100"/>
      <c r="L149" s="100"/>
      <c r="M149" s="102" t="str">
        <f>IFERROR(VLOOKUP(G149,Reference!$I$2:$J$175,2,FALSE()),"Operations")</f>
        <v>Operations</v>
      </c>
    </row>
    <row r="150" spans="1:13" ht="15" customHeight="1" x14ac:dyDescent="0.25">
      <c r="A150" s="103"/>
      <c r="B150" s="104"/>
      <c r="C150" s="104"/>
      <c r="D150" s="103">
        <f>IF(OR(B150="",C150=""),"",IF(DATEDIF(C150,B150,"y")&gt;=1,DATEDIF(C150,B150,"y")&amp;IF(DATEDIF(C150,B150,"y")=1," year "," years ")&amp;DATEDIF(C150,B150,"ym")&amp;IF(DATEDIF(C150,B150,"ym")=1," month"," months"),IF(DATEDIF(C150,B150,"m")&gt;=1,DATEDIF(C150,B150,"m")&amp;IF(DATEDIF(C150,B150,"m")=1," month"," months"),DATEDIF(C150,B150,"d")&amp;IF(DATEDIF(C150,B150,"d")=1," day"," days"))))</f>
      </c>
      <c r="E150" s="103"/>
      <c r="F150" s="103"/>
      <c r="G150" s="103"/>
      <c r="H150" s="103"/>
      <c r="I150" s="103"/>
      <c r="J150" s="104"/>
      <c r="K150" s="103"/>
      <c r="L150" s="103"/>
      <c r="M150" s="105" t="str">
        <f>IFERROR(VLOOKUP(G150,Reference!$I$2:$J$175,2,FALSE()),"Operations")</f>
        <v>Operations</v>
      </c>
    </row>
    <row r="151" spans="1:13" ht="15" customHeight="1" x14ac:dyDescent="0.25">
      <c r="A151" s="100"/>
      <c r="B151" s="101"/>
      <c r="C151" s="101"/>
      <c r="D151" s="100">
        <f>IF(OR(B151="",C151=""),"",IF(DATEDIF(C151,B151,"y")&gt;=1,DATEDIF(C151,B151,"y")&amp;IF(DATEDIF(C151,B151,"y")=1," year "," years ")&amp;DATEDIF(C151,B151,"ym")&amp;IF(DATEDIF(C151,B151,"ym")=1," month"," months"),IF(DATEDIF(C151,B151,"m")&gt;=1,DATEDIF(C151,B151,"m")&amp;IF(DATEDIF(C151,B151,"m")=1," month"," months"),DATEDIF(C151,B151,"d")&amp;IF(DATEDIF(C151,B151,"d")=1," day"," days"))))</f>
      </c>
      <c r="E151" s="100"/>
      <c r="F151" s="100"/>
      <c r="G151" s="100"/>
      <c r="H151" s="100"/>
      <c r="I151" s="100"/>
      <c r="J151" s="101"/>
      <c r="K151" s="100"/>
      <c r="L151" s="100"/>
      <c r="M151" s="102" t="str">
        <f>IFERROR(VLOOKUP(G151,Reference!$I$2:$J$175,2,FALSE()),"Operations")</f>
        <v>Operations</v>
      </c>
    </row>
    <row r="152" spans="1:13" ht="15" customHeight="1" x14ac:dyDescent="0.25">
      <c r="A152" s="103"/>
      <c r="B152" s="104"/>
      <c r="C152" s="104"/>
      <c r="D152" s="103">
        <f>IF(OR(B152="",C152=""),"",IF(DATEDIF(C152,B152,"y")&gt;=1,DATEDIF(C152,B152,"y")&amp;IF(DATEDIF(C152,B152,"y")=1," year "," years ")&amp;DATEDIF(C152,B152,"ym")&amp;IF(DATEDIF(C152,B152,"ym")=1," month"," months"),IF(DATEDIF(C152,B152,"m")&gt;=1,DATEDIF(C152,B152,"m")&amp;IF(DATEDIF(C152,B152,"m")=1," month"," months"),DATEDIF(C152,B152,"d")&amp;IF(DATEDIF(C152,B152,"d")=1," day"," days"))))</f>
      </c>
      <c r="E152" s="103"/>
      <c r="F152" s="103"/>
      <c r="G152" s="103"/>
      <c r="H152" s="103"/>
      <c r="I152" s="103"/>
      <c r="J152" s="104"/>
      <c r="K152" s="103"/>
      <c r="L152" s="103"/>
      <c r="M152" s="105" t="str">
        <f>IFERROR(VLOOKUP(G152,Reference!$I$2:$J$175,2,FALSE()),"Operations")</f>
        <v>Operations</v>
      </c>
    </row>
    <row r="153" spans="1:13" ht="15" customHeight="1" x14ac:dyDescent="0.25">
      <c r="A153" s="100"/>
      <c r="B153" s="101"/>
      <c r="C153" s="101"/>
      <c r="D153" s="100">
        <f>IF(OR(B153="",C153=""),"",IF(DATEDIF(C153,B153,"y")&gt;=1,DATEDIF(C153,B153,"y")&amp;IF(DATEDIF(C153,B153,"y")=1," year "," years ")&amp;DATEDIF(C153,B153,"ym")&amp;IF(DATEDIF(C153,B153,"ym")=1," month"," months"),IF(DATEDIF(C153,B153,"m")&gt;=1,DATEDIF(C153,B153,"m")&amp;IF(DATEDIF(C153,B153,"m")=1," month"," months"),DATEDIF(C153,B153,"d")&amp;IF(DATEDIF(C153,B153,"d")=1," day"," days"))))</f>
      </c>
      <c r="E153" s="100"/>
      <c r="F153" s="100"/>
      <c r="G153" s="100"/>
      <c r="H153" s="100"/>
      <c r="I153" s="100"/>
      <c r="J153" s="101"/>
      <c r="K153" s="100"/>
      <c r="L153" s="100"/>
      <c r="M153" s="102" t="str">
        <f>IFERROR(VLOOKUP(G153,Reference!$I$2:$J$175,2,FALSE()),"Operations")</f>
        <v>Operations</v>
      </c>
    </row>
    <row r="154" spans="1:13" ht="15" customHeight="1" x14ac:dyDescent="0.25">
      <c r="A154" s="103"/>
      <c r="B154" s="104"/>
      <c r="C154" s="104"/>
      <c r="D154" s="103">
        <f>IF(OR(B154="",C154=""),"",IF(DATEDIF(C154,B154,"y")&gt;=1,DATEDIF(C154,B154,"y")&amp;IF(DATEDIF(C154,B154,"y")=1," year "," years ")&amp;DATEDIF(C154,B154,"ym")&amp;IF(DATEDIF(C154,B154,"ym")=1," month"," months"),IF(DATEDIF(C154,B154,"m")&gt;=1,DATEDIF(C154,B154,"m")&amp;IF(DATEDIF(C154,B154,"m")=1," month"," months"),DATEDIF(C154,B154,"d")&amp;IF(DATEDIF(C154,B154,"d")=1," day"," days"))))</f>
      </c>
      <c r="E154" s="103"/>
      <c r="F154" s="103"/>
      <c r="G154" s="103"/>
      <c r="H154" s="103"/>
      <c r="I154" s="103"/>
      <c r="J154" s="104"/>
      <c r="K154" s="103"/>
      <c r="L154" s="103"/>
      <c r="M154" s="105" t="str">
        <f>IFERROR(VLOOKUP(G154,Reference!$I$2:$J$175,2,FALSE()),"Operations")</f>
        <v>Operations</v>
      </c>
    </row>
    <row r="155" spans="1:13" ht="15" customHeight="1" x14ac:dyDescent="0.25">
      <c r="A155" s="100"/>
      <c r="B155" s="101"/>
      <c r="C155" s="101"/>
      <c r="D155" s="100">
        <f>IF(OR(B155="",C155=""),"",IF(DATEDIF(C155,B155,"y")&gt;=1,DATEDIF(C155,B155,"y")&amp;IF(DATEDIF(C155,B155,"y")=1," year "," years ")&amp;DATEDIF(C155,B155,"ym")&amp;IF(DATEDIF(C155,B155,"ym")=1," month"," months"),IF(DATEDIF(C155,B155,"m")&gt;=1,DATEDIF(C155,B155,"m")&amp;IF(DATEDIF(C155,B155,"m")=1," month"," months"),DATEDIF(C155,B155,"d")&amp;IF(DATEDIF(C155,B155,"d")=1," day"," days"))))</f>
      </c>
      <c r="E155" s="100"/>
      <c r="F155" s="100"/>
      <c r="G155" s="100"/>
      <c r="H155" s="100"/>
      <c r="I155" s="100"/>
      <c r="J155" s="101"/>
      <c r="K155" s="100"/>
      <c r="L155" s="100"/>
      <c r="M155" s="102" t="str">
        <f>IFERROR(VLOOKUP(G155,Reference!$I$2:$J$175,2,FALSE()),"Operations")</f>
        <v>Operations</v>
      </c>
    </row>
    <row r="156" spans="1:13" ht="15" customHeight="1" x14ac:dyDescent="0.25">
      <c r="A156" s="103"/>
      <c r="B156" s="104"/>
      <c r="C156" s="104"/>
      <c r="D156" s="103">
        <f>IF(OR(B156="",C156=""),"",IF(DATEDIF(C156,B156,"y")&gt;=1,DATEDIF(C156,B156,"y")&amp;IF(DATEDIF(C156,B156,"y")=1," year "," years ")&amp;DATEDIF(C156,B156,"ym")&amp;IF(DATEDIF(C156,B156,"ym")=1," month"," months"),IF(DATEDIF(C156,B156,"m")&gt;=1,DATEDIF(C156,B156,"m")&amp;IF(DATEDIF(C156,B156,"m")=1," month"," months"),DATEDIF(C156,B156,"d")&amp;IF(DATEDIF(C156,B156,"d")=1," day"," days"))))</f>
      </c>
      <c r="E156" s="103"/>
      <c r="F156" s="103"/>
      <c r="G156" s="103"/>
      <c r="H156" s="103"/>
      <c r="I156" s="103"/>
      <c r="J156" s="104"/>
      <c r="K156" s="103"/>
      <c r="L156" s="103"/>
      <c r="M156" s="105" t="str">
        <f>IFERROR(VLOOKUP(G156,Reference!$I$2:$J$175,2,FALSE()),"Operations")</f>
        <v>Operations</v>
      </c>
    </row>
    <row r="157" spans="1:13" ht="15" customHeight="1" x14ac:dyDescent="0.25">
      <c r="A157" s="100"/>
      <c r="B157" s="101"/>
      <c r="C157" s="101"/>
      <c r="D157" s="100">
        <f>IF(OR(B157="",C157=""),"",IF(DATEDIF(C157,B157,"y")&gt;=1,DATEDIF(C157,B157,"y")&amp;IF(DATEDIF(C157,B157,"y")=1," year "," years ")&amp;DATEDIF(C157,B157,"ym")&amp;IF(DATEDIF(C157,B157,"ym")=1," month"," months"),IF(DATEDIF(C157,B157,"m")&gt;=1,DATEDIF(C157,B157,"m")&amp;IF(DATEDIF(C157,B157,"m")=1," month"," months"),DATEDIF(C157,B157,"d")&amp;IF(DATEDIF(C157,B157,"d")=1," day"," days"))))</f>
      </c>
      <c r="E157" s="100"/>
      <c r="F157" s="100"/>
      <c r="G157" s="100"/>
      <c r="H157" s="100"/>
      <c r="I157" s="100"/>
      <c r="J157" s="101"/>
      <c r="K157" s="100"/>
      <c r="L157" s="100"/>
      <c r="M157" s="102" t="str">
        <f>IFERROR(VLOOKUP(G157,Reference!$I$2:$J$175,2,FALSE()),"Operations")</f>
        <v>Operations</v>
      </c>
    </row>
    <row r="158" spans="1:13" ht="15" customHeight="1" x14ac:dyDescent="0.25">
      <c r="A158" s="103"/>
      <c r="B158" s="104"/>
      <c r="C158" s="104"/>
      <c r="D158" s="103">
        <f>IF(OR(B158="",C158=""),"",IF(DATEDIF(C158,B158,"y")&gt;=1,DATEDIF(C158,B158,"y")&amp;IF(DATEDIF(C158,B158,"y")=1," year "," years ")&amp;DATEDIF(C158,B158,"ym")&amp;IF(DATEDIF(C158,B158,"ym")=1," month"," months"),IF(DATEDIF(C158,B158,"m")&gt;=1,DATEDIF(C158,B158,"m")&amp;IF(DATEDIF(C158,B158,"m")=1," month"," months"),DATEDIF(C158,B158,"d")&amp;IF(DATEDIF(C158,B158,"d")=1," day"," days"))))</f>
      </c>
      <c r="E158" s="103"/>
      <c r="F158" s="103"/>
      <c r="G158" s="103"/>
      <c r="H158" s="103"/>
      <c r="I158" s="103"/>
      <c r="J158" s="104"/>
      <c r="K158" s="103"/>
      <c r="L158" s="103"/>
      <c r="M158" s="105" t="str">
        <f>IFERROR(VLOOKUP(G158,Reference!$I$2:$J$175,2,FALSE()),"Operations")</f>
        <v>Operations</v>
      </c>
    </row>
    <row r="159" spans="1:13" ht="15" customHeight="1" x14ac:dyDescent="0.25">
      <c r="A159" s="100"/>
      <c r="B159" s="101"/>
      <c r="C159" s="101"/>
      <c r="D159" s="100">
        <f>IF(OR(B159="",C159=""),"",IF(DATEDIF(C159,B159,"y")&gt;=1,DATEDIF(C159,B159,"y")&amp;IF(DATEDIF(C159,B159,"y")=1," year "," years ")&amp;DATEDIF(C159,B159,"ym")&amp;IF(DATEDIF(C159,B159,"ym")=1," month"," months"),IF(DATEDIF(C159,B159,"m")&gt;=1,DATEDIF(C159,B159,"m")&amp;IF(DATEDIF(C159,B159,"m")=1," month"," months"),DATEDIF(C159,B159,"d")&amp;IF(DATEDIF(C159,B159,"d")=1," day"," days"))))</f>
      </c>
      <c r="E159" s="100"/>
      <c r="F159" s="100"/>
      <c r="G159" s="100"/>
      <c r="H159" s="100"/>
      <c r="I159" s="100"/>
      <c r="J159" s="101"/>
      <c r="K159" s="100"/>
      <c r="L159" s="100"/>
      <c r="M159" s="102" t="str">
        <f>IFERROR(VLOOKUP(G159,Reference!$I$2:$J$175,2,FALSE()),"Operations")</f>
        <v>Operations</v>
      </c>
    </row>
    <row r="160" spans="1:13" ht="15" customHeight="1" x14ac:dyDescent="0.25">
      <c r="A160" s="103"/>
      <c r="B160" s="104"/>
      <c r="C160" s="104"/>
      <c r="D160" s="103">
        <f>IF(OR(B160="",C160=""),"",IF(DATEDIF(C160,B160,"y")&gt;=1,DATEDIF(C160,B160,"y")&amp;IF(DATEDIF(C160,B160,"y")=1," year "," years ")&amp;DATEDIF(C160,B160,"ym")&amp;IF(DATEDIF(C160,B160,"ym")=1," month"," months"),IF(DATEDIF(C160,B160,"m")&gt;=1,DATEDIF(C160,B160,"m")&amp;IF(DATEDIF(C160,B160,"m")=1," month"," months"),DATEDIF(C160,B160,"d")&amp;IF(DATEDIF(C160,B160,"d")=1," day"," days"))))</f>
      </c>
      <c r="E160" s="103"/>
      <c r="F160" s="103"/>
      <c r="G160" s="103"/>
      <c r="H160" s="103"/>
      <c r="I160" s="103"/>
      <c r="J160" s="104"/>
      <c r="K160" s="103"/>
      <c r="L160" s="103"/>
      <c r="M160" s="105" t="str">
        <f>IFERROR(VLOOKUP(G160,Reference!$I$2:$J$175,2,FALSE()),"Operations")</f>
        <v>Operations</v>
      </c>
    </row>
    <row r="161" spans="1:13" ht="15" customHeight="1" x14ac:dyDescent="0.25">
      <c r="A161" s="100"/>
      <c r="B161" s="101"/>
      <c r="C161" s="101"/>
      <c r="D161" s="100">
        <f>IF(OR(B161="",C161=""),"",IF(DATEDIF(C161,B161,"y")&gt;=1,DATEDIF(C161,B161,"y")&amp;IF(DATEDIF(C161,B161,"y")=1," year "," years ")&amp;DATEDIF(C161,B161,"ym")&amp;IF(DATEDIF(C161,B161,"ym")=1," month"," months"),IF(DATEDIF(C161,B161,"m")&gt;=1,DATEDIF(C161,B161,"m")&amp;IF(DATEDIF(C161,B161,"m")=1," month"," months"),DATEDIF(C161,B161,"d")&amp;IF(DATEDIF(C161,B161,"d")=1," day"," days"))))</f>
      </c>
      <c r="E161" s="100"/>
      <c r="F161" s="100"/>
      <c r="G161" s="100"/>
      <c r="H161" s="100"/>
      <c r="I161" s="100"/>
      <c r="J161" s="101"/>
      <c r="K161" s="100"/>
      <c r="L161" s="100"/>
      <c r="M161" s="102" t="str">
        <f>IFERROR(VLOOKUP(G161,Reference!$I$2:$J$175,2,FALSE()),"Operations")</f>
        <v>Operations</v>
      </c>
    </row>
    <row r="162" spans="1:13" ht="15" customHeight="1" x14ac:dyDescent="0.25">
      <c r="A162" s="103"/>
      <c r="B162" s="104"/>
      <c r="C162" s="104"/>
      <c r="D162" s="103">
        <f>IF(OR(B162="",C162=""),"",IF(DATEDIF(C162,B162,"y")&gt;=1,DATEDIF(C162,B162,"y")&amp;IF(DATEDIF(C162,B162,"y")=1," year "," years ")&amp;DATEDIF(C162,B162,"ym")&amp;IF(DATEDIF(C162,B162,"ym")=1," month"," months"),IF(DATEDIF(C162,B162,"m")&gt;=1,DATEDIF(C162,B162,"m")&amp;IF(DATEDIF(C162,B162,"m")=1," month"," months"),DATEDIF(C162,B162,"d")&amp;IF(DATEDIF(C162,B162,"d")=1," day"," days"))))</f>
      </c>
      <c r="E162" s="103"/>
      <c r="F162" s="103"/>
      <c r="G162" s="103"/>
      <c r="H162" s="103"/>
      <c r="I162" s="103"/>
      <c r="J162" s="104"/>
      <c r="K162" s="103"/>
      <c r="L162" s="103"/>
      <c r="M162" s="105" t="str">
        <f>IFERROR(VLOOKUP(G162,Reference!$I$2:$J$175,2,FALSE()),"Operations")</f>
        <v>Operations</v>
      </c>
    </row>
    <row r="163" spans="1:13" ht="15" customHeight="1" x14ac:dyDescent="0.25">
      <c r="A163" s="100"/>
      <c r="B163" s="101"/>
      <c r="C163" s="101"/>
      <c r="D163" s="100">
        <f>IF(OR(B163="",C163=""),"",IF(DATEDIF(C163,B163,"y")&gt;=1,DATEDIF(C163,B163,"y")&amp;IF(DATEDIF(C163,B163,"y")=1," year "," years ")&amp;DATEDIF(C163,B163,"ym")&amp;IF(DATEDIF(C163,B163,"ym")=1," month"," months"),IF(DATEDIF(C163,B163,"m")&gt;=1,DATEDIF(C163,B163,"m")&amp;IF(DATEDIF(C163,B163,"m")=1," month"," months"),DATEDIF(C163,B163,"d")&amp;IF(DATEDIF(C163,B163,"d")=1," day"," days"))))</f>
      </c>
      <c r="E163" s="100"/>
      <c r="F163" s="100"/>
      <c r="G163" s="100"/>
      <c r="H163" s="100"/>
      <c r="I163" s="100"/>
      <c r="J163" s="101"/>
      <c r="K163" s="100"/>
      <c r="L163" s="100"/>
      <c r="M163" s="102" t="str">
        <f>IFERROR(VLOOKUP(G163,Reference!$I$2:$J$175,2,FALSE()),"Operations")</f>
        <v>Operations</v>
      </c>
    </row>
    <row r="164" spans="1:13" ht="15" customHeight="1" x14ac:dyDescent="0.25">
      <c r="A164" s="103"/>
      <c r="B164" s="104"/>
      <c r="C164" s="104"/>
      <c r="D164" s="103">
        <f>IF(OR(B164="",C164=""),"",IF(DATEDIF(C164,B164,"y")&gt;=1,DATEDIF(C164,B164,"y")&amp;IF(DATEDIF(C164,B164,"y")=1," year "," years ")&amp;DATEDIF(C164,B164,"ym")&amp;IF(DATEDIF(C164,B164,"ym")=1," month"," months"),IF(DATEDIF(C164,B164,"m")&gt;=1,DATEDIF(C164,B164,"m")&amp;IF(DATEDIF(C164,B164,"m")=1," month"," months"),DATEDIF(C164,B164,"d")&amp;IF(DATEDIF(C164,B164,"d")=1," day"," days"))))</f>
      </c>
      <c r="E164" s="103"/>
      <c r="F164" s="103"/>
      <c r="G164" s="103"/>
      <c r="H164" s="103"/>
      <c r="I164" s="103"/>
      <c r="J164" s="104"/>
      <c r="K164" s="103"/>
      <c r="L164" s="103"/>
      <c r="M164" s="105" t="str">
        <f>IFERROR(VLOOKUP(G164,Reference!$I$2:$J$175,2,FALSE()),"Operations")</f>
        <v>Operations</v>
      </c>
    </row>
    <row r="165" spans="1:13" ht="15" customHeight="1" x14ac:dyDescent="0.25">
      <c r="A165" s="100"/>
      <c r="B165" s="101"/>
      <c r="C165" s="101"/>
      <c r="D165" s="100">
        <f>IF(OR(B165="",C165=""),"",IF(DATEDIF(C165,B165,"y")&gt;=1,DATEDIF(C165,B165,"y")&amp;IF(DATEDIF(C165,B165,"y")=1," year "," years ")&amp;DATEDIF(C165,B165,"ym")&amp;IF(DATEDIF(C165,B165,"ym")=1," month"," months"),IF(DATEDIF(C165,B165,"m")&gt;=1,DATEDIF(C165,B165,"m")&amp;IF(DATEDIF(C165,B165,"m")=1," month"," months"),DATEDIF(C165,B165,"d")&amp;IF(DATEDIF(C165,B165,"d")=1," day"," days"))))</f>
      </c>
      <c r="E165" s="100"/>
      <c r="F165" s="100"/>
      <c r="G165" s="100"/>
      <c r="H165" s="100"/>
      <c r="I165" s="100"/>
      <c r="J165" s="101"/>
      <c r="K165" s="100"/>
      <c r="L165" s="100"/>
      <c r="M165" s="102" t="str">
        <f>IFERROR(VLOOKUP(G165,Reference!$I$2:$J$175,2,FALSE()),"Operations")</f>
        <v>Operations</v>
      </c>
    </row>
    <row r="166" spans="1:13" ht="15" customHeight="1" x14ac:dyDescent="0.25">
      <c r="A166" s="103"/>
      <c r="B166" s="104"/>
      <c r="C166" s="104"/>
      <c r="D166" s="103">
        <f>IF(OR(B166="",C166=""),"",IF(DATEDIF(C166,B166,"y")&gt;=1,DATEDIF(C166,B166,"y")&amp;IF(DATEDIF(C166,B166,"y")=1," year "," years ")&amp;DATEDIF(C166,B166,"ym")&amp;IF(DATEDIF(C166,B166,"ym")=1," month"," months"),IF(DATEDIF(C166,B166,"m")&gt;=1,DATEDIF(C166,B166,"m")&amp;IF(DATEDIF(C166,B166,"m")=1," month"," months"),DATEDIF(C166,B166,"d")&amp;IF(DATEDIF(C166,B166,"d")=1," day"," days"))))</f>
      </c>
      <c r="E166" s="103"/>
      <c r="F166" s="103"/>
      <c r="G166" s="103"/>
      <c r="H166" s="103"/>
      <c r="I166" s="103"/>
      <c r="J166" s="104"/>
      <c r="K166" s="103"/>
      <c r="L166" s="103"/>
      <c r="M166" s="105" t="str">
        <f>IFERROR(VLOOKUP(G166,Reference!$I$2:$J$175,2,FALSE()),"Operations")</f>
        <v>Operations</v>
      </c>
    </row>
    <row r="167" spans="1:13" ht="15" customHeight="1" x14ac:dyDescent="0.25">
      <c r="A167" s="100"/>
      <c r="B167" s="101"/>
      <c r="C167" s="101"/>
      <c r="D167" s="100">
        <f>IF(OR(B167="",C167=""),"",IF(DATEDIF(C167,B167,"y")&gt;=1,DATEDIF(C167,B167,"y")&amp;IF(DATEDIF(C167,B167,"y")=1," year "," years ")&amp;DATEDIF(C167,B167,"ym")&amp;IF(DATEDIF(C167,B167,"ym")=1," month"," months"),IF(DATEDIF(C167,B167,"m")&gt;=1,DATEDIF(C167,B167,"m")&amp;IF(DATEDIF(C167,B167,"m")=1," month"," months"),DATEDIF(C167,B167,"d")&amp;IF(DATEDIF(C167,B167,"d")=1," day"," days"))))</f>
      </c>
      <c r="E167" s="100"/>
      <c r="F167" s="100"/>
      <c r="G167" s="100"/>
      <c r="H167" s="100"/>
      <c r="I167" s="100"/>
      <c r="J167" s="101"/>
      <c r="K167" s="100"/>
      <c r="L167" s="100"/>
      <c r="M167" s="102" t="str">
        <f>IFERROR(VLOOKUP(G167,Reference!$I$2:$J$175,2,FALSE()),"Operations")</f>
        <v>Operations</v>
      </c>
    </row>
    <row r="168" spans="1:13" ht="15" customHeight="1" x14ac:dyDescent="0.25">
      <c r="A168" s="103"/>
      <c r="B168" s="104"/>
      <c r="C168" s="104"/>
      <c r="D168" s="103">
        <f>IF(OR(B168="",C168=""),"",IF(DATEDIF(C168,B168,"y")&gt;=1,DATEDIF(C168,B168,"y")&amp;IF(DATEDIF(C168,B168,"y")=1," year "," years ")&amp;DATEDIF(C168,B168,"ym")&amp;IF(DATEDIF(C168,B168,"ym")=1," month"," months"),IF(DATEDIF(C168,B168,"m")&gt;=1,DATEDIF(C168,B168,"m")&amp;IF(DATEDIF(C168,B168,"m")=1," month"," months"),DATEDIF(C168,B168,"d")&amp;IF(DATEDIF(C168,B168,"d")=1," day"," days"))))</f>
      </c>
      <c r="E168" s="103"/>
      <c r="F168" s="103"/>
      <c r="G168" s="103"/>
      <c r="H168" s="103"/>
      <c r="I168" s="103"/>
      <c r="J168" s="104"/>
      <c r="K168" s="103"/>
      <c r="L168" s="103"/>
      <c r="M168" s="105" t="str">
        <f>IFERROR(VLOOKUP(G168,Reference!$I$2:$J$175,2,FALSE()),"Operations")</f>
        <v>Operations</v>
      </c>
    </row>
    <row r="169" spans="1:13" ht="15" customHeight="1" x14ac:dyDescent="0.25">
      <c r="A169" s="100"/>
      <c r="B169" s="101"/>
      <c r="C169" s="101"/>
      <c r="D169" s="100">
        <f>IF(OR(B169="",C169=""),"",IF(DATEDIF(C169,B169,"y")&gt;=1,DATEDIF(C169,B169,"y")&amp;IF(DATEDIF(C169,B169,"y")=1," year "," years ")&amp;DATEDIF(C169,B169,"ym")&amp;IF(DATEDIF(C169,B169,"ym")=1," month"," months"),IF(DATEDIF(C169,B169,"m")&gt;=1,DATEDIF(C169,B169,"m")&amp;IF(DATEDIF(C169,B169,"m")=1," month"," months"),DATEDIF(C169,B169,"d")&amp;IF(DATEDIF(C169,B169,"d")=1," day"," days"))))</f>
      </c>
      <c r="E169" s="100"/>
      <c r="F169" s="100"/>
      <c r="G169" s="100"/>
      <c r="H169" s="100"/>
      <c r="I169" s="100"/>
      <c r="J169" s="101"/>
      <c r="K169" s="100"/>
      <c r="L169" s="100"/>
      <c r="M169" s="102" t="str">
        <f>IFERROR(VLOOKUP(G169,Reference!$I$2:$J$175,2,FALSE()),"Operations")</f>
        <v>Operations</v>
      </c>
    </row>
    <row r="170" spans="1:13" ht="15" customHeight="1" x14ac:dyDescent="0.25">
      <c r="A170" s="103"/>
      <c r="B170" s="104"/>
      <c r="C170" s="104"/>
      <c r="D170" s="103">
        <f>IF(OR(B170="",C170=""),"",IF(DATEDIF(C170,B170,"y")&gt;=1,DATEDIF(C170,B170,"y")&amp;IF(DATEDIF(C170,B170,"y")=1," year "," years ")&amp;DATEDIF(C170,B170,"ym")&amp;IF(DATEDIF(C170,B170,"ym")=1," month"," months"),IF(DATEDIF(C170,B170,"m")&gt;=1,DATEDIF(C170,B170,"m")&amp;IF(DATEDIF(C170,B170,"m")=1," month"," months"),DATEDIF(C170,B170,"d")&amp;IF(DATEDIF(C170,B170,"d")=1," day"," days"))))</f>
      </c>
      <c r="E170" s="103"/>
      <c r="F170" s="103"/>
      <c r="G170" s="103"/>
      <c r="H170" s="103"/>
      <c r="I170" s="103"/>
      <c r="J170" s="104"/>
      <c r="K170" s="103"/>
      <c r="L170" s="103"/>
      <c r="M170" s="105" t="str">
        <f>IFERROR(VLOOKUP(G170,Reference!$I$2:$J$175,2,FALSE()),"Operations")</f>
        <v>Operations</v>
      </c>
    </row>
    <row r="171" spans="1:13" ht="15" customHeight="1" x14ac:dyDescent="0.25">
      <c r="A171" s="100"/>
      <c r="B171" s="101"/>
      <c r="C171" s="101"/>
      <c r="D171" s="100">
        <f>IF(OR(B171="",C171=""),"",IF(DATEDIF(C171,B171,"y")&gt;=1,DATEDIF(C171,B171,"y")&amp;IF(DATEDIF(C171,B171,"y")=1," year "," years ")&amp;DATEDIF(C171,B171,"ym")&amp;IF(DATEDIF(C171,B171,"ym")=1," month"," months"),IF(DATEDIF(C171,B171,"m")&gt;=1,DATEDIF(C171,B171,"m")&amp;IF(DATEDIF(C171,B171,"m")=1," month"," months"),DATEDIF(C171,B171,"d")&amp;IF(DATEDIF(C171,B171,"d")=1," day"," days"))))</f>
      </c>
      <c r="E171" s="100"/>
      <c r="F171" s="100"/>
      <c r="G171" s="100"/>
      <c r="H171" s="100"/>
      <c r="I171" s="100"/>
      <c r="J171" s="101"/>
      <c r="K171" s="100"/>
      <c r="L171" s="100"/>
      <c r="M171" s="102" t="str">
        <f>IFERROR(VLOOKUP(G171,Reference!$I$2:$J$175,2,FALSE()),"Operations")</f>
        <v>Operations</v>
      </c>
    </row>
    <row r="172" spans="1:13" ht="15" customHeight="1" x14ac:dyDescent="0.25">
      <c r="A172" s="103"/>
      <c r="B172" s="104"/>
      <c r="C172" s="104"/>
      <c r="D172" s="103">
        <f>IF(OR(B172="",C172=""),"",IF(DATEDIF(C172,B172,"y")&gt;=1,DATEDIF(C172,B172,"y")&amp;IF(DATEDIF(C172,B172,"y")=1," year "," years ")&amp;DATEDIF(C172,B172,"ym")&amp;IF(DATEDIF(C172,B172,"ym")=1," month"," months"),IF(DATEDIF(C172,B172,"m")&gt;=1,DATEDIF(C172,B172,"m")&amp;IF(DATEDIF(C172,B172,"m")=1," month"," months"),DATEDIF(C172,B172,"d")&amp;IF(DATEDIF(C172,B172,"d")=1," day"," days"))))</f>
      </c>
      <c r="E172" s="103"/>
      <c r="F172" s="103"/>
      <c r="G172" s="103"/>
      <c r="H172" s="103"/>
      <c r="I172" s="103"/>
      <c r="J172" s="104"/>
      <c r="K172" s="103"/>
      <c r="L172" s="103"/>
      <c r="M172" s="105" t="str">
        <f>IFERROR(VLOOKUP(G172,Reference!$I$2:$J$175,2,FALSE()),"Operations")</f>
        <v>Operations</v>
      </c>
    </row>
    <row r="173" spans="1:13" ht="15" customHeight="1" x14ac:dyDescent="0.25">
      <c r="A173" s="100"/>
      <c r="B173" s="101"/>
      <c r="C173" s="101"/>
      <c r="D173" s="100">
        <f>IF(OR(B173="",C173=""),"",IF(DATEDIF(C173,B173,"y")&gt;=1,DATEDIF(C173,B173,"y")&amp;IF(DATEDIF(C173,B173,"y")=1," year "," years ")&amp;DATEDIF(C173,B173,"ym")&amp;IF(DATEDIF(C173,B173,"ym")=1," month"," months"),IF(DATEDIF(C173,B173,"m")&gt;=1,DATEDIF(C173,B173,"m")&amp;IF(DATEDIF(C173,B173,"m")=1," month"," months"),DATEDIF(C173,B173,"d")&amp;IF(DATEDIF(C173,B173,"d")=1," day"," days"))))</f>
      </c>
      <c r="E173" s="100"/>
      <c r="F173" s="100"/>
      <c r="G173" s="100"/>
      <c r="H173" s="100"/>
      <c r="I173" s="100"/>
      <c r="J173" s="101"/>
      <c r="K173" s="100"/>
      <c r="L173" s="100"/>
      <c r="M173" s="102" t="str">
        <f>IFERROR(VLOOKUP(G173,Reference!$I$2:$J$175,2,FALSE()),"Operations")</f>
        <v>Operations</v>
      </c>
    </row>
    <row r="174" spans="1:13" ht="15" customHeight="1" x14ac:dyDescent="0.25">
      <c r="A174" s="103"/>
      <c r="B174" s="104"/>
      <c r="C174" s="104"/>
      <c r="D174" s="103">
        <f>IF(OR(B174="",C174=""),"",IF(DATEDIF(C174,B174,"y")&gt;=1,DATEDIF(C174,B174,"y")&amp;IF(DATEDIF(C174,B174,"y")=1," year "," years ")&amp;DATEDIF(C174,B174,"ym")&amp;IF(DATEDIF(C174,B174,"ym")=1," month"," months"),IF(DATEDIF(C174,B174,"m")&gt;=1,DATEDIF(C174,B174,"m")&amp;IF(DATEDIF(C174,B174,"m")=1," month"," months"),DATEDIF(C174,B174,"d")&amp;IF(DATEDIF(C174,B174,"d")=1," day"," days"))))</f>
      </c>
      <c r="E174" s="103"/>
      <c r="F174" s="103"/>
      <c r="G174" s="103"/>
      <c r="H174" s="103"/>
      <c r="I174" s="103"/>
      <c r="J174" s="104"/>
      <c r="K174" s="103"/>
      <c r="L174" s="103"/>
      <c r="M174" s="105" t="str">
        <f>IFERROR(VLOOKUP(G174,Reference!$I$2:$J$175,2,FALSE()),"Operations")</f>
        <v>Operations</v>
      </c>
    </row>
    <row r="175" spans="1:13" ht="15" customHeight="1" x14ac:dyDescent="0.25">
      <c r="A175" s="106" t="s">
        <v>163</v>
      </c>
      <c r="B175" s="107">
        <f>COUNTA(A145:A174)</f>
        <v>0</v>
      </c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</row>
    <row r="176" spans="1:13" ht="6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</row>
    <row r="177" spans="1:13" ht="21.75" customHeight="1" x14ac:dyDescent="0.25">
      <c r="A177" s="163" t="s">
        <v>897</v>
      </c>
      <c r="B177" s="163"/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</row>
    <row r="178" spans="1:13" ht="19.5" customHeight="1" x14ac:dyDescent="0.25">
      <c r="A178" s="64" t="s">
        <v>151</v>
      </c>
      <c r="B178" s="64" t="s">
        <v>152</v>
      </c>
      <c r="C178" s="64" t="s">
        <v>153</v>
      </c>
      <c r="D178" s="64" t="s">
        <v>154</v>
      </c>
      <c r="E178" s="64" t="s">
        <v>155</v>
      </c>
      <c r="F178" s="64" t="s">
        <v>156</v>
      </c>
      <c r="G178" s="64" t="s">
        <v>157</v>
      </c>
      <c r="H178" s="64" t="s">
        <v>158</v>
      </c>
      <c r="I178" s="64" t="s">
        <v>159</v>
      </c>
      <c r="J178" s="64" t="s">
        <v>160</v>
      </c>
      <c r="K178" s="64" t="s">
        <v>134</v>
      </c>
      <c r="L178" s="64" t="s">
        <v>161</v>
      </c>
      <c r="M178" s="64" t="s">
        <v>162</v>
      </c>
    </row>
    <row r="179" spans="1:13" ht="15" customHeight="1" x14ac:dyDescent="0.25">
      <c r="A179" s="100"/>
      <c r="B179" s="101"/>
      <c r="C179" s="101"/>
      <c r="D179" s="100">
        <f>IF(OR(B179="",C179=""),"",IF(DATEDIF(C179,B179,"y")&gt;=1,DATEDIF(C179,B179,"y")&amp;IF(DATEDIF(C179,B179,"y")=1," year "," years ")&amp;DATEDIF(C179,B179,"ym")&amp;IF(DATEDIF(C179,B179,"ym")=1," month"," months"),IF(DATEDIF(C179,B179,"m")&gt;=1,DATEDIF(C179,B179,"m")&amp;IF(DATEDIF(C179,B179,"m")=1," month"," months"),DATEDIF(C179,B179,"d")&amp;IF(DATEDIF(C179,B179,"d")=1," day"," days"))))</f>
      </c>
      <c r="E179" s="100"/>
      <c r="F179" s="100"/>
      <c r="G179" s="100"/>
      <c r="H179" s="100"/>
      <c r="I179" s="100"/>
      <c r="J179" s="101"/>
      <c r="K179" s="100"/>
      <c r="L179" s="100"/>
      <c r="M179" s="102" t="str">
        <f>IFERROR(VLOOKUP(G179,Reference!$I$2:$J$175,2,FALSE()),"Operations")</f>
        <v>Operations</v>
      </c>
    </row>
    <row r="180" spans="1:13" ht="15" customHeight="1" x14ac:dyDescent="0.25">
      <c r="A180" s="103"/>
      <c r="B180" s="104"/>
      <c r="C180" s="104"/>
      <c r="D180" s="103">
        <f>IF(OR(B180="",C180=""),"",IF(DATEDIF(C180,B180,"y")&gt;=1,DATEDIF(C180,B180,"y")&amp;IF(DATEDIF(C180,B180,"y")=1," year "," years ")&amp;DATEDIF(C180,B180,"ym")&amp;IF(DATEDIF(C180,B180,"ym")=1," month"," months"),IF(DATEDIF(C180,B180,"m")&gt;=1,DATEDIF(C180,B180,"m")&amp;IF(DATEDIF(C180,B180,"m")=1," month"," months"),DATEDIF(C180,B180,"d")&amp;IF(DATEDIF(C180,B180,"d")=1," day"," days"))))</f>
      </c>
      <c r="E180" s="103"/>
      <c r="F180" s="103"/>
      <c r="G180" s="103"/>
      <c r="H180" s="103"/>
      <c r="I180" s="103"/>
      <c r="J180" s="104"/>
      <c r="K180" s="103"/>
      <c r="L180" s="103"/>
      <c r="M180" s="105" t="str">
        <f>IFERROR(VLOOKUP(G180,Reference!$I$2:$J$175,2,FALSE()),"Operations")</f>
        <v>Operations</v>
      </c>
    </row>
    <row r="181" spans="1:13" ht="15" customHeight="1" x14ac:dyDescent="0.25">
      <c r="A181" s="100"/>
      <c r="B181" s="101"/>
      <c r="C181" s="101"/>
      <c r="D181" s="100">
        <f>IF(OR(B181="",C181=""),"",IF(DATEDIF(C181,B181,"y")&gt;=1,DATEDIF(C181,B181,"y")&amp;IF(DATEDIF(C181,B181,"y")=1," year "," years ")&amp;DATEDIF(C181,B181,"ym")&amp;IF(DATEDIF(C181,B181,"ym")=1," month"," months"),IF(DATEDIF(C181,B181,"m")&gt;=1,DATEDIF(C181,B181,"m")&amp;IF(DATEDIF(C181,B181,"m")=1," month"," months"),DATEDIF(C181,B181,"d")&amp;IF(DATEDIF(C181,B181,"d")=1," day"," days"))))</f>
      </c>
      <c r="E181" s="100"/>
      <c r="F181" s="100"/>
      <c r="G181" s="100"/>
      <c r="H181" s="100"/>
      <c r="I181" s="100"/>
      <c r="J181" s="101"/>
      <c r="K181" s="100"/>
      <c r="L181" s="100"/>
      <c r="M181" s="102" t="str">
        <f>IFERROR(VLOOKUP(G181,Reference!$I$2:$J$175,2,FALSE()),"Operations")</f>
        <v>Operations</v>
      </c>
    </row>
    <row r="182" spans="1:13" ht="15" customHeight="1" x14ac:dyDescent="0.25">
      <c r="A182" s="103"/>
      <c r="B182" s="104"/>
      <c r="C182" s="104"/>
      <c r="D182" s="103">
        <f>IF(OR(B182="",C182=""),"",IF(DATEDIF(C182,B182,"y")&gt;=1,DATEDIF(C182,B182,"y")&amp;IF(DATEDIF(C182,B182,"y")=1," year "," years ")&amp;DATEDIF(C182,B182,"ym")&amp;IF(DATEDIF(C182,B182,"ym")=1," month"," months"),IF(DATEDIF(C182,B182,"m")&gt;=1,DATEDIF(C182,B182,"m")&amp;IF(DATEDIF(C182,B182,"m")=1," month"," months"),DATEDIF(C182,B182,"d")&amp;IF(DATEDIF(C182,B182,"d")=1," day"," days"))))</f>
      </c>
      <c r="E182" s="103"/>
      <c r="F182" s="103"/>
      <c r="G182" s="103"/>
      <c r="H182" s="103"/>
      <c r="I182" s="103"/>
      <c r="J182" s="104"/>
      <c r="K182" s="103"/>
      <c r="L182" s="103"/>
      <c r="M182" s="105" t="str">
        <f>IFERROR(VLOOKUP(G182,Reference!$I$2:$J$175,2,FALSE()),"Operations")</f>
        <v>Operations</v>
      </c>
    </row>
    <row r="183" spans="1:13" ht="15" customHeight="1" x14ac:dyDescent="0.25">
      <c r="A183" s="100"/>
      <c r="B183" s="101"/>
      <c r="C183" s="101"/>
      <c r="D183" s="100">
        <f>IF(OR(B183="",C183=""),"",IF(DATEDIF(C183,B183,"y")&gt;=1,DATEDIF(C183,B183,"y")&amp;IF(DATEDIF(C183,B183,"y")=1," year "," years ")&amp;DATEDIF(C183,B183,"ym")&amp;IF(DATEDIF(C183,B183,"ym")=1," month"," months"),IF(DATEDIF(C183,B183,"m")&gt;=1,DATEDIF(C183,B183,"m")&amp;IF(DATEDIF(C183,B183,"m")=1," month"," months"),DATEDIF(C183,B183,"d")&amp;IF(DATEDIF(C183,B183,"d")=1," day"," days"))))</f>
      </c>
      <c r="E183" s="100"/>
      <c r="F183" s="100"/>
      <c r="G183" s="100"/>
      <c r="H183" s="100"/>
      <c r="I183" s="100"/>
      <c r="J183" s="101"/>
      <c r="K183" s="100"/>
      <c r="L183" s="100"/>
      <c r="M183" s="102" t="str">
        <f>IFERROR(VLOOKUP(G183,Reference!$I$2:$J$175,2,FALSE()),"Operations")</f>
        <v>Operations</v>
      </c>
    </row>
    <row r="184" spans="1:13" ht="15" customHeight="1" x14ac:dyDescent="0.25">
      <c r="A184" s="103"/>
      <c r="B184" s="104"/>
      <c r="C184" s="104"/>
      <c r="D184" s="103">
        <f>IF(OR(B184="",C184=""),"",IF(DATEDIF(C184,B184,"y")&gt;=1,DATEDIF(C184,B184,"y")&amp;IF(DATEDIF(C184,B184,"y")=1," year "," years ")&amp;DATEDIF(C184,B184,"ym")&amp;IF(DATEDIF(C184,B184,"ym")=1," month"," months"),IF(DATEDIF(C184,B184,"m")&gt;=1,DATEDIF(C184,B184,"m")&amp;IF(DATEDIF(C184,B184,"m")=1," month"," months"),DATEDIF(C184,B184,"d")&amp;IF(DATEDIF(C184,B184,"d")=1," day"," days"))))</f>
      </c>
      <c r="E184" s="103"/>
      <c r="F184" s="103"/>
      <c r="G184" s="103"/>
      <c r="H184" s="103"/>
      <c r="I184" s="103"/>
      <c r="J184" s="104"/>
      <c r="K184" s="103"/>
      <c r="L184" s="103"/>
      <c r="M184" s="105" t="str">
        <f>IFERROR(VLOOKUP(G184,Reference!$I$2:$J$175,2,FALSE()),"Operations")</f>
        <v>Operations</v>
      </c>
    </row>
    <row r="185" spans="1:13" ht="15" customHeight="1" x14ac:dyDescent="0.25">
      <c r="A185" s="100"/>
      <c r="B185" s="101"/>
      <c r="C185" s="101"/>
      <c r="D185" s="100">
        <f>IF(OR(B185="",C185=""),"",IF(DATEDIF(C185,B185,"y")&gt;=1,DATEDIF(C185,B185,"y")&amp;IF(DATEDIF(C185,B185,"y")=1," year "," years ")&amp;DATEDIF(C185,B185,"ym")&amp;IF(DATEDIF(C185,B185,"ym")=1," month"," months"),IF(DATEDIF(C185,B185,"m")&gt;=1,DATEDIF(C185,B185,"m")&amp;IF(DATEDIF(C185,B185,"m")=1," month"," months"),DATEDIF(C185,B185,"d")&amp;IF(DATEDIF(C185,B185,"d")=1," day"," days"))))</f>
      </c>
      <c r="E185" s="100"/>
      <c r="F185" s="100"/>
      <c r="G185" s="100"/>
      <c r="H185" s="100"/>
      <c r="I185" s="100"/>
      <c r="J185" s="101"/>
      <c r="K185" s="100"/>
      <c r="L185" s="100"/>
      <c r="M185" s="102" t="str">
        <f>IFERROR(VLOOKUP(G185,Reference!$I$2:$J$175,2,FALSE()),"Operations")</f>
        <v>Operations</v>
      </c>
    </row>
    <row r="186" spans="1:13" ht="15" customHeight="1" x14ac:dyDescent="0.25">
      <c r="A186" s="103"/>
      <c r="B186" s="104"/>
      <c r="C186" s="104"/>
      <c r="D186" s="103">
        <f>IF(OR(B186="",C186=""),"",IF(DATEDIF(C186,B186,"y")&gt;=1,DATEDIF(C186,B186,"y")&amp;IF(DATEDIF(C186,B186,"y")=1," year "," years ")&amp;DATEDIF(C186,B186,"ym")&amp;IF(DATEDIF(C186,B186,"ym")=1," month"," months"),IF(DATEDIF(C186,B186,"m")&gt;=1,DATEDIF(C186,B186,"m")&amp;IF(DATEDIF(C186,B186,"m")=1," month"," months"),DATEDIF(C186,B186,"d")&amp;IF(DATEDIF(C186,B186,"d")=1," day"," days"))))</f>
      </c>
      <c r="E186" s="103"/>
      <c r="F186" s="103"/>
      <c r="G186" s="103"/>
      <c r="H186" s="103"/>
      <c r="I186" s="103"/>
      <c r="J186" s="104"/>
      <c r="K186" s="103"/>
      <c r="L186" s="103"/>
      <c r="M186" s="105" t="str">
        <f>IFERROR(VLOOKUP(G186,Reference!$I$2:$J$175,2,FALSE()),"Operations")</f>
        <v>Operations</v>
      </c>
    </row>
    <row r="187" spans="1:13" ht="15" customHeight="1" x14ac:dyDescent="0.25">
      <c r="A187" s="100"/>
      <c r="B187" s="101"/>
      <c r="C187" s="101"/>
      <c r="D187" s="100">
        <f>IF(OR(B187="",C187=""),"",IF(DATEDIF(C187,B187,"y")&gt;=1,DATEDIF(C187,B187,"y")&amp;IF(DATEDIF(C187,B187,"y")=1," year "," years ")&amp;DATEDIF(C187,B187,"ym")&amp;IF(DATEDIF(C187,B187,"ym")=1," month"," months"),IF(DATEDIF(C187,B187,"m")&gt;=1,DATEDIF(C187,B187,"m")&amp;IF(DATEDIF(C187,B187,"m")=1," month"," months"),DATEDIF(C187,B187,"d")&amp;IF(DATEDIF(C187,B187,"d")=1," day"," days"))))</f>
      </c>
      <c r="E187" s="100"/>
      <c r="F187" s="100"/>
      <c r="G187" s="100"/>
      <c r="H187" s="100"/>
      <c r="I187" s="100"/>
      <c r="J187" s="101"/>
      <c r="K187" s="100"/>
      <c r="L187" s="100"/>
      <c r="M187" s="102" t="str">
        <f>IFERROR(VLOOKUP(G187,Reference!$I$2:$J$175,2,FALSE()),"Operations")</f>
        <v>Operations</v>
      </c>
    </row>
    <row r="188" spans="1:13" ht="15" customHeight="1" x14ac:dyDescent="0.25">
      <c r="A188" s="103"/>
      <c r="B188" s="104"/>
      <c r="C188" s="104"/>
      <c r="D188" s="103">
        <f>IF(OR(B188="",C188=""),"",IF(DATEDIF(C188,B188,"y")&gt;=1,DATEDIF(C188,B188,"y")&amp;IF(DATEDIF(C188,B188,"y")=1," year "," years ")&amp;DATEDIF(C188,B188,"ym")&amp;IF(DATEDIF(C188,B188,"ym")=1," month"," months"),IF(DATEDIF(C188,B188,"m")&gt;=1,DATEDIF(C188,B188,"m")&amp;IF(DATEDIF(C188,B188,"m")=1," month"," months"),DATEDIF(C188,B188,"d")&amp;IF(DATEDIF(C188,B188,"d")=1," day"," days"))))</f>
      </c>
      <c r="E188" s="103"/>
      <c r="F188" s="103"/>
      <c r="G188" s="103"/>
      <c r="H188" s="103"/>
      <c r="I188" s="103"/>
      <c r="J188" s="104"/>
      <c r="K188" s="103"/>
      <c r="L188" s="103"/>
      <c r="M188" s="105" t="str">
        <f>IFERROR(VLOOKUP(G188,Reference!$I$2:$J$175,2,FALSE()),"Operations")</f>
        <v>Operations</v>
      </c>
    </row>
    <row r="189" spans="1:13" ht="15" customHeight="1" x14ac:dyDescent="0.25">
      <c r="A189" s="100"/>
      <c r="B189" s="101"/>
      <c r="C189" s="101"/>
      <c r="D189" s="100">
        <f>IF(OR(B189="",C189=""),"",IF(DATEDIF(C189,B189,"y")&gt;=1,DATEDIF(C189,B189,"y")&amp;IF(DATEDIF(C189,B189,"y")=1," year "," years ")&amp;DATEDIF(C189,B189,"ym")&amp;IF(DATEDIF(C189,B189,"ym")=1," month"," months"),IF(DATEDIF(C189,B189,"m")&gt;=1,DATEDIF(C189,B189,"m")&amp;IF(DATEDIF(C189,B189,"m")=1," month"," months"),DATEDIF(C189,B189,"d")&amp;IF(DATEDIF(C189,B189,"d")=1," day"," days"))))</f>
      </c>
      <c r="E189" s="100"/>
      <c r="F189" s="100"/>
      <c r="G189" s="100"/>
      <c r="H189" s="100"/>
      <c r="I189" s="100"/>
      <c r="J189" s="101"/>
      <c r="K189" s="100"/>
      <c r="L189" s="100"/>
      <c r="M189" s="102" t="str">
        <f>IFERROR(VLOOKUP(G189,Reference!$I$2:$J$175,2,FALSE()),"Operations")</f>
        <v>Operations</v>
      </c>
    </row>
    <row r="190" spans="1:13" ht="15" customHeight="1" x14ac:dyDescent="0.25">
      <c r="A190" s="103"/>
      <c r="B190" s="104"/>
      <c r="C190" s="104"/>
      <c r="D190" s="103">
        <f>IF(OR(B190="",C190=""),"",IF(DATEDIF(C190,B190,"y")&gt;=1,DATEDIF(C190,B190,"y")&amp;IF(DATEDIF(C190,B190,"y")=1," year "," years ")&amp;DATEDIF(C190,B190,"ym")&amp;IF(DATEDIF(C190,B190,"ym")=1," month"," months"),IF(DATEDIF(C190,B190,"m")&gt;=1,DATEDIF(C190,B190,"m")&amp;IF(DATEDIF(C190,B190,"m")=1," month"," months"),DATEDIF(C190,B190,"d")&amp;IF(DATEDIF(C190,B190,"d")=1," day"," days"))))</f>
      </c>
      <c r="E190" s="103"/>
      <c r="F190" s="103"/>
      <c r="G190" s="103"/>
      <c r="H190" s="103"/>
      <c r="I190" s="103"/>
      <c r="J190" s="104"/>
      <c r="K190" s="103"/>
      <c r="L190" s="103"/>
      <c r="M190" s="105" t="str">
        <f>IFERROR(VLOOKUP(G190,Reference!$I$2:$J$175,2,FALSE()),"Operations")</f>
        <v>Operations</v>
      </c>
    </row>
    <row r="191" spans="1:13" ht="15" customHeight="1" x14ac:dyDescent="0.25">
      <c r="A191" s="100"/>
      <c r="B191" s="101"/>
      <c r="C191" s="101"/>
      <c r="D191" s="100">
        <f>IF(OR(B191="",C191=""),"",IF(DATEDIF(C191,B191,"y")&gt;=1,DATEDIF(C191,B191,"y")&amp;IF(DATEDIF(C191,B191,"y")=1," year "," years ")&amp;DATEDIF(C191,B191,"ym")&amp;IF(DATEDIF(C191,B191,"ym")=1," month"," months"),IF(DATEDIF(C191,B191,"m")&gt;=1,DATEDIF(C191,B191,"m")&amp;IF(DATEDIF(C191,B191,"m")=1," month"," months"),DATEDIF(C191,B191,"d")&amp;IF(DATEDIF(C191,B191,"d")=1," day"," days"))))</f>
      </c>
      <c r="E191" s="100"/>
      <c r="F191" s="100"/>
      <c r="G191" s="100"/>
      <c r="H191" s="100"/>
      <c r="I191" s="100"/>
      <c r="J191" s="101"/>
      <c r="K191" s="100"/>
      <c r="L191" s="100"/>
      <c r="M191" s="102" t="str">
        <f>IFERROR(VLOOKUP(G191,Reference!$I$2:$J$175,2,FALSE()),"Operations")</f>
        <v>Operations</v>
      </c>
    </row>
    <row r="192" spans="1:13" ht="15" customHeight="1" x14ac:dyDescent="0.25">
      <c r="A192" s="103"/>
      <c r="B192" s="104"/>
      <c r="C192" s="104"/>
      <c r="D192" s="103">
        <f>IF(OR(B192="",C192=""),"",IF(DATEDIF(C192,B192,"y")&gt;=1,DATEDIF(C192,B192,"y")&amp;IF(DATEDIF(C192,B192,"y")=1," year "," years ")&amp;DATEDIF(C192,B192,"ym")&amp;IF(DATEDIF(C192,B192,"ym")=1," month"," months"),IF(DATEDIF(C192,B192,"m")&gt;=1,DATEDIF(C192,B192,"m")&amp;IF(DATEDIF(C192,B192,"m")=1," month"," months"),DATEDIF(C192,B192,"d")&amp;IF(DATEDIF(C192,B192,"d")=1," day"," days"))))</f>
      </c>
      <c r="E192" s="103"/>
      <c r="F192" s="103"/>
      <c r="G192" s="103"/>
      <c r="H192" s="103"/>
      <c r="I192" s="103"/>
      <c r="J192" s="104"/>
      <c r="K192" s="103"/>
      <c r="L192" s="103"/>
      <c r="M192" s="105" t="str">
        <f>IFERROR(VLOOKUP(G192,Reference!$I$2:$J$175,2,FALSE()),"Operations")</f>
        <v>Operations</v>
      </c>
    </row>
    <row r="193" spans="1:13" ht="15" customHeight="1" x14ac:dyDescent="0.25">
      <c r="A193" s="100"/>
      <c r="B193" s="101"/>
      <c r="C193" s="101"/>
      <c r="D193" s="100">
        <f>IF(OR(B193="",C193=""),"",IF(DATEDIF(C193,B193,"y")&gt;=1,DATEDIF(C193,B193,"y")&amp;IF(DATEDIF(C193,B193,"y")=1," year "," years ")&amp;DATEDIF(C193,B193,"ym")&amp;IF(DATEDIF(C193,B193,"ym")=1," month"," months"),IF(DATEDIF(C193,B193,"m")&gt;=1,DATEDIF(C193,B193,"m")&amp;IF(DATEDIF(C193,B193,"m")=1," month"," months"),DATEDIF(C193,B193,"d")&amp;IF(DATEDIF(C193,B193,"d")=1," day"," days"))))</f>
      </c>
      <c r="E193" s="100"/>
      <c r="F193" s="100"/>
      <c r="G193" s="100"/>
      <c r="H193" s="100"/>
      <c r="I193" s="100"/>
      <c r="J193" s="101"/>
      <c r="K193" s="100"/>
      <c r="L193" s="100"/>
      <c r="M193" s="102" t="str">
        <f>IFERROR(VLOOKUP(G193,Reference!$I$2:$J$175,2,FALSE()),"Operations")</f>
        <v>Operations</v>
      </c>
    </row>
    <row r="194" spans="1:13" ht="15" customHeight="1" x14ac:dyDescent="0.25">
      <c r="A194" s="103"/>
      <c r="B194" s="104"/>
      <c r="C194" s="104"/>
      <c r="D194" s="103">
        <f>IF(OR(B194="",C194=""),"",IF(DATEDIF(C194,B194,"y")&gt;=1,DATEDIF(C194,B194,"y")&amp;IF(DATEDIF(C194,B194,"y")=1," year "," years ")&amp;DATEDIF(C194,B194,"ym")&amp;IF(DATEDIF(C194,B194,"ym")=1," month"," months"),IF(DATEDIF(C194,B194,"m")&gt;=1,DATEDIF(C194,B194,"m")&amp;IF(DATEDIF(C194,B194,"m")=1," month"," months"),DATEDIF(C194,B194,"d")&amp;IF(DATEDIF(C194,B194,"d")=1," day"," days"))))</f>
      </c>
      <c r="E194" s="103"/>
      <c r="F194" s="103"/>
      <c r="G194" s="103"/>
      <c r="H194" s="103"/>
      <c r="I194" s="103"/>
      <c r="J194" s="104"/>
      <c r="K194" s="103"/>
      <c r="L194" s="103"/>
      <c r="M194" s="105" t="str">
        <f>IFERROR(VLOOKUP(G194,Reference!$I$2:$J$175,2,FALSE()),"Operations")</f>
        <v>Operations</v>
      </c>
    </row>
    <row r="195" spans="1:13" ht="15" customHeight="1" x14ac:dyDescent="0.25">
      <c r="A195" s="100"/>
      <c r="B195" s="101"/>
      <c r="C195" s="101"/>
      <c r="D195" s="100">
        <f>IF(OR(B195="",C195=""),"",IF(DATEDIF(C195,B195,"y")&gt;=1,DATEDIF(C195,B195,"y")&amp;IF(DATEDIF(C195,B195,"y")=1," year "," years ")&amp;DATEDIF(C195,B195,"ym")&amp;IF(DATEDIF(C195,B195,"ym")=1," month"," months"),IF(DATEDIF(C195,B195,"m")&gt;=1,DATEDIF(C195,B195,"m")&amp;IF(DATEDIF(C195,B195,"m")=1," month"," months"),DATEDIF(C195,B195,"d")&amp;IF(DATEDIF(C195,B195,"d")=1," day"," days"))))</f>
      </c>
      <c r="E195" s="100"/>
      <c r="F195" s="100"/>
      <c r="G195" s="100"/>
      <c r="H195" s="100"/>
      <c r="I195" s="100"/>
      <c r="J195" s="101"/>
      <c r="K195" s="100"/>
      <c r="L195" s="100"/>
      <c r="M195" s="102" t="str">
        <f>IFERROR(VLOOKUP(G195,Reference!$I$2:$J$175,2,FALSE()),"Operations")</f>
        <v>Operations</v>
      </c>
    </row>
    <row r="196" spans="1:13" ht="15" customHeight="1" x14ac:dyDescent="0.25">
      <c r="A196" s="103"/>
      <c r="B196" s="104"/>
      <c r="C196" s="104"/>
      <c r="D196" s="103">
        <f>IF(OR(B196="",C196=""),"",IF(DATEDIF(C196,B196,"y")&gt;=1,DATEDIF(C196,B196,"y")&amp;IF(DATEDIF(C196,B196,"y")=1," year "," years ")&amp;DATEDIF(C196,B196,"ym")&amp;IF(DATEDIF(C196,B196,"ym")=1," month"," months"),IF(DATEDIF(C196,B196,"m")&gt;=1,DATEDIF(C196,B196,"m")&amp;IF(DATEDIF(C196,B196,"m")=1," month"," months"),DATEDIF(C196,B196,"d")&amp;IF(DATEDIF(C196,B196,"d")=1," day"," days"))))</f>
      </c>
      <c r="E196" s="103"/>
      <c r="F196" s="103"/>
      <c r="G196" s="103"/>
      <c r="H196" s="103"/>
      <c r="I196" s="103"/>
      <c r="J196" s="104"/>
      <c r="K196" s="103"/>
      <c r="L196" s="103"/>
      <c r="M196" s="105" t="str">
        <f>IFERROR(VLOOKUP(G196,Reference!$I$2:$J$175,2,FALSE()),"Operations")</f>
        <v>Operations</v>
      </c>
    </row>
    <row r="197" spans="1:13" ht="15" customHeight="1" x14ac:dyDescent="0.25">
      <c r="A197" s="100"/>
      <c r="B197" s="101"/>
      <c r="C197" s="101"/>
      <c r="D197" s="100">
        <f>IF(OR(B197="",C197=""),"",IF(DATEDIF(C197,B197,"y")&gt;=1,DATEDIF(C197,B197,"y")&amp;IF(DATEDIF(C197,B197,"y")=1," year "," years ")&amp;DATEDIF(C197,B197,"ym")&amp;IF(DATEDIF(C197,B197,"ym")=1," month"," months"),IF(DATEDIF(C197,B197,"m")&gt;=1,DATEDIF(C197,B197,"m")&amp;IF(DATEDIF(C197,B197,"m")=1," month"," months"),DATEDIF(C197,B197,"d")&amp;IF(DATEDIF(C197,B197,"d")=1," day"," days"))))</f>
      </c>
      <c r="E197" s="100"/>
      <c r="F197" s="100"/>
      <c r="G197" s="100"/>
      <c r="H197" s="100"/>
      <c r="I197" s="100"/>
      <c r="J197" s="101"/>
      <c r="K197" s="100"/>
      <c r="L197" s="100"/>
      <c r="M197" s="102" t="str">
        <f>IFERROR(VLOOKUP(G197,Reference!$I$2:$J$175,2,FALSE()),"Operations")</f>
        <v>Operations</v>
      </c>
    </row>
    <row r="198" spans="1:13" ht="15" customHeight="1" x14ac:dyDescent="0.25">
      <c r="A198" s="103"/>
      <c r="B198" s="104"/>
      <c r="C198" s="104"/>
      <c r="D198" s="103">
        <f>IF(OR(B198="",C198=""),"",IF(DATEDIF(C198,B198,"y")&gt;=1,DATEDIF(C198,B198,"y")&amp;IF(DATEDIF(C198,B198,"y")=1," year "," years ")&amp;DATEDIF(C198,B198,"ym")&amp;IF(DATEDIF(C198,B198,"ym")=1," month"," months"),IF(DATEDIF(C198,B198,"m")&gt;=1,DATEDIF(C198,B198,"m")&amp;IF(DATEDIF(C198,B198,"m")=1," month"," months"),DATEDIF(C198,B198,"d")&amp;IF(DATEDIF(C198,B198,"d")=1," day"," days"))))</f>
      </c>
      <c r="E198" s="103"/>
      <c r="F198" s="103"/>
      <c r="G198" s="103"/>
      <c r="H198" s="103"/>
      <c r="I198" s="103"/>
      <c r="J198" s="104"/>
      <c r="K198" s="103"/>
      <c r="L198" s="103"/>
      <c r="M198" s="105" t="str">
        <f>IFERROR(VLOOKUP(G198,Reference!$I$2:$J$175,2,FALSE()),"Operations")</f>
        <v>Operations</v>
      </c>
    </row>
    <row r="199" spans="1:13" ht="15" customHeight="1" x14ac:dyDescent="0.25">
      <c r="A199" s="100"/>
      <c r="B199" s="101"/>
      <c r="C199" s="101"/>
      <c r="D199" s="100">
        <f>IF(OR(B199="",C199=""),"",IF(DATEDIF(C199,B199,"y")&gt;=1,DATEDIF(C199,B199,"y")&amp;IF(DATEDIF(C199,B199,"y")=1," year "," years ")&amp;DATEDIF(C199,B199,"ym")&amp;IF(DATEDIF(C199,B199,"ym")=1," month"," months"),IF(DATEDIF(C199,B199,"m")&gt;=1,DATEDIF(C199,B199,"m")&amp;IF(DATEDIF(C199,B199,"m")=1," month"," months"),DATEDIF(C199,B199,"d")&amp;IF(DATEDIF(C199,B199,"d")=1," day"," days"))))</f>
      </c>
      <c r="E199" s="100"/>
      <c r="F199" s="100"/>
      <c r="G199" s="100"/>
      <c r="H199" s="100"/>
      <c r="I199" s="100"/>
      <c r="J199" s="101"/>
      <c r="K199" s="100"/>
      <c r="L199" s="100"/>
      <c r="M199" s="102" t="str">
        <f>IFERROR(VLOOKUP(G199,Reference!$I$2:$J$175,2,FALSE()),"Operations")</f>
        <v>Operations</v>
      </c>
    </row>
    <row r="200" spans="1:13" ht="15" customHeight="1" x14ac:dyDescent="0.25">
      <c r="A200" s="103"/>
      <c r="B200" s="104"/>
      <c r="C200" s="104"/>
      <c r="D200" s="103">
        <f>IF(OR(B200="",C200=""),"",IF(DATEDIF(C200,B200,"y")&gt;=1,DATEDIF(C200,B200,"y")&amp;IF(DATEDIF(C200,B200,"y")=1," year "," years ")&amp;DATEDIF(C200,B200,"ym")&amp;IF(DATEDIF(C200,B200,"ym")=1," month"," months"),IF(DATEDIF(C200,B200,"m")&gt;=1,DATEDIF(C200,B200,"m")&amp;IF(DATEDIF(C200,B200,"m")=1," month"," months"),DATEDIF(C200,B200,"d")&amp;IF(DATEDIF(C200,B200,"d")=1," day"," days"))))</f>
      </c>
      <c r="E200" s="103"/>
      <c r="F200" s="103"/>
      <c r="G200" s="103"/>
      <c r="H200" s="103"/>
      <c r="I200" s="103"/>
      <c r="J200" s="104"/>
      <c r="K200" s="103"/>
      <c r="L200" s="103"/>
      <c r="M200" s="105" t="str">
        <f>IFERROR(VLOOKUP(G200,Reference!$I$2:$J$175,2,FALSE()),"Operations")</f>
        <v>Operations</v>
      </c>
    </row>
    <row r="201" spans="1:13" ht="15" customHeight="1" x14ac:dyDescent="0.25">
      <c r="A201" s="100"/>
      <c r="B201" s="101"/>
      <c r="C201" s="101"/>
      <c r="D201" s="100">
        <f>IF(OR(B201="",C201=""),"",IF(DATEDIF(C201,B201,"y")&gt;=1,DATEDIF(C201,B201,"y")&amp;IF(DATEDIF(C201,B201,"y")=1," year "," years ")&amp;DATEDIF(C201,B201,"ym")&amp;IF(DATEDIF(C201,B201,"ym")=1," month"," months"),IF(DATEDIF(C201,B201,"m")&gt;=1,DATEDIF(C201,B201,"m")&amp;IF(DATEDIF(C201,B201,"m")=1," month"," months"),DATEDIF(C201,B201,"d")&amp;IF(DATEDIF(C201,B201,"d")=1," day"," days"))))</f>
      </c>
      <c r="E201" s="100"/>
      <c r="F201" s="100"/>
      <c r="G201" s="100"/>
      <c r="H201" s="100"/>
      <c r="I201" s="100"/>
      <c r="J201" s="101"/>
      <c r="K201" s="100"/>
      <c r="L201" s="100"/>
      <c r="M201" s="102" t="str">
        <f>IFERROR(VLOOKUP(G201,Reference!$I$2:$J$175,2,FALSE()),"Operations")</f>
        <v>Operations</v>
      </c>
    </row>
    <row r="202" spans="1:13" ht="15" customHeight="1" x14ac:dyDescent="0.25">
      <c r="A202" s="103"/>
      <c r="B202" s="104"/>
      <c r="C202" s="104"/>
      <c r="D202" s="103">
        <f>IF(OR(B202="",C202=""),"",IF(DATEDIF(C202,B202,"y")&gt;=1,DATEDIF(C202,B202,"y")&amp;IF(DATEDIF(C202,B202,"y")=1," year "," years ")&amp;DATEDIF(C202,B202,"ym")&amp;IF(DATEDIF(C202,B202,"ym")=1," month"," months"),IF(DATEDIF(C202,B202,"m")&gt;=1,DATEDIF(C202,B202,"m")&amp;IF(DATEDIF(C202,B202,"m")=1," month"," months"),DATEDIF(C202,B202,"d")&amp;IF(DATEDIF(C202,B202,"d")=1," day"," days"))))</f>
      </c>
      <c r="E202" s="103"/>
      <c r="F202" s="103"/>
      <c r="G202" s="103"/>
      <c r="H202" s="103"/>
      <c r="I202" s="103"/>
      <c r="J202" s="104"/>
      <c r="K202" s="103"/>
      <c r="L202" s="103"/>
      <c r="M202" s="105" t="str">
        <f>IFERROR(VLOOKUP(G202,Reference!$I$2:$J$175,2,FALSE()),"Operations")</f>
        <v>Operations</v>
      </c>
    </row>
    <row r="203" spans="1:13" ht="15" customHeight="1" x14ac:dyDescent="0.25">
      <c r="A203" s="100"/>
      <c r="B203" s="101"/>
      <c r="C203" s="101"/>
      <c r="D203" s="100">
        <f>IF(OR(B203="",C203=""),"",IF(DATEDIF(C203,B203,"y")&gt;=1,DATEDIF(C203,B203,"y")&amp;IF(DATEDIF(C203,B203,"y")=1," year "," years ")&amp;DATEDIF(C203,B203,"ym")&amp;IF(DATEDIF(C203,B203,"ym")=1," month"," months"),IF(DATEDIF(C203,B203,"m")&gt;=1,DATEDIF(C203,B203,"m")&amp;IF(DATEDIF(C203,B203,"m")=1," month"," months"),DATEDIF(C203,B203,"d")&amp;IF(DATEDIF(C203,B203,"d")=1," day"," days"))))</f>
      </c>
      <c r="E203" s="100"/>
      <c r="F203" s="100"/>
      <c r="G203" s="100"/>
      <c r="H203" s="100"/>
      <c r="I203" s="100"/>
      <c r="J203" s="101"/>
      <c r="K203" s="100"/>
      <c r="L203" s="100"/>
      <c r="M203" s="102" t="str">
        <f>IFERROR(VLOOKUP(G203,Reference!$I$2:$J$175,2,FALSE()),"Operations")</f>
        <v>Operations</v>
      </c>
    </row>
    <row r="204" spans="1:13" ht="15" customHeight="1" x14ac:dyDescent="0.25">
      <c r="A204" s="103"/>
      <c r="B204" s="104"/>
      <c r="C204" s="104"/>
      <c r="D204" s="103">
        <f>IF(OR(B204="",C204=""),"",IF(DATEDIF(C204,B204,"y")&gt;=1,DATEDIF(C204,B204,"y")&amp;IF(DATEDIF(C204,B204,"y")=1," year "," years ")&amp;DATEDIF(C204,B204,"ym")&amp;IF(DATEDIF(C204,B204,"ym")=1," month"," months"),IF(DATEDIF(C204,B204,"m")&gt;=1,DATEDIF(C204,B204,"m")&amp;IF(DATEDIF(C204,B204,"m")=1," month"," months"),DATEDIF(C204,B204,"d")&amp;IF(DATEDIF(C204,B204,"d")=1," day"," days"))))</f>
      </c>
      <c r="E204" s="103"/>
      <c r="F204" s="103"/>
      <c r="G204" s="103"/>
      <c r="H204" s="103"/>
      <c r="I204" s="103"/>
      <c r="J204" s="104"/>
      <c r="K204" s="103"/>
      <c r="L204" s="103"/>
      <c r="M204" s="105" t="str">
        <f>IFERROR(VLOOKUP(G204,Reference!$I$2:$J$175,2,FALSE()),"Operations")</f>
        <v>Operations</v>
      </c>
    </row>
    <row r="205" spans="1:13" ht="15" customHeight="1" x14ac:dyDescent="0.25">
      <c r="A205" s="100"/>
      <c r="B205" s="101"/>
      <c r="C205" s="101"/>
      <c r="D205" s="100">
        <f>IF(OR(B205="",C205=""),"",IF(DATEDIF(C205,B205,"y")&gt;=1,DATEDIF(C205,B205,"y")&amp;IF(DATEDIF(C205,B205,"y")=1," year "," years ")&amp;DATEDIF(C205,B205,"ym")&amp;IF(DATEDIF(C205,B205,"ym")=1," month"," months"),IF(DATEDIF(C205,B205,"m")&gt;=1,DATEDIF(C205,B205,"m")&amp;IF(DATEDIF(C205,B205,"m")=1," month"," months"),DATEDIF(C205,B205,"d")&amp;IF(DATEDIF(C205,B205,"d")=1," day"," days"))))</f>
      </c>
      <c r="E205" s="100"/>
      <c r="F205" s="100"/>
      <c r="G205" s="100"/>
      <c r="H205" s="100"/>
      <c r="I205" s="100"/>
      <c r="J205" s="101"/>
      <c r="K205" s="100"/>
      <c r="L205" s="100"/>
      <c r="M205" s="102" t="str">
        <f>IFERROR(VLOOKUP(G205,Reference!$I$2:$J$175,2,FALSE()),"Operations")</f>
        <v>Operations</v>
      </c>
    </row>
    <row r="206" spans="1:13" ht="15" customHeight="1" x14ac:dyDescent="0.25">
      <c r="A206" s="103"/>
      <c r="B206" s="104"/>
      <c r="C206" s="104"/>
      <c r="D206" s="103">
        <f>IF(OR(B206="",C206=""),"",IF(DATEDIF(C206,B206,"y")&gt;=1,DATEDIF(C206,B206,"y")&amp;IF(DATEDIF(C206,B206,"y")=1," year "," years ")&amp;DATEDIF(C206,B206,"ym")&amp;IF(DATEDIF(C206,B206,"ym")=1," month"," months"),IF(DATEDIF(C206,B206,"m")&gt;=1,DATEDIF(C206,B206,"m")&amp;IF(DATEDIF(C206,B206,"m")=1," month"," months"),DATEDIF(C206,B206,"d")&amp;IF(DATEDIF(C206,B206,"d")=1," day"," days"))))</f>
      </c>
      <c r="E206" s="103"/>
      <c r="F206" s="103"/>
      <c r="G206" s="103"/>
      <c r="H206" s="103"/>
      <c r="I206" s="103"/>
      <c r="J206" s="104"/>
      <c r="K206" s="103"/>
      <c r="L206" s="103"/>
      <c r="M206" s="105" t="str">
        <f>IFERROR(VLOOKUP(G206,Reference!$I$2:$J$175,2,FALSE()),"Operations")</f>
        <v>Operations</v>
      </c>
    </row>
    <row r="207" spans="1:13" ht="15" customHeight="1" x14ac:dyDescent="0.25">
      <c r="A207" s="100"/>
      <c r="B207" s="101"/>
      <c r="C207" s="101"/>
      <c r="D207" s="100">
        <f>IF(OR(B207="",C207=""),"",IF(DATEDIF(C207,B207,"y")&gt;=1,DATEDIF(C207,B207,"y")&amp;IF(DATEDIF(C207,B207,"y")=1," year "," years ")&amp;DATEDIF(C207,B207,"ym")&amp;IF(DATEDIF(C207,B207,"ym")=1," month"," months"),IF(DATEDIF(C207,B207,"m")&gt;=1,DATEDIF(C207,B207,"m")&amp;IF(DATEDIF(C207,B207,"m")=1," month"," months"),DATEDIF(C207,B207,"d")&amp;IF(DATEDIF(C207,B207,"d")=1," day"," days"))))</f>
      </c>
      <c r="E207" s="100"/>
      <c r="F207" s="100"/>
      <c r="G207" s="100"/>
      <c r="H207" s="100"/>
      <c r="I207" s="100"/>
      <c r="J207" s="101"/>
      <c r="K207" s="100"/>
      <c r="L207" s="100"/>
      <c r="M207" s="102" t="str">
        <f>IFERROR(VLOOKUP(G207,Reference!$I$2:$J$175,2,FALSE()),"Operations")</f>
        <v>Operations</v>
      </c>
    </row>
    <row r="208" spans="1:13" ht="15" customHeight="1" x14ac:dyDescent="0.25">
      <c r="A208" s="103"/>
      <c r="B208" s="104"/>
      <c r="C208" s="104"/>
      <c r="D208" s="103">
        <f>IF(OR(B208="",C208=""),"",IF(DATEDIF(C208,B208,"y")&gt;=1,DATEDIF(C208,B208,"y")&amp;IF(DATEDIF(C208,B208,"y")=1," year "," years ")&amp;DATEDIF(C208,B208,"ym")&amp;IF(DATEDIF(C208,B208,"ym")=1," month"," months"),IF(DATEDIF(C208,B208,"m")&gt;=1,DATEDIF(C208,B208,"m")&amp;IF(DATEDIF(C208,B208,"m")=1," month"," months"),DATEDIF(C208,B208,"d")&amp;IF(DATEDIF(C208,B208,"d")=1," day"," days"))))</f>
      </c>
      <c r="E208" s="103"/>
      <c r="F208" s="103"/>
      <c r="G208" s="103"/>
      <c r="H208" s="103"/>
      <c r="I208" s="103"/>
      <c r="J208" s="104"/>
      <c r="K208" s="103"/>
      <c r="L208" s="103"/>
      <c r="M208" s="105" t="str">
        <f>IFERROR(VLOOKUP(G208,Reference!$I$2:$J$175,2,FALSE()),"Operations")</f>
        <v>Operations</v>
      </c>
    </row>
    <row r="209" spans="1:13" ht="15" customHeight="1" x14ac:dyDescent="0.25">
      <c r="A209" s="106" t="s">
        <v>163</v>
      </c>
      <c r="B209" s="107">
        <f>COUNTA(A179:A208)</f>
        <v>0</v>
      </c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</row>
    <row r="210" spans="1:13" ht="6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</row>
    <row r="211" spans="1:13" ht="21.75" customHeight="1" x14ac:dyDescent="0.25">
      <c r="A211" s="163" t="s">
        <v>898</v>
      </c>
      <c r="B211" s="163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</row>
    <row r="212" spans="1:13" ht="19.5" customHeight="1" x14ac:dyDescent="0.25">
      <c r="A212" s="64" t="s">
        <v>151</v>
      </c>
      <c r="B212" s="64" t="s">
        <v>152</v>
      </c>
      <c r="C212" s="64" t="s">
        <v>153</v>
      </c>
      <c r="D212" s="64" t="s">
        <v>154</v>
      </c>
      <c r="E212" s="64" t="s">
        <v>155</v>
      </c>
      <c r="F212" s="64" t="s">
        <v>156</v>
      </c>
      <c r="G212" s="64" t="s">
        <v>157</v>
      </c>
      <c r="H212" s="64" t="s">
        <v>158</v>
      </c>
      <c r="I212" s="64" t="s">
        <v>159</v>
      </c>
      <c r="J212" s="64" t="s">
        <v>160</v>
      </c>
      <c r="K212" s="64" t="s">
        <v>134</v>
      </c>
      <c r="L212" s="64" t="s">
        <v>161</v>
      </c>
      <c r="M212" s="64" t="s">
        <v>162</v>
      </c>
    </row>
    <row r="213" spans="1:13" ht="15" customHeight="1" x14ac:dyDescent="0.25">
      <c r="A213" s="77" t="s">
        <v>899</v>
      </c>
      <c r="B213" s="77"/>
      <c r="C213" s="77"/>
      <c r="D213" s="77" t="s">
        <v>358</v>
      </c>
      <c r="E213" s="77" t="s">
        <v>184</v>
      </c>
      <c r="F213" s="77" t="s">
        <v>191</v>
      </c>
      <c r="G213" s="77" t="s">
        <v>388</v>
      </c>
      <c r="H213" s="77" t="s">
        <v>56</v>
      </c>
      <c r="I213" s="77" t="s">
        <v>605</v>
      </c>
      <c r="J213" s="77"/>
      <c r="K213" s="77" t="s">
        <v>70</v>
      </c>
      <c r="L213" s="77"/>
      <c r="M213" s="102" t="str">
        <f>IFERROR(VLOOKUP(G213,Reference!$I$2:$J$175,2,FALSE()),"Operations")</f>
        <v>Employment Services</v>
      </c>
    </row>
    <row r="214" spans="1:13" ht="15" customHeight="1" x14ac:dyDescent="0.25">
      <c r="A214" s="80" t="s">
        <v>900</v>
      </c>
      <c r="B214" s="80"/>
      <c r="C214" s="80"/>
      <c r="D214" s="80" t="s">
        <v>342</v>
      </c>
      <c r="E214" s="80" t="s">
        <v>184</v>
      </c>
      <c r="F214" s="80" t="s">
        <v>191</v>
      </c>
      <c r="G214" s="80" t="s">
        <v>76</v>
      </c>
      <c r="H214" s="80" t="s">
        <v>56</v>
      </c>
      <c r="I214" s="80" t="s">
        <v>404</v>
      </c>
      <c r="J214" s="80"/>
      <c r="K214" s="80" t="s">
        <v>76</v>
      </c>
      <c r="L214" s="80"/>
      <c r="M214" s="105" t="str">
        <f>IFERROR(VLOOKUP(G214,Reference!$I$2:$J$175,2,FALSE()),"Operations")</f>
        <v>Children Services</v>
      </c>
    </row>
    <row r="215" spans="1:13" ht="15" customHeight="1" x14ac:dyDescent="0.25">
      <c r="A215" s="77" t="s">
        <v>901</v>
      </c>
      <c r="B215" s="77"/>
      <c r="C215" s="77"/>
      <c r="D215" s="77" t="s">
        <v>313</v>
      </c>
      <c r="E215" s="77" t="s">
        <v>179</v>
      </c>
      <c r="F215" s="77" t="s">
        <v>191</v>
      </c>
      <c r="G215" s="77" t="s">
        <v>640</v>
      </c>
      <c r="H215" s="77" t="s">
        <v>69</v>
      </c>
      <c r="I215" s="77" t="s">
        <v>902</v>
      </c>
      <c r="J215" s="77"/>
      <c r="K215" s="77" t="s">
        <v>66</v>
      </c>
      <c r="L215" s="77"/>
      <c r="M215" s="102" t="str">
        <f>IFERROR(VLOOKUP(G215,Reference!$I$2:$J$175,2,FALSE()),"Operations")</f>
        <v>Operations</v>
      </c>
    </row>
    <row r="216" spans="1:13" ht="15" customHeight="1" x14ac:dyDescent="0.25">
      <c r="A216" s="80" t="s">
        <v>903</v>
      </c>
      <c r="B216" s="80"/>
      <c r="C216" s="80"/>
      <c r="D216" s="80" t="s">
        <v>316</v>
      </c>
      <c r="E216" s="80" t="s">
        <v>184</v>
      </c>
      <c r="F216" s="80" t="s">
        <v>191</v>
      </c>
      <c r="G216" s="80" t="s">
        <v>479</v>
      </c>
      <c r="H216" s="80" t="s">
        <v>56</v>
      </c>
      <c r="I216" s="80" t="s">
        <v>657</v>
      </c>
      <c r="J216" s="80"/>
      <c r="K216" s="80" t="s">
        <v>66</v>
      </c>
      <c r="L216" s="80"/>
      <c r="M216" s="105" t="str">
        <f>IFERROR(VLOOKUP(G216,Reference!$I$2:$J$175,2,FALSE()),"Operations")</f>
        <v>Operations</v>
      </c>
    </row>
    <row r="217" spans="1:13" ht="15" customHeight="1" x14ac:dyDescent="0.25">
      <c r="A217" s="77" t="s">
        <v>904</v>
      </c>
      <c r="B217" s="77"/>
      <c r="C217" s="77"/>
      <c r="D217" s="77" t="s">
        <v>905</v>
      </c>
      <c r="E217" s="77" t="s">
        <v>184</v>
      </c>
      <c r="F217" s="77" t="s">
        <v>191</v>
      </c>
      <c r="G217" s="77" t="s">
        <v>906</v>
      </c>
      <c r="H217" s="77" t="s">
        <v>60</v>
      </c>
      <c r="I217" s="77" t="s">
        <v>632</v>
      </c>
      <c r="J217" s="77"/>
      <c r="K217" s="77" t="s">
        <v>66</v>
      </c>
      <c r="L217" s="77"/>
      <c r="M217" s="102" t="str">
        <f>IFERROR(VLOOKUP(G217,Reference!$I$2:$J$175,2,FALSE()),"Operations")</f>
        <v>Operations</v>
      </c>
    </row>
    <row r="218" spans="1:13" ht="15" customHeight="1" x14ac:dyDescent="0.25">
      <c r="A218" s="80" t="s">
        <v>907</v>
      </c>
      <c r="B218" s="80"/>
      <c r="C218" s="80"/>
      <c r="D218" s="80" t="s">
        <v>298</v>
      </c>
      <c r="E218" s="80" t="s">
        <v>179</v>
      </c>
      <c r="F218" s="80" t="s">
        <v>191</v>
      </c>
      <c r="G218" s="80" t="s">
        <v>310</v>
      </c>
      <c r="H218" s="80" t="s">
        <v>70</v>
      </c>
      <c r="I218" s="80" t="s">
        <v>235</v>
      </c>
      <c r="J218" s="80"/>
      <c r="K218" s="80" t="s">
        <v>66</v>
      </c>
      <c r="L218" s="80"/>
      <c r="M218" s="105" t="str">
        <f>IFERROR(VLOOKUP(G218,Reference!$I$2:$J$175,2,FALSE()),"Operations")</f>
        <v>Operations</v>
      </c>
    </row>
    <row r="219" spans="1:13" ht="15" customHeight="1" x14ac:dyDescent="0.25">
      <c r="A219" s="77" t="s">
        <v>908</v>
      </c>
      <c r="B219" s="77"/>
      <c r="C219" s="77"/>
      <c r="D219" s="77" t="s">
        <v>373</v>
      </c>
      <c r="E219" s="77" t="s">
        <v>179</v>
      </c>
      <c r="F219" s="77" t="s">
        <v>180</v>
      </c>
      <c r="G219" s="77" t="s">
        <v>909</v>
      </c>
      <c r="H219" s="77" t="s">
        <v>69</v>
      </c>
      <c r="I219" s="77" t="s">
        <v>902</v>
      </c>
      <c r="J219" s="77"/>
      <c r="K219" s="77" t="s">
        <v>66</v>
      </c>
      <c r="L219" s="77"/>
      <c r="M219" s="102" t="str">
        <f>IFERROR(VLOOKUP(G219,Reference!$I$2:$J$175,2,FALSE()),"Operations")</f>
        <v>Operations</v>
      </c>
    </row>
    <row r="220" spans="1:13" ht="15" customHeight="1" x14ac:dyDescent="0.25">
      <c r="A220" s="80" t="s">
        <v>910</v>
      </c>
      <c r="B220" s="80"/>
      <c r="C220" s="80"/>
      <c r="D220" s="80" t="s">
        <v>695</v>
      </c>
      <c r="E220" s="80" t="s">
        <v>179</v>
      </c>
      <c r="F220" s="80" t="s">
        <v>180</v>
      </c>
      <c r="G220" s="80" t="s">
        <v>911</v>
      </c>
      <c r="H220" s="80" t="s">
        <v>69</v>
      </c>
      <c r="I220" s="80" t="s">
        <v>902</v>
      </c>
      <c r="J220" s="80"/>
      <c r="K220" s="80" t="s">
        <v>66</v>
      </c>
      <c r="L220" s="80"/>
      <c r="M220" s="105" t="str">
        <f>IFERROR(VLOOKUP(G220,Reference!$I$2:$J$175,2,FALSE()),"Operations")</f>
        <v>Operations</v>
      </c>
    </row>
    <row r="221" spans="1:13" ht="15" customHeight="1" x14ac:dyDescent="0.25">
      <c r="A221" s="77" t="s">
        <v>912</v>
      </c>
      <c r="B221" s="77"/>
      <c r="C221" s="77"/>
      <c r="D221" s="77" t="s">
        <v>298</v>
      </c>
      <c r="E221" s="77" t="s">
        <v>184</v>
      </c>
      <c r="F221" s="77" t="s">
        <v>180</v>
      </c>
      <c r="G221" s="77" t="s">
        <v>285</v>
      </c>
      <c r="H221" s="77" t="s">
        <v>69</v>
      </c>
      <c r="I221" s="77" t="s">
        <v>304</v>
      </c>
      <c r="J221" s="77"/>
      <c r="K221" s="77" t="s">
        <v>83</v>
      </c>
      <c r="L221" s="77"/>
      <c r="M221" s="102" t="str">
        <f>IFERROR(VLOOKUP(G221,Reference!$I$2:$J$175,2,FALSE()),"Operations")</f>
        <v>Children Services</v>
      </c>
    </row>
    <row r="222" spans="1:13" ht="15" customHeight="1" x14ac:dyDescent="0.25">
      <c r="A222" s="80" t="s">
        <v>913</v>
      </c>
      <c r="B222" s="80"/>
      <c r="C222" s="80"/>
      <c r="D222" s="80" t="s">
        <v>695</v>
      </c>
      <c r="E222" s="80" t="s">
        <v>179</v>
      </c>
      <c r="F222" s="80" t="s">
        <v>191</v>
      </c>
      <c r="G222" s="80" t="s">
        <v>914</v>
      </c>
      <c r="H222" s="80" t="s">
        <v>69</v>
      </c>
      <c r="I222" s="80" t="s">
        <v>235</v>
      </c>
      <c r="J222" s="80"/>
      <c r="K222" s="80" t="s">
        <v>66</v>
      </c>
      <c r="L222" s="80"/>
      <c r="M222" s="105" t="str">
        <f>IFERROR(VLOOKUP(G222,Reference!$I$2:$J$175,2,FALSE()),"Operations")</f>
        <v>Operations</v>
      </c>
    </row>
    <row r="223" spans="1:13" ht="15" customHeight="1" x14ac:dyDescent="0.25">
      <c r="A223" s="100"/>
      <c r="B223" s="101"/>
      <c r="C223" s="101"/>
      <c r="D223" s="100">
        <f>IF(OR(B223="",C223=""),"",IF(DATEDIF(C223,B223,"y")&gt;=1,DATEDIF(C223,B223,"y")&amp;IF(DATEDIF(C223,B223,"y")=1," year "," years ")&amp;DATEDIF(C223,B223,"ym")&amp;IF(DATEDIF(C223,B223,"ym")=1," month"," months"),IF(DATEDIF(C223,B223,"m")&gt;=1,DATEDIF(C223,B223,"m")&amp;IF(DATEDIF(C223,B223,"m")=1," month"," months"),DATEDIF(C223,B223,"d")&amp;IF(DATEDIF(C223,B223,"d")=1," day"," days"))))</f>
      </c>
      <c r="E223" s="100"/>
      <c r="F223" s="100"/>
      <c r="G223" s="100"/>
      <c r="H223" s="100"/>
      <c r="I223" s="100"/>
      <c r="J223" s="101"/>
      <c r="K223" s="100"/>
      <c r="L223" s="100"/>
      <c r="M223" s="102" t="str">
        <f>IFERROR(VLOOKUP(G223,Reference!$I$2:$J$175,2,FALSE()),"Operations")</f>
        <v>Operations</v>
      </c>
    </row>
    <row r="224" spans="1:13" ht="15" customHeight="1" x14ac:dyDescent="0.25">
      <c r="A224" s="103"/>
      <c r="B224" s="104"/>
      <c r="C224" s="104"/>
      <c r="D224" s="103">
        <f>IF(OR(B224="",C224=""),"",IF(DATEDIF(C224,B224,"y")&gt;=1,DATEDIF(C224,B224,"y")&amp;IF(DATEDIF(C224,B224,"y")=1," year "," years ")&amp;DATEDIF(C224,B224,"ym")&amp;IF(DATEDIF(C224,B224,"ym")=1," month"," months"),IF(DATEDIF(C224,B224,"m")&gt;=1,DATEDIF(C224,B224,"m")&amp;IF(DATEDIF(C224,B224,"m")=1," month"," months"),DATEDIF(C224,B224,"d")&amp;IF(DATEDIF(C224,B224,"d")=1," day"," days"))))</f>
      </c>
      <c r="E224" s="103"/>
      <c r="F224" s="103"/>
      <c r="G224" s="103"/>
      <c r="H224" s="103"/>
      <c r="I224" s="103"/>
      <c r="J224" s="104"/>
      <c r="K224" s="103"/>
      <c r="L224" s="103"/>
      <c r="M224" s="105" t="str">
        <f>IFERROR(VLOOKUP(G224,Reference!$I$2:$J$175,2,FALSE()),"Operations")</f>
        <v>Operations</v>
      </c>
    </row>
    <row r="225" spans="1:13" ht="15" customHeight="1" x14ac:dyDescent="0.25">
      <c r="A225" s="100"/>
      <c r="B225" s="101"/>
      <c r="C225" s="101"/>
      <c r="D225" s="100">
        <f>IF(OR(B225="",C225=""),"",IF(DATEDIF(C225,B225,"y")&gt;=1,DATEDIF(C225,B225,"y")&amp;IF(DATEDIF(C225,B225,"y")=1," year "," years ")&amp;DATEDIF(C225,B225,"ym")&amp;IF(DATEDIF(C225,B225,"ym")=1," month"," months"),IF(DATEDIF(C225,B225,"m")&gt;=1,DATEDIF(C225,B225,"m")&amp;IF(DATEDIF(C225,B225,"m")=1," month"," months"),DATEDIF(C225,B225,"d")&amp;IF(DATEDIF(C225,B225,"d")=1," day"," days"))))</f>
      </c>
      <c r="E225" s="100"/>
      <c r="F225" s="100"/>
      <c r="G225" s="100"/>
      <c r="H225" s="100"/>
      <c r="I225" s="100"/>
      <c r="J225" s="101"/>
      <c r="K225" s="100"/>
      <c r="L225" s="100"/>
      <c r="M225" s="102" t="str">
        <f>IFERROR(VLOOKUP(G225,Reference!$I$2:$J$175,2,FALSE()),"Operations")</f>
        <v>Operations</v>
      </c>
    </row>
    <row r="226" spans="1:13" ht="15" customHeight="1" x14ac:dyDescent="0.25">
      <c r="A226" s="103"/>
      <c r="B226" s="104"/>
      <c r="C226" s="104"/>
      <c r="D226" s="103">
        <f>IF(OR(B226="",C226=""),"",IF(DATEDIF(C226,B226,"y")&gt;=1,DATEDIF(C226,B226,"y")&amp;IF(DATEDIF(C226,B226,"y")=1," year "," years ")&amp;DATEDIF(C226,B226,"ym")&amp;IF(DATEDIF(C226,B226,"ym")=1," month"," months"),IF(DATEDIF(C226,B226,"m")&gt;=1,DATEDIF(C226,B226,"m")&amp;IF(DATEDIF(C226,B226,"m")=1," month"," months"),DATEDIF(C226,B226,"d")&amp;IF(DATEDIF(C226,B226,"d")=1," day"," days"))))</f>
      </c>
      <c r="E226" s="103"/>
      <c r="F226" s="103"/>
      <c r="G226" s="103"/>
      <c r="H226" s="103"/>
      <c r="I226" s="103"/>
      <c r="J226" s="104"/>
      <c r="K226" s="103"/>
      <c r="L226" s="103"/>
      <c r="M226" s="105" t="str">
        <f>IFERROR(VLOOKUP(G226,Reference!$I$2:$J$175,2,FALSE()),"Operations")</f>
        <v>Operations</v>
      </c>
    </row>
    <row r="227" spans="1:13" ht="15" customHeight="1" x14ac:dyDescent="0.25">
      <c r="A227" s="100"/>
      <c r="B227" s="101"/>
      <c r="C227" s="101"/>
      <c r="D227" s="100">
        <f>IF(OR(B227="",C227=""),"",IF(DATEDIF(C227,B227,"y")&gt;=1,DATEDIF(C227,B227,"y")&amp;IF(DATEDIF(C227,B227,"y")=1," year "," years ")&amp;DATEDIF(C227,B227,"ym")&amp;IF(DATEDIF(C227,B227,"ym")=1," month"," months"),IF(DATEDIF(C227,B227,"m")&gt;=1,DATEDIF(C227,B227,"m")&amp;IF(DATEDIF(C227,B227,"m")=1," month"," months"),DATEDIF(C227,B227,"d")&amp;IF(DATEDIF(C227,B227,"d")=1," day"," days"))))</f>
      </c>
      <c r="E227" s="100"/>
      <c r="F227" s="100"/>
      <c r="G227" s="100"/>
      <c r="H227" s="100"/>
      <c r="I227" s="100"/>
      <c r="J227" s="101"/>
      <c r="K227" s="100"/>
      <c r="L227" s="100"/>
      <c r="M227" s="102" t="str">
        <f>IFERROR(VLOOKUP(G227,Reference!$I$2:$J$175,2,FALSE()),"Operations")</f>
        <v>Operations</v>
      </c>
    </row>
    <row r="228" spans="1:13" ht="15" customHeight="1" x14ac:dyDescent="0.25">
      <c r="A228" s="103"/>
      <c r="B228" s="104"/>
      <c r="C228" s="104"/>
      <c r="D228" s="103">
        <f>IF(OR(B228="",C228=""),"",IF(DATEDIF(C228,B228,"y")&gt;=1,DATEDIF(C228,B228,"y")&amp;IF(DATEDIF(C228,B228,"y")=1," year "," years ")&amp;DATEDIF(C228,B228,"ym")&amp;IF(DATEDIF(C228,B228,"ym")=1," month"," months"),IF(DATEDIF(C228,B228,"m")&gt;=1,DATEDIF(C228,B228,"m")&amp;IF(DATEDIF(C228,B228,"m")=1," month"," months"),DATEDIF(C228,B228,"d")&amp;IF(DATEDIF(C228,B228,"d")=1," day"," days"))))</f>
      </c>
      <c r="E228" s="103"/>
      <c r="F228" s="103"/>
      <c r="G228" s="103"/>
      <c r="H228" s="103"/>
      <c r="I228" s="103"/>
      <c r="J228" s="104"/>
      <c r="K228" s="103"/>
      <c r="L228" s="103"/>
      <c r="M228" s="105" t="str">
        <f>IFERROR(VLOOKUP(G228,Reference!$I$2:$J$175,2,FALSE()),"Operations")</f>
        <v>Operations</v>
      </c>
    </row>
    <row r="229" spans="1:13" ht="15" customHeight="1" x14ac:dyDescent="0.25">
      <c r="A229" s="100"/>
      <c r="B229" s="101"/>
      <c r="C229" s="101"/>
      <c r="D229" s="100">
        <f>IF(OR(B229="",C229=""),"",IF(DATEDIF(C229,B229,"y")&gt;=1,DATEDIF(C229,B229,"y")&amp;IF(DATEDIF(C229,B229,"y")=1," year "," years ")&amp;DATEDIF(C229,B229,"ym")&amp;IF(DATEDIF(C229,B229,"ym")=1," month"," months"),IF(DATEDIF(C229,B229,"m")&gt;=1,DATEDIF(C229,B229,"m")&amp;IF(DATEDIF(C229,B229,"m")=1," month"," months"),DATEDIF(C229,B229,"d")&amp;IF(DATEDIF(C229,B229,"d")=1," day"," days"))))</f>
      </c>
      <c r="E229" s="100"/>
      <c r="F229" s="100"/>
      <c r="G229" s="100"/>
      <c r="H229" s="100"/>
      <c r="I229" s="100"/>
      <c r="J229" s="101"/>
      <c r="K229" s="100"/>
      <c r="L229" s="100"/>
      <c r="M229" s="102" t="str">
        <f>IFERROR(VLOOKUP(G229,Reference!$I$2:$J$175,2,FALSE()),"Operations")</f>
        <v>Operations</v>
      </c>
    </row>
    <row r="230" spans="1:13" ht="15" customHeight="1" x14ac:dyDescent="0.25">
      <c r="A230" s="103"/>
      <c r="B230" s="104"/>
      <c r="C230" s="104"/>
      <c r="D230" s="103">
        <f>IF(OR(B230="",C230=""),"",IF(DATEDIF(C230,B230,"y")&gt;=1,DATEDIF(C230,B230,"y")&amp;IF(DATEDIF(C230,B230,"y")=1," year "," years ")&amp;DATEDIF(C230,B230,"ym")&amp;IF(DATEDIF(C230,B230,"ym")=1," month"," months"),IF(DATEDIF(C230,B230,"m")&gt;=1,DATEDIF(C230,B230,"m")&amp;IF(DATEDIF(C230,B230,"m")=1," month"," months"),DATEDIF(C230,B230,"d")&amp;IF(DATEDIF(C230,B230,"d")=1," day"," days"))))</f>
      </c>
      <c r="E230" s="103"/>
      <c r="F230" s="103"/>
      <c r="G230" s="103"/>
      <c r="H230" s="103"/>
      <c r="I230" s="103"/>
      <c r="J230" s="104"/>
      <c r="K230" s="103"/>
      <c r="L230" s="103"/>
      <c r="M230" s="105" t="str">
        <f>IFERROR(VLOOKUP(G230,Reference!$I$2:$J$175,2,FALSE()),"Operations")</f>
        <v>Operations</v>
      </c>
    </row>
    <row r="231" spans="1:13" ht="15" customHeight="1" x14ac:dyDescent="0.25">
      <c r="A231" s="100"/>
      <c r="B231" s="101"/>
      <c r="C231" s="101"/>
      <c r="D231" s="100">
        <f>IF(OR(B231="",C231=""),"",IF(DATEDIF(C231,B231,"y")&gt;=1,DATEDIF(C231,B231,"y")&amp;IF(DATEDIF(C231,B231,"y")=1," year "," years ")&amp;DATEDIF(C231,B231,"ym")&amp;IF(DATEDIF(C231,B231,"ym")=1," month"," months"),IF(DATEDIF(C231,B231,"m")&gt;=1,DATEDIF(C231,B231,"m")&amp;IF(DATEDIF(C231,B231,"m")=1," month"," months"),DATEDIF(C231,B231,"d")&amp;IF(DATEDIF(C231,B231,"d")=1," day"," days"))))</f>
      </c>
      <c r="E231" s="100"/>
      <c r="F231" s="100"/>
      <c r="G231" s="100"/>
      <c r="H231" s="100"/>
      <c r="I231" s="100"/>
      <c r="J231" s="101"/>
      <c r="K231" s="100"/>
      <c r="L231" s="100"/>
      <c r="M231" s="102" t="str">
        <f>IFERROR(VLOOKUP(G231,Reference!$I$2:$J$175,2,FALSE()),"Operations")</f>
        <v>Operations</v>
      </c>
    </row>
    <row r="232" spans="1:13" ht="15" customHeight="1" x14ac:dyDescent="0.25">
      <c r="A232" s="103"/>
      <c r="B232" s="104"/>
      <c r="C232" s="104"/>
      <c r="D232" s="103">
        <f>IF(OR(B232="",C232=""),"",IF(DATEDIF(C232,B232,"y")&gt;=1,DATEDIF(C232,B232,"y")&amp;IF(DATEDIF(C232,B232,"y")=1," year "," years ")&amp;DATEDIF(C232,B232,"ym")&amp;IF(DATEDIF(C232,B232,"ym")=1," month"," months"),IF(DATEDIF(C232,B232,"m")&gt;=1,DATEDIF(C232,B232,"m")&amp;IF(DATEDIF(C232,B232,"m")=1," month"," months"),DATEDIF(C232,B232,"d")&amp;IF(DATEDIF(C232,B232,"d")=1," day"," days"))))</f>
      </c>
      <c r="E232" s="103"/>
      <c r="F232" s="103"/>
      <c r="G232" s="103"/>
      <c r="H232" s="103"/>
      <c r="I232" s="103"/>
      <c r="J232" s="104"/>
      <c r="K232" s="103"/>
      <c r="L232" s="103"/>
      <c r="M232" s="105" t="str">
        <f>IFERROR(VLOOKUP(G232,Reference!$I$2:$J$175,2,FALSE()),"Operations")</f>
        <v>Operations</v>
      </c>
    </row>
    <row r="233" spans="1:13" ht="15" customHeight="1" x14ac:dyDescent="0.25">
      <c r="A233" s="100"/>
      <c r="B233" s="101"/>
      <c r="C233" s="101"/>
      <c r="D233" s="100">
        <f>IF(OR(B233="",C233=""),"",IF(DATEDIF(C233,B233,"y")&gt;=1,DATEDIF(C233,B233,"y")&amp;IF(DATEDIF(C233,B233,"y")=1," year "," years ")&amp;DATEDIF(C233,B233,"ym")&amp;IF(DATEDIF(C233,B233,"ym")=1," month"," months"),IF(DATEDIF(C233,B233,"m")&gt;=1,DATEDIF(C233,B233,"m")&amp;IF(DATEDIF(C233,B233,"m")=1," month"," months"),DATEDIF(C233,B233,"d")&amp;IF(DATEDIF(C233,B233,"d")=1," day"," days"))))</f>
      </c>
      <c r="E233" s="100"/>
      <c r="F233" s="100"/>
      <c r="G233" s="100"/>
      <c r="H233" s="100"/>
      <c r="I233" s="100"/>
      <c r="J233" s="101"/>
      <c r="K233" s="100"/>
      <c r="L233" s="100"/>
      <c r="M233" s="102" t="str">
        <f>IFERROR(VLOOKUP(G233,Reference!$I$2:$J$175,2,FALSE()),"Operations")</f>
        <v>Operations</v>
      </c>
    </row>
    <row r="234" spans="1:13" ht="15" customHeight="1" x14ac:dyDescent="0.25">
      <c r="A234" s="103"/>
      <c r="B234" s="104"/>
      <c r="C234" s="104"/>
      <c r="D234" s="103">
        <f>IF(OR(B234="",C234=""),"",IF(DATEDIF(C234,B234,"y")&gt;=1,DATEDIF(C234,B234,"y")&amp;IF(DATEDIF(C234,B234,"y")=1," year "," years ")&amp;DATEDIF(C234,B234,"ym")&amp;IF(DATEDIF(C234,B234,"ym")=1," month"," months"),IF(DATEDIF(C234,B234,"m")&gt;=1,DATEDIF(C234,B234,"m")&amp;IF(DATEDIF(C234,B234,"m")=1," month"," months"),DATEDIF(C234,B234,"d")&amp;IF(DATEDIF(C234,B234,"d")=1," day"," days"))))</f>
      </c>
      <c r="E234" s="103"/>
      <c r="F234" s="103"/>
      <c r="G234" s="103"/>
      <c r="H234" s="103"/>
      <c r="I234" s="103"/>
      <c r="J234" s="104"/>
      <c r="K234" s="103"/>
      <c r="L234" s="103"/>
      <c r="M234" s="105" t="str">
        <f>IFERROR(VLOOKUP(G234,Reference!$I$2:$J$175,2,FALSE()),"Operations")</f>
        <v>Operations</v>
      </c>
    </row>
    <row r="235" spans="1:13" ht="15" customHeight="1" x14ac:dyDescent="0.25">
      <c r="A235" s="100"/>
      <c r="B235" s="101"/>
      <c r="C235" s="101"/>
      <c r="D235" s="100">
        <f>IF(OR(B235="",C235=""),"",IF(DATEDIF(C235,B235,"y")&gt;=1,DATEDIF(C235,B235,"y")&amp;IF(DATEDIF(C235,B235,"y")=1," year "," years ")&amp;DATEDIF(C235,B235,"ym")&amp;IF(DATEDIF(C235,B235,"ym")=1," month"," months"),IF(DATEDIF(C235,B235,"m")&gt;=1,DATEDIF(C235,B235,"m")&amp;IF(DATEDIF(C235,B235,"m")=1," month"," months"),DATEDIF(C235,B235,"d")&amp;IF(DATEDIF(C235,B235,"d")=1," day"," days"))))</f>
      </c>
      <c r="E235" s="100"/>
      <c r="F235" s="100"/>
      <c r="G235" s="100"/>
      <c r="H235" s="100"/>
      <c r="I235" s="100"/>
      <c r="J235" s="101"/>
      <c r="K235" s="100"/>
      <c r="L235" s="100"/>
      <c r="M235" s="102" t="str">
        <f>IFERROR(VLOOKUP(G235,Reference!$I$2:$J$175,2,FALSE()),"Operations")</f>
        <v>Operations</v>
      </c>
    </row>
    <row r="236" spans="1:13" ht="15" customHeight="1" x14ac:dyDescent="0.25">
      <c r="A236" s="103"/>
      <c r="B236" s="104"/>
      <c r="C236" s="104"/>
      <c r="D236" s="103">
        <f>IF(OR(B236="",C236=""),"",IF(DATEDIF(C236,B236,"y")&gt;=1,DATEDIF(C236,B236,"y")&amp;IF(DATEDIF(C236,B236,"y")=1," year "," years ")&amp;DATEDIF(C236,B236,"ym")&amp;IF(DATEDIF(C236,B236,"ym")=1," month"," months"),IF(DATEDIF(C236,B236,"m")&gt;=1,DATEDIF(C236,B236,"m")&amp;IF(DATEDIF(C236,B236,"m")=1," month"," months"),DATEDIF(C236,B236,"d")&amp;IF(DATEDIF(C236,B236,"d")=1," day"," days"))))</f>
      </c>
      <c r="E236" s="103"/>
      <c r="F236" s="103"/>
      <c r="G236" s="103"/>
      <c r="H236" s="103"/>
      <c r="I236" s="103"/>
      <c r="J236" s="104"/>
      <c r="K236" s="103"/>
      <c r="L236" s="103"/>
      <c r="M236" s="105" t="str">
        <f>IFERROR(VLOOKUP(G236,Reference!$I$2:$J$175,2,FALSE()),"Operations")</f>
        <v>Operations</v>
      </c>
    </row>
    <row r="237" spans="1:13" ht="15" customHeight="1" x14ac:dyDescent="0.25">
      <c r="A237" s="100"/>
      <c r="B237" s="101"/>
      <c r="C237" s="101"/>
      <c r="D237" s="100">
        <f>IF(OR(B237="",C237=""),"",IF(DATEDIF(C237,B237,"y")&gt;=1,DATEDIF(C237,B237,"y")&amp;IF(DATEDIF(C237,B237,"y")=1," year "," years ")&amp;DATEDIF(C237,B237,"ym")&amp;IF(DATEDIF(C237,B237,"ym")=1," month"," months"),IF(DATEDIF(C237,B237,"m")&gt;=1,DATEDIF(C237,B237,"m")&amp;IF(DATEDIF(C237,B237,"m")=1," month"," months"),DATEDIF(C237,B237,"d")&amp;IF(DATEDIF(C237,B237,"d")=1," day"," days"))))</f>
      </c>
      <c r="E237" s="100"/>
      <c r="F237" s="100"/>
      <c r="G237" s="100"/>
      <c r="H237" s="100"/>
      <c r="I237" s="100"/>
      <c r="J237" s="101"/>
      <c r="K237" s="100"/>
      <c r="L237" s="100"/>
      <c r="M237" s="102" t="str">
        <f>IFERROR(VLOOKUP(G237,Reference!$I$2:$J$175,2,FALSE()),"Operations")</f>
        <v>Operations</v>
      </c>
    </row>
    <row r="238" spans="1:13" ht="15" customHeight="1" x14ac:dyDescent="0.25">
      <c r="A238" s="103"/>
      <c r="B238" s="104"/>
      <c r="C238" s="104"/>
      <c r="D238" s="103">
        <f>IF(OR(B238="",C238=""),"",IF(DATEDIF(C238,B238,"y")&gt;=1,DATEDIF(C238,B238,"y")&amp;IF(DATEDIF(C238,B238,"y")=1," year "," years ")&amp;DATEDIF(C238,B238,"ym")&amp;IF(DATEDIF(C238,B238,"ym")=1," month"," months"),IF(DATEDIF(C238,B238,"m")&gt;=1,DATEDIF(C238,B238,"m")&amp;IF(DATEDIF(C238,B238,"m")=1," month"," months"),DATEDIF(C238,B238,"d")&amp;IF(DATEDIF(C238,B238,"d")=1," day"," days"))))</f>
      </c>
      <c r="E238" s="103"/>
      <c r="F238" s="103"/>
      <c r="G238" s="103"/>
      <c r="H238" s="103"/>
      <c r="I238" s="103"/>
      <c r="J238" s="104"/>
      <c r="K238" s="103"/>
      <c r="L238" s="103"/>
      <c r="M238" s="105" t="str">
        <f>IFERROR(VLOOKUP(G238,Reference!$I$2:$J$175,2,FALSE()),"Operations")</f>
        <v>Operations</v>
      </c>
    </row>
    <row r="239" spans="1:13" ht="15" customHeight="1" x14ac:dyDescent="0.25">
      <c r="A239" s="100"/>
      <c r="B239" s="101"/>
      <c r="C239" s="101"/>
      <c r="D239" s="100">
        <f>IF(OR(B239="",C239=""),"",IF(DATEDIF(C239,B239,"y")&gt;=1,DATEDIF(C239,B239,"y")&amp;IF(DATEDIF(C239,B239,"y")=1," year "," years ")&amp;DATEDIF(C239,B239,"ym")&amp;IF(DATEDIF(C239,B239,"ym")=1," month"," months"),IF(DATEDIF(C239,B239,"m")&gt;=1,DATEDIF(C239,B239,"m")&amp;IF(DATEDIF(C239,B239,"m")=1," month"," months"),DATEDIF(C239,B239,"d")&amp;IF(DATEDIF(C239,B239,"d")=1," day"," days"))))</f>
      </c>
      <c r="E239" s="100"/>
      <c r="F239" s="100"/>
      <c r="G239" s="100"/>
      <c r="H239" s="100"/>
      <c r="I239" s="100"/>
      <c r="J239" s="101"/>
      <c r="K239" s="100"/>
      <c r="L239" s="100"/>
      <c r="M239" s="102" t="str">
        <f>IFERROR(VLOOKUP(G239,Reference!$I$2:$J$175,2,FALSE()),"Operations")</f>
        <v>Operations</v>
      </c>
    </row>
    <row r="240" spans="1:13" ht="15" customHeight="1" x14ac:dyDescent="0.25">
      <c r="A240" s="103"/>
      <c r="B240" s="104"/>
      <c r="C240" s="104"/>
      <c r="D240" s="103">
        <f>IF(OR(B240="",C240=""),"",IF(DATEDIF(C240,B240,"y")&gt;=1,DATEDIF(C240,B240,"y")&amp;IF(DATEDIF(C240,B240,"y")=1," year "," years ")&amp;DATEDIF(C240,B240,"ym")&amp;IF(DATEDIF(C240,B240,"ym")=1," month"," months"),IF(DATEDIF(C240,B240,"m")&gt;=1,DATEDIF(C240,B240,"m")&amp;IF(DATEDIF(C240,B240,"m")=1," month"," months"),DATEDIF(C240,B240,"d")&amp;IF(DATEDIF(C240,B240,"d")=1," day"," days"))))</f>
      </c>
      <c r="E240" s="103"/>
      <c r="F240" s="103"/>
      <c r="G240" s="103"/>
      <c r="H240" s="103"/>
      <c r="I240" s="103"/>
      <c r="J240" s="104"/>
      <c r="K240" s="103"/>
      <c r="L240" s="103"/>
      <c r="M240" s="105" t="str">
        <f>IFERROR(VLOOKUP(G240,Reference!$I$2:$J$175,2,FALSE()),"Operations")</f>
        <v>Operations</v>
      </c>
    </row>
    <row r="241" spans="1:13" ht="15" customHeight="1" x14ac:dyDescent="0.25">
      <c r="A241" s="100"/>
      <c r="B241" s="101"/>
      <c r="C241" s="101"/>
      <c r="D241" s="100">
        <f>IF(OR(B241="",C241=""),"",IF(DATEDIF(C241,B241,"y")&gt;=1,DATEDIF(C241,B241,"y")&amp;IF(DATEDIF(C241,B241,"y")=1," year "," years ")&amp;DATEDIF(C241,B241,"ym")&amp;IF(DATEDIF(C241,B241,"ym")=1," month"," months"),IF(DATEDIF(C241,B241,"m")&gt;=1,DATEDIF(C241,B241,"m")&amp;IF(DATEDIF(C241,B241,"m")=1," month"," months"),DATEDIF(C241,B241,"d")&amp;IF(DATEDIF(C241,B241,"d")=1," day"," days"))))</f>
      </c>
      <c r="E241" s="100"/>
      <c r="F241" s="100"/>
      <c r="G241" s="100"/>
      <c r="H241" s="100"/>
      <c r="I241" s="100"/>
      <c r="J241" s="101"/>
      <c r="K241" s="100"/>
      <c r="L241" s="100"/>
      <c r="M241" s="102" t="str">
        <f>IFERROR(VLOOKUP(G241,Reference!$I$2:$J$175,2,FALSE()),"Operations")</f>
        <v>Operations</v>
      </c>
    </row>
    <row r="242" spans="1:13" ht="15" customHeight="1" x14ac:dyDescent="0.25">
      <c r="A242" s="103"/>
      <c r="B242" s="104"/>
      <c r="C242" s="104"/>
      <c r="D242" s="103">
        <f>IF(OR(B242="",C242=""),"",IF(DATEDIF(C242,B242,"y")&gt;=1,DATEDIF(C242,B242,"y")&amp;IF(DATEDIF(C242,B242,"y")=1," year "," years ")&amp;DATEDIF(C242,B242,"ym")&amp;IF(DATEDIF(C242,B242,"ym")=1," month"," months"),IF(DATEDIF(C242,B242,"m")&gt;=1,DATEDIF(C242,B242,"m")&amp;IF(DATEDIF(C242,B242,"m")=1," month"," months"),DATEDIF(C242,B242,"d")&amp;IF(DATEDIF(C242,B242,"d")=1," day"," days"))))</f>
      </c>
      <c r="E242" s="103"/>
      <c r="F242" s="103"/>
      <c r="G242" s="103"/>
      <c r="H242" s="103"/>
      <c r="I242" s="103"/>
      <c r="J242" s="104"/>
      <c r="K242" s="103"/>
      <c r="L242" s="103"/>
      <c r="M242" s="105" t="str">
        <f>IFERROR(VLOOKUP(G242,Reference!$I$2:$J$175,2,FALSE()),"Operations")</f>
        <v>Operations</v>
      </c>
    </row>
    <row r="243" spans="1:13" ht="15" customHeight="1" x14ac:dyDescent="0.25">
      <c r="A243" s="106" t="s">
        <v>163</v>
      </c>
      <c r="B243" s="107">
        <f>COUNTA(A213:A242)</f>
        <v>10</v>
      </c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</row>
    <row r="244" spans="1:13" ht="6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</row>
    <row r="245" spans="1:13" ht="21.75" customHeight="1" x14ac:dyDescent="0.25">
      <c r="A245" s="163" t="s">
        <v>915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</row>
    <row r="246" spans="1:13" ht="19.5" customHeight="1" x14ac:dyDescent="0.25">
      <c r="A246" s="64" t="s">
        <v>151</v>
      </c>
      <c r="B246" s="64" t="s">
        <v>152</v>
      </c>
      <c r="C246" s="64" t="s">
        <v>153</v>
      </c>
      <c r="D246" s="64" t="s">
        <v>154</v>
      </c>
      <c r="E246" s="64" t="s">
        <v>155</v>
      </c>
      <c r="F246" s="64" t="s">
        <v>156</v>
      </c>
      <c r="G246" s="64" t="s">
        <v>157</v>
      </c>
      <c r="H246" s="64" t="s">
        <v>158</v>
      </c>
      <c r="I246" s="64" t="s">
        <v>159</v>
      </c>
      <c r="J246" s="64" t="s">
        <v>160</v>
      </c>
      <c r="K246" s="64" t="s">
        <v>134</v>
      </c>
      <c r="L246" s="64" t="s">
        <v>161</v>
      </c>
      <c r="M246" s="64" t="s">
        <v>162</v>
      </c>
    </row>
    <row r="247" spans="1:13" ht="15" customHeight="1" x14ac:dyDescent="0.25">
      <c r="A247" s="77" t="s">
        <v>916</v>
      </c>
      <c r="B247" s="77"/>
      <c r="C247" s="77"/>
      <c r="D247" s="77" t="s">
        <v>917</v>
      </c>
      <c r="E247" s="77" t="s">
        <v>184</v>
      </c>
      <c r="F247" s="77" t="s">
        <v>191</v>
      </c>
      <c r="G247" s="77" t="s">
        <v>747</v>
      </c>
      <c r="H247" s="77" t="s">
        <v>56</v>
      </c>
      <c r="I247" s="77" t="s">
        <v>182</v>
      </c>
      <c r="J247" s="77"/>
      <c r="K247" s="77" t="s">
        <v>70</v>
      </c>
      <c r="L247" s="77"/>
      <c r="M247" s="102" t="str">
        <f>IFERROR(VLOOKUP(G247,Reference!$I$2:$J$175,2,FALSE()),"Operations")</f>
        <v>Operations</v>
      </c>
    </row>
    <row r="248" spans="1:13" ht="15" customHeight="1" x14ac:dyDescent="0.25">
      <c r="A248" s="80" t="s">
        <v>918</v>
      </c>
      <c r="B248" s="80"/>
      <c r="C248" s="80"/>
      <c r="D248" s="80" t="s">
        <v>597</v>
      </c>
      <c r="E248" s="80" t="s">
        <v>179</v>
      </c>
      <c r="F248" s="80" t="s">
        <v>191</v>
      </c>
      <c r="G248" s="80" t="s">
        <v>778</v>
      </c>
      <c r="H248" s="80" t="s">
        <v>56</v>
      </c>
      <c r="I248" s="80" t="s">
        <v>389</v>
      </c>
      <c r="J248" s="80"/>
      <c r="K248" s="80" t="s">
        <v>83</v>
      </c>
      <c r="L248" s="80"/>
      <c r="M248" s="105" t="str">
        <f>IFERROR(VLOOKUP(G248,Reference!$I$2:$J$175,2,FALSE()),"Operations")</f>
        <v>Operations</v>
      </c>
    </row>
    <row r="249" spans="1:13" ht="15" customHeight="1" x14ac:dyDescent="0.25">
      <c r="A249" s="77" t="s">
        <v>919</v>
      </c>
      <c r="B249" s="77"/>
      <c r="C249" s="77"/>
      <c r="D249" s="77" t="s">
        <v>920</v>
      </c>
      <c r="E249" s="77" t="s">
        <v>184</v>
      </c>
      <c r="F249" s="77" t="s">
        <v>180</v>
      </c>
      <c r="G249" s="77" t="s">
        <v>741</v>
      </c>
      <c r="H249" s="77" t="s">
        <v>58</v>
      </c>
      <c r="I249" s="77" t="s">
        <v>742</v>
      </c>
      <c r="J249" s="77"/>
      <c r="K249" s="77" t="s">
        <v>70</v>
      </c>
      <c r="L249" s="77"/>
      <c r="M249" s="102" t="str">
        <f>IFERROR(VLOOKUP(G249,Reference!$I$2:$J$175,2,FALSE()),"Operations")</f>
        <v>Operations</v>
      </c>
    </row>
    <row r="250" spans="1:13" ht="15" customHeight="1" x14ac:dyDescent="0.25">
      <c r="A250" s="80" t="s">
        <v>921</v>
      </c>
      <c r="B250" s="80"/>
      <c r="C250" s="80"/>
      <c r="D250" s="80" t="s">
        <v>922</v>
      </c>
      <c r="E250" s="80" t="s">
        <v>179</v>
      </c>
      <c r="F250" s="80" t="s">
        <v>180</v>
      </c>
      <c r="G250" s="80" t="s">
        <v>181</v>
      </c>
      <c r="H250" s="80" t="s">
        <v>64</v>
      </c>
      <c r="I250" s="80" t="s">
        <v>205</v>
      </c>
      <c r="J250" s="80"/>
      <c r="K250" s="80" t="s">
        <v>66</v>
      </c>
      <c r="L250" s="80"/>
      <c r="M250" s="105" t="str">
        <f>IFERROR(VLOOKUP(G250,Reference!$I$2:$J$175,2,FALSE()),"Operations")</f>
        <v>Operations</v>
      </c>
    </row>
    <row r="251" spans="1:13" ht="15" customHeight="1" x14ac:dyDescent="0.25">
      <c r="A251" s="77" t="s">
        <v>923</v>
      </c>
      <c r="B251" s="77"/>
      <c r="C251" s="77"/>
      <c r="D251" s="77" t="s">
        <v>344</v>
      </c>
      <c r="E251" s="77" t="s">
        <v>179</v>
      </c>
      <c r="F251" s="77" t="s">
        <v>180</v>
      </c>
      <c r="G251" s="77" t="s">
        <v>600</v>
      </c>
      <c r="H251" s="77" t="s">
        <v>64</v>
      </c>
      <c r="I251" s="77" t="s">
        <v>657</v>
      </c>
      <c r="J251" s="77"/>
      <c r="K251" s="77" t="s">
        <v>66</v>
      </c>
      <c r="L251" s="77"/>
      <c r="M251" s="102" t="str">
        <f>IFERROR(VLOOKUP(G251,Reference!$I$2:$J$175,2,FALSE()),"Operations")</f>
        <v>Operations</v>
      </c>
    </row>
    <row r="252" spans="1:13" ht="15" customHeight="1" x14ac:dyDescent="0.25">
      <c r="A252" s="80" t="s">
        <v>924</v>
      </c>
      <c r="B252" s="80"/>
      <c r="C252" s="80"/>
      <c r="D252" s="80" t="s">
        <v>323</v>
      </c>
      <c r="E252" s="80" t="s">
        <v>179</v>
      </c>
      <c r="F252" s="80" t="s">
        <v>191</v>
      </c>
      <c r="G252" s="80" t="s">
        <v>906</v>
      </c>
      <c r="H252" s="80" t="s">
        <v>69</v>
      </c>
      <c r="I252" s="80" t="s">
        <v>632</v>
      </c>
      <c r="J252" s="80"/>
      <c r="K252" s="80" t="s">
        <v>66</v>
      </c>
      <c r="L252" s="80"/>
      <c r="M252" s="105" t="str">
        <f>IFERROR(VLOOKUP(G252,Reference!$I$2:$J$175,2,FALSE()),"Operations")</f>
        <v>Operations</v>
      </c>
    </row>
    <row r="253" spans="1:13" ht="15" customHeight="1" x14ac:dyDescent="0.25">
      <c r="A253" s="77" t="s">
        <v>925</v>
      </c>
      <c r="B253" s="77"/>
      <c r="C253" s="77"/>
      <c r="D253" s="77" t="s">
        <v>713</v>
      </c>
      <c r="E253" s="77" t="s">
        <v>179</v>
      </c>
      <c r="F253" s="77" t="s">
        <v>191</v>
      </c>
      <c r="G253" s="77" t="s">
        <v>296</v>
      </c>
      <c r="H253" s="77" t="s">
        <v>69</v>
      </c>
      <c r="I253" s="77" t="s">
        <v>205</v>
      </c>
      <c r="J253" s="77"/>
      <c r="K253" s="77" t="s">
        <v>66</v>
      </c>
      <c r="L253" s="77"/>
      <c r="M253" s="102" t="str">
        <f>IFERROR(VLOOKUP(G253,Reference!$I$2:$J$175,2,FALSE()),"Operations")</f>
        <v>Operations</v>
      </c>
    </row>
    <row r="254" spans="1:13" ht="15" customHeight="1" x14ac:dyDescent="0.25">
      <c r="A254" s="80" t="s">
        <v>926</v>
      </c>
      <c r="B254" s="80"/>
      <c r="C254" s="80"/>
      <c r="D254" s="80" t="s">
        <v>318</v>
      </c>
      <c r="E254" s="80" t="s">
        <v>179</v>
      </c>
      <c r="F254" s="80" t="s">
        <v>180</v>
      </c>
      <c r="G254" s="80" t="s">
        <v>927</v>
      </c>
      <c r="H254" s="80" t="s">
        <v>53</v>
      </c>
      <c r="I254" s="80" t="s">
        <v>182</v>
      </c>
      <c r="J254" s="80"/>
      <c r="K254" s="80" t="s">
        <v>66</v>
      </c>
      <c r="L254" s="80"/>
      <c r="M254" s="105" t="str">
        <f>IFERROR(VLOOKUP(G254,Reference!$I$2:$J$175,2,FALSE()),"Operations")</f>
        <v>Operations</v>
      </c>
    </row>
    <row r="255" spans="1:13" ht="15" customHeight="1" x14ac:dyDescent="0.25">
      <c r="A255" s="77" t="s">
        <v>928</v>
      </c>
      <c r="B255" s="77"/>
      <c r="C255" s="77"/>
      <c r="D255" s="77" t="s">
        <v>882</v>
      </c>
      <c r="E255" s="77" t="s">
        <v>184</v>
      </c>
      <c r="F255" s="77" t="s">
        <v>191</v>
      </c>
      <c r="G255" s="77" t="s">
        <v>637</v>
      </c>
      <c r="H255" s="77" t="s">
        <v>56</v>
      </c>
      <c r="I255" s="77" t="s">
        <v>235</v>
      </c>
      <c r="J255" s="77"/>
      <c r="K255" s="77" t="s">
        <v>66</v>
      </c>
      <c r="L255" s="77"/>
      <c r="M255" s="102" t="str">
        <f>IFERROR(VLOOKUP(G255,Reference!$I$2:$J$175,2,FALSE()),"Operations")</f>
        <v>Operations</v>
      </c>
    </row>
    <row r="256" spans="1:13" ht="15" customHeight="1" x14ac:dyDescent="0.25">
      <c r="A256" s="103"/>
      <c r="B256" s="104"/>
      <c r="C256" s="104"/>
      <c r="D256" s="103">
        <f>IF(OR(B256="",C256=""),"",IF(DATEDIF(C256,B256,"y")&gt;=1,DATEDIF(C256,B256,"y")&amp;IF(DATEDIF(C256,B256,"y")=1," year "," years ")&amp;DATEDIF(C256,B256,"ym")&amp;IF(DATEDIF(C256,B256,"ym")=1," month"," months"),IF(DATEDIF(C256,B256,"m")&gt;=1,DATEDIF(C256,B256,"m")&amp;IF(DATEDIF(C256,B256,"m")=1," month"," months"),DATEDIF(C256,B256,"d")&amp;IF(DATEDIF(C256,B256,"d")=1," day"," days"))))</f>
      </c>
      <c r="E256" s="103"/>
      <c r="F256" s="103"/>
      <c r="G256" s="103"/>
      <c r="H256" s="103"/>
      <c r="I256" s="103"/>
      <c r="J256" s="104"/>
      <c r="K256" s="103"/>
      <c r="L256" s="103"/>
      <c r="M256" s="105" t="str">
        <f>IFERROR(VLOOKUP(G256,Reference!$I$2:$J$175,2,FALSE()),"Operations")</f>
        <v>Operations</v>
      </c>
    </row>
    <row r="257" spans="1:13" ht="15" customHeight="1" x14ac:dyDescent="0.25">
      <c r="A257" s="100"/>
      <c r="B257" s="101"/>
      <c r="C257" s="101"/>
      <c r="D257" s="100">
        <f>IF(OR(B257="",C257=""),"",IF(DATEDIF(C257,B257,"y")&gt;=1,DATEDIF(C257,B257,"y")&amp;IF(DATEDIF(C257,B257,"y")=1," year "," years ")&amp;DATEDIF(C257,B257,"ym")&amp;IF(DATEDIF(C257,B257,"ym")=1," month"," months"),IF(DATEDIF(C257,B257,"m")&gt;=1,DATEDIF(C257,B257,"m")&amp;IF(DATEDIF(C257,B257,"m")=1," month"," months"),DATEDIF(C257,B257,"d")&amp;IF(DATEDIF(C257,B257,"d")=1," day"," days"))))</f>
      </c>
      <c r="E257" s="100"/>
      <c r="F257" s="100"/>
      <c r="G257" s="100"/>
      <c r="H257" s="100"/>
      <c r="I257" s="100"/>
      <c r="J257" s="101"/>
      <c r="K257" s="100"/>
      <c r="L257" s="100"/>
      <c r="M257" s="102" t="str">
        <f>IFERROR(VLOOKUP(G257,Reference!$I$2:$J$175,2,FALSE()),"Operations")</f>
        <v>Operations</v>
      </c>
    </row>
    <row r="258" spans="1:13" ht="15" customHeight="1" x14ac:dyDescent="0.25">
      <c r="A258" s="103"/>
      <c r="B258" s="104"/>
      <c r="C258" s="104"/>
      <c r="D258" s="103">
        <f>IF(OR(B258="",C258=""),"",IF(DATEDIF(C258,B258,"y")&gt;=1,DATEDIF(C258,B258,"y")&amp;IF(DATEDIF(C258,B258,"y")=1," year "," years ")&amp;DATEDIF(C258,B258,"ym")&amp;IF(DATEDIF(C258,B258,"ym")=1," month"," months"),IF(DATEDIF(C258,B258,"m")&gt;=1,DATEDIF(C258,B258,"m")&amp;IF(DATEDIF(C258,B258,"m")=1," month"," months"),DATEDIF(C258,B258,"d")&amp;IF(DATEDIF(C258,B258,"d")=1," day"," days"))))</f>
      </c>
      <c r="E258" s="103"/>
      <c r="F258" s="103"/>
      <c r="G258" s="103"/>
      <c r="H258" s="103"/>
      <c r="I258" s="103"/>
      <c r="J258" s="104"/>
      <c r="K258" s="103"/>
      <c r="L258" s="103"/>
      <c r="M258" s="105" t="str">
        <f>IFERROR(VLOOKUP(G258,Reference!$I$2:$J$175,2,FALSE()),"Operations")</f>
        <v>Operations</v>
      </c>
    </row>
    <row r="259" spans="1:13" ht="15" customHeight="1" x14ac:dyDescent="0.25">
      <c r="A259" s="100"/>
      <c r="B259" s="101"/>
      <c r="C259" s="101"/>
      <c r="D259" s="100">
        <f>IF(OR(B259="",C259=""),"",IF(DATEDIF(C259,B259,"y")&gt;=1,DATEDIF(C259,B259,"y")&amp;IF(DATEDIF(C259,B259,"y")=1," year "," years ")&amp;DATEDIF(C259,B259,"ym")&amp;IF(DATEDIF(C259,B259,"ym")=1," month"," months"),IF(DATEDIF(C259,B259,"m")&gt;=1,DATEDIF(C259,B259,"m")&amp;IF(DATEDIF(C259,B259,"m")=1," month"," months"),DATEDIF(C259,B259,"d")&amp;IF(DATEDIF(C259,B259,"d")=1," day"," days"))))</f>
      </c>
      <c r="E259" s="100"/>
      <c r="F259" s="100"/>
      <c r="G259" s="100"/>
      <c r="H259" s="100"/>
      <c r="I259" s="100"/>
      <c r="J259" s="101"/>
      <c r="K259" s="100"/>
      <c r="L259" s="100"/>
      <c r="M259" s="102" t="str">
        <f>IFERROR(VLOOKUP(G259,Reference!$I$2:$J$175,2,FALSE()),"Operations")</f>
        <v>Operations</v>
      </c>
    </row>
    <row r="260" spans="1:13" ht="15" customHeight="1" x14ac:dyDescent="0.25">
      <c r="A260" s="103"/>
      <c r="B260" s="104"/>
      <c r="C260" s="104"/>
      <c r="D260" s="103">
        <f>IF(OR(B260="",C260=""),"",IF(DATEDIF(C260,B260,"y")&gt;=1,DATEDIF(C260,B260,"y")&amp;IF(DATEDIF(C260,B260,"y")=1," year "," years ")&amp;DATEDIF(C260,B260,"ym")&amp;IF(DATEDIF(C260,B260,"ym")=1," month"," months"),IF(DATEDIF(C260,B260,"m")&gt;=1,DATEDIF(C260,B260,"m")&amp;IF(DATEDIF(C260,B260,"m")=1," month"," months"),DATEDIF(C260,B260,"d")&amp;IF(DATEDIF(C260,B260,"d")=1," day"," days"))))</f>
      </c>
      <c r="E260" s="103"/>
      <c r="F260" s="103"/>
      <c r="G260" s="103"/>
      <c r="H260" s="103"/>
      <c r="I260" s="103"/>
      <c r="J260" s="104"/>
      <c r="K260" s="103"/>
      <c r="L260" s="103"/>
      <c r="M260" s="105" t="str">
        <f>IFERROR(VLOOKUP(G260,Reference!$I$2:$J$175,2,FALSE()),"Operations")</f>
        <v>Operations</v>
      </c>
    </row>
    <row r="261" spans="1:13" ht="15" customHeight="1" x14ac:dyDescent="0.25">
      <c r="A261" s="100"/>
      <c r="B261" s="101"/>
      <c r="C261" s="101"/>
      <c r="D261" s="100">
        <f>IF(OR(B261="",C261=""),"",IF(DATEDIF(C261,B261,"y")&gt;=1,DATEDIF(C261,B261,"y")&amp;IF(DATEDIF(C261,B261,"y")=1," year "," years ")&amp;DATEDIF(C261,B261,"ym")&amp;IF(DATEDIF(C261,B261,"ym")=1," month"," months"),IF(DATEDIF(C261,B261,"m")&gt;=1,DATEDIF(C261,B261,"m")&amp;IF(DATEDIF(C261,B261,"m")=1," month"," months"),DATEDIF(C261,B261,"d")&amp;IF(DATEDIF(C261,B261,"d")=1," day"," days"))))</f>
      </c>
      <c r="E261" s="100"/>
      <c r="F261" s="100"/>
      <c r="G261" s="100"/>
      <c r="H261" s="100"/>
      <c r="I261" s="100"/>
      <c r="J261" s="101"/>
      <c r="K261" s="100"/>
      <c r="L261" s="100"/>
      <c r="M261" s="102" t="str">
        <f>IFERROR(VLOOKUP(G261,Reference!$I$2:$J$175,2,FALSE()),"Operations")</f>
        <v>Operations</v>
      </c>
    </row>
    <row r="262" spans="1:13" ht="15" customHeight="1" x14ac:dyDescent="0.25">
      <c r="A262" s="103"/>
      <c r="B262" s="104"/>
      <c r="C262" s="104"/>
      <c r="D262" s="103">
        <f>IF(OR(B262="",C262=""),"",IF(DATEDIF(C262,B262,"y")&gt;=1,DATEDIF(C262,B262,"y")&amp;IF(DATEDIF(C262,B262,"y")=1," year "," years ")&amp;DATEDIF(C262,B262,"ym")&amp;IF(DATEDIF(C262,B262,"ym")=1," month"," months"),IF(DATEDIF(C262,B262,"m")&gt;=1,DATEDIF(C262,B262,"m")&amp;IF(DATEDIF(C262,B262,"m")=1," month"," months"),DATEDIF(C262,B262,"d")&amp;IF(DATEDIF(C262,B262,"d")=1," day"," days"))))</f>
      </c>
      <c r="E262" s="103"/>
      <c r="F262" s="103"/>
      <c r="G262" s="103"/>
      <c r="H262" s="103"/>
      <c r="I262" s="103"/>
      <c r="J262" s="104"/>
      <c r="K262" s="103"/>
      <c r="L262" s="103"/>
      <c r="M262" s="105" t="str">
        <f>IFERROR(VLOOKUP(G262,Reference!$I$2:$J$175,2,FALSE()),"Operations")</f>
        <v>Operations</v>
      </c>
    </row>
    <row r="263" spans="1:13" ht="15" customHeight="1" x14ac:dyDescent="0.25">
      <c r="A263" s="100"/>
      <c r="B263" s="101"/>
      <c r="C263" s="101"/>
      <c r="D263" s="100">
        <f>IF(OR(B263="",C263=""),"",IF(DATEDIF(C263,B263,"y")&gt;=1,DATEDIF(C263,B263,"y")&amp;IF(DATEDIF(C263,B263,"y")=1," year "," years ")&amp;DATEDIF(C263,B263,"ym")&amp;IF(DATEDIF(C263,B263,"ym")=1," month"," months"),IF(DATEDIF(C263,B263,"m")&gt;=1,DATEDIF(C263,B263,"m")&amp;IF(DATEDIF(C263,B263,"m")=1," month"," months"),DATEDIF(C263,B263,"d")&amp;IF(DATEDIF(C263,B263,"d")=1," day"," days"))))</f>
      </c>
      <c r="E263" s="100"/>
      <c r="F263" s="100"/>
      <c r="G263" s="100"/>
      <c r="H263" s="100"/>
      <c r="I263" s="100"/>
      <c r="J263" s="101"/>
      <c r="K263" s="100"/>
      <c r="L263" s="100"/>
      <c r="M263" s="102" t="str">
        <f>IFERROR(VLOOKUP(G263,Reference!$I$2:$J$175,2,FALSE()),"Operations")</f>
        <v>Operations</v>
      </c>
    </row>
    <row r="264" spans="1:13" ht="15" customHeight="1" x14ac:dyDescent="0.25">
      <c r="A264" s="103"/>
      <c r="B264" s="104"/>
      <c r="C264" s="104"/>
      <c r="D264" s="103">
        <f>IF(OR(B264="",C264=""),"",IF(DATEDIF(C264,B264,"y")&gt;=1,DATEDIF(C264,B264,"y")&amp;IF(DATEDIF(C264,B264,"y")=1," year "," years ")&amp;DATEDIF(C264,B264,"ym")&amp;IF(DATEDIF(C264,B264,"ym")=1," month"," months"),IF(DATEDIF(C264,B264,"m")&gt;=1,DATEDIF(C264,B264,"m")&amp;IF(DATEDIF(C264,B264,"m")=1," month"," months"),DATEDIF(C264,B264,"d")&amp;IF(DATEDIF(C264,B264,"d")=1," day"," days"))))</f>
      </c>
      <c r="E264" s="103"/>
      <c r="F264" s="103"/>
      <c r="G264" s="103"/>
      <c r="H264" s="103"/>
      <c r="I264" s="103"/>
      <c r="J264" s="104"/>
      <c r="K264" s="103"/>
      <c r="L264" s="103"/>
      <c r="M264" s="105" t="str">
        <f>IFERROR(VLOOKUP(G264,Reference!$I$2:$J$175,2,FALSE()),"Operations")</f>
        <v>Operations</v>
      </c>
    </row>
    <row r="265" spans="1:13" ht="15" customHeight="1" x14ac:dyDescent="0.25">
      <c r="A265" s="100"/>
      <c r="B265" s="101"/>
      <c r="C265" s="101"/>
      <c r="D265" s="100">
        <f>IF(OR(B265="",C265=""),"",IF(DATEDIF(C265,B265,"y")&gt;=1,DATEDIF(C265,B265,"y")&amp;IF(DATEDIF(C265,B265,"y")=1," year "," years ")&amp;DATEDIF(C265,B265,"ym")&amp;IF(DATEDIF(C265,B265,"ym")=1," month"," months"),IF(DATEDIF(C265,B265,"m")&gt;=1,DATEDIF(C265,B265,"m")&amp;IF(DATEDIF(C265,B265,"m")=1," month"," months"),DATEDIF(C265,B265,"d")&amp;IF(DATEDIF(C265,B265,"d")=1," day"," days"))))</f>
      </c>
      <c r="E265" s="100"/>
      <c r="F265" s="100"/>
      <c r="G265" s="100"/>
      <c r="H265" s="100"/>
      <c r="I265" s="100"/>
      <c r="J265" s="101"/>
      <c r="K265" s="100"/>
      <c r="L265" s="100"/>
      <c r="M265" s="102" t="str">
        <f>IFERROR(VLOOKUP(G265,Reference!$I$2:$J$175,2,FALSE()),"Operations")</f>
        <v>Operations</v>
      </c>
    </row>
    <row r="266" spans="1:13" ht="15" customHeight="1" x14ac:dyDescent="0.25">
      <c r="A266" s="103"/>
      <c r="B266" s="104"/>
      <c r="C266" s="104"/>
      <c r="D266" s="103">
        <f>IF(OR(B266="",C266=""),"",IF(DATEDIF(C266,B266,"y")&gt;=1,DATEDIF(C266,B266,"y")&amp;IF(DATEDIF(C266,B266,"y")=1," year "," years ")&amp;DATEDIF(C266,B266,"ym")&amp;IF(DATEDIF(C266,B266,"ym")=1," month"," months"),IF(DATEDIF(C266,B266,"m")&gt;=1,DATEDIF(C266,B266,"m")&amp;IF(DATEDIF(C266,B266,"m")=1," month"," months"),DATEDIF(C266,B266,"d")&amp;IF(DATEDIF(C266,B266,"d")=1," day"," days"))))</f>
      </c>
      <c r="E266" s="103"/>
      <c r="F266" s="103"/>
      <c r="G266" s="103"/>
      <c r="H266" s="103"/>
      <c r="I266" s="103"/>
      <c r="J266" s="104"/>
      <c r="K266" s="103"/>
      <c r="L266" s="103"/>
      <c r="M266" s="105" t="str">
        <f>IFERROR(VLOOKUP(G266,Reference!$I$2:$J$175,2,FALSE()),"Operations")</f>
        <v>Operations</v>
      </c>
    </row>
    <row r="267" spans="1:13" ht="15" customHeight="1" x14ac:dyDescent="0.25">
      <c r="A267" s="100"/>
      <c r="B267" s="101"/>
      <c r="C267" s="101"/>
      <c r="D267" s="100">
        <f>IF(OR(B267="",C267=""),"",IF(DATEDIF(C267,B267,"y")&gt;=1,DATEDIF(C267,B267,"y")&amp;IF(DATEDIF(C267,B267,"y")=1," year "," years ")&amp;DATEDIF(C267,B267,"ym")&amp;IF(DATEDIF(C267,B267,"ym")=1," month"," months"),IF(DATEDIF(C267,B267,"m")&gt;=1,DATEDIF(C267,B267,"m")&amp;IF(DATEDIF(C267,B267,"m")=1," month"," months"),DATEDIF(C267,B267,"d")&amp;IF(DATEDIF(C267,B267,"d")=1," day"," days"))))</f>
      </c>
      <c r="E267" s="100"/>
      <c r="F267" s="100"/>
      <c r="G267" s="100"/>
      <c r="H267" s="100"/>
      <c r="I267" s="100"/>
      <c r="J267" s="101"/>
      <c r="K267" s="100"/>
      <c r="L267" s="100"/>
      <c r="M267" s="102" t="str">
        <f>IFERROR(VLOOKUP(G267,Reference!$I$2:$J$175,2,FALSE()),"Operations")</f>
        <v>Operations</v>
      </c>
    </row>
    <row r="268" spans="1:13" ht="15" customHeight="1" x14ac:dyDescent="0.25">
      <c r="A268" s="103"/>
      <c r="B268" s="104"/>
      <c r="C268" s="104"/>
      <c r="D268" s="103">
        <f>IF(OR(B268="",C268=""),"",IF(DATEDIF(C268,B268,"y")&gt;=1,DATEDIF(C268,B268,"y")&amp;IF(DATEDIF(C268,B268,"y")=1," year "," years ")&amp;DATEDIF(C268,B268,"ym")&amp;IF(DATEDIF(C268,B268,"ym")=1," month"," months"),IF(DATEDIF(C268,B268,"m")&gt;=1,DATEDIF(C268,B268,"m")&amp;IF(DATEDIF(C268,B268,"m")=1," month"," months"),DATEDIF(C268,B268,"d")&amp;IF(DATEDIF(C268,B268,"d")=1," day"," days"))))</f>
      </c>
      <c r="E268" s="103"/>
      <c r="F268" s="103"/>
      <c r="G268" s="103"/>
      <c r="H268" s="103"/>
      <c r="I268" s="103"/>
      <c r="J268" s="104"/>
      <c r="K268" s="103"/>
      <c r="L268" s="103"/>
      <c r="M268" s="105" t="str">
        <f>IFERROR(VLOOKUP(G268,Reference!$I$2:$J$175,2,FALSE()),"Operations")</f>
        <v>Operations</v>
      </c>
    </row>
    <row r="269" spans="1:13" ht="15" customHeight="1" x14ac:dyDescent="0.25">
      <c r="A269" s="100"/>
      <c r="B269" s="101"/>
      <c r="C269" s="101"/>
      <c r="D269" s="100">
        <f>IF(OR(B269="",C269=""),"",IF(DATEDIF(C269,B269,"y")&gt;=1,DATEDIF(C269,B269,"y")&amp;IF(DATEDIF(C269,B269,"y")=1," year "," years ")&amp;DATEDIF(C269,B269,"ym")&amp;IF(DATEDIF(C269,B269,"ym")=1," month"," months"),IF(DATEDIF(C269,B269,"m")&gt;=1,DATEDIF(C269,B269,"m")&amp;IF(DATEDIF(C269,B269,"m")=1," month"," months"),DATEDIF(C269,B269,"d")&amp;IF(DATEDIF(C269,B269,"d")=1," day"," days"))))</f>
      </c>
      <c r="E269" s="100"/>
      <c r="F269" s="100"/>
      <c r="G269" s="100"/>
      <c r="H269" s="100"/>
      <c r="I269" s="100"/>
      <c r="J269" s="101"/>
      <c r="K269" s="100"/>
      <c r="L269" s="100"/>
      <c r="M269" s="102" t="str">
        <f>IFERROR(VLOOKUP(G269,Reference!$I$2:$J$175,2,FALSE()),"Operations")</f>
        <v>Operations</v>
      </c>
    </row>
    <row r="270" spans="1:13" ht="15" customHeight="1" x14ac:dyDescent="0.25">
      <c r="A270" s="103"/>
      <c r="B270" s="104"/>
      <c r="C270" s="104"/>
      <c r="D270" s="103">
        <f>IF(OR(B270="",C270=""),"",IF(DATEDIF(C270,B270,"y")&gt;=1,DATEDIF(C270,B270,"y")&amp;IF(DATEDIF(C270,B270,"y")=1," year "," years ")&amp;DATEDIF(C270,B270,"ym")&amp;IF(DATEDIF(C270,B270,"ym")=1," month"," months"),IF(DATEDIF(C270,B270,"m")&gt;=1,DATEDIF(C270,B270,"m")&amp;IF(DATEDIF(C270,B270,"m")=1," month"," months"),DATEDIF(C270,B270,"d")&amp;IF(DATEDIF(C270,B270,"d")=1," day"," days"))))</f>
      </c>
      <c r="E270" s="103"/>
      <c r="F270" s="103"/>
      <c r="G270" s="103"/>
      <c r="H270" s="103"/>
      <c r="I270" s="103"/>
      <c r="J270" s="104"/>
      <c r="K270" s="103"/>
      <c r="L270" s="103"/>
      <c r="M270" s="105" t="str">
        <f>IFERROR(VLOOKUP(G270,Reference!$I$2:$J$175,2,FALSE()),"Operations")</f>
        <v>Operations</v>
      </c>
    </row>
    <row r="271" spans="1:13" ht="15" customHeight="1" x14ac:dyDescent="0.25">
      <c r="A271" s="100"/>
      <c r="B271" s="101"/>
      <c r="C271" s="101"/>
      <c r="D271" s="100">
        <f>IF(OR(B271="",C271=""),"",IF(DATEDIF(C271,B271,"y")&gt;=1,DATEDIF(C271,B271,"y")&amp;IF(DATEDIF(C271,B271,"y")=1," year "," years ")&amp;DATEDIF(C271,B271,"ym")&amp;IF(DATEDIF(C271,B271,"ym")=1," month"," months"),IF(DATEDIF(C271,B271,"m")&gt;=1,DATEDIF(C271,B271,"m")&amp;IF(DATEDIF(C271,B271,"m")=1," month"," months"),DATEDIF(C271,B271,"d")&amp;IF(DATEDIF(C271,B271,"d")=1," day"," days"))))</f>
      </c>
      <c r="E271" s="100"/>
      <c r="F271" s="100"/>
      <c r="G271" s="100"/>
      <c r="H271" s="100"/>
      <c r="I271" s="100"/>
      <c r="J271" s="101"/>
      <c r="K271" s="100"/>
      <c r="L271" s="100"/>
      <c r="M271" s="102" t="str">
        <f>IFERROR(VLOOKUP(G271,Reference!$I$2:$J$175,2,FALSE()),"Operations")</f>
        <v>Operations</v>
      </c>
    </row>
    <row r="272" spans="1:13" ht="15" customHeight="1" x14ac:dyDescent="0.25">
      <c r="A272" s="103"/>
      <c r="B272" s="104"/>
      <c r="C272" s="104"/>
      <c r="D272" s="103">
        <f>IF(OR(B272="",C272=""),"",IF(DATEDIF(C272,B272,"y")&gt;=1,DATEDIF(C272,B272,"y")&amp;IF(DATEDIF(C272,B272,"y")=1," year "," years ")&amp;DATEDIF(C272,B272,"ym")&amp;IF(DATEDIF(C272,B272,"ym")=1," month"," months"),IF(DATEDIF(C272,B272,"m")&gt;=1,DATEDIF(C272,B272,"m")&amp;IF(DATEDIF(C272,B272,"m")=1," month"," months"),DATEDIF(C272,B272,"d")&amp;IF(DATEDIF(C272,B272,"d")=1," day"," days"))))</f>
      </c>
      <c r="E272" s="103"/>
      <c r="F272" s="103"/>
      <c r="G272" s="103"/>
      <c r="H272" s="103"/>
      <c r="I272" s="103"/>
      <c r="J272" s="104"/>
      <c r="K272" s="103"/>
      <c r="L272" s="103"/>
      <c r="M272" s="105" t="str">
        <f>IFERROR(VLOOKUP(G272,Reference!$I$2:$J$175,2,FALSE()),"Operations")</f>
        <v>Operations</v>
      </c>
    </row>
    <row r="273" spans="1:13" ht="15" customHeight="1" x14ac:dyDescent="0.25">
      <c r="A273" s="100"/>
      <c r="B273" s="101"/>
      <c r="C273" s="101"/>
      <c r="D273" s="100">
        <f>IF(OR(B273="",C273=""),"",IF(DATEDIF(C273,B273,"y")&gt;=1,DATEDIF(C273,B273,"y")&amp;IF(DATEDIF(C273,B273,"y")=1," year "," years ")&amp;DATEDIF(C273,B273,"ym")&amp;IF(DATEDIF(C273,B273,"ym")=1," month"," months"),IF(DATEDIF(C273,B273,"m")&gt;=1,DATEDIF(C273,B273,"m")&amp;IF(DATEDIF(C273,B273,"m")=1," month"," months"),DATEDIF(C273,B273,"d")&amp;IF(DATEDIF(C273,B273,"d")=1," day"," days"))))</f>
      </c>
      <c r="E273" s="100"/>
      <c r="F273" s="100"/>
      <c r="G273" s="100"/>
      <c r="H273" s="100"/>
      <c r="I273" s="100"/>
      <c r="J273" s="101"/>
      <c r="K273" s="100"/>
      <c r="L273" s="100"/>
      <c r="M273" s="102" t="str">
        <f>IFERROR(VLOOKUP(G273,Reference!$I$2:$J$175,2,FALSE()),"Operations")</f>
        <v>Operations</v>
      </c>
    </row>
    <row r="274" spans="1:13" ht="15" customHeight="1" x14ac:dyDescent="0.25">
      <c r="A274" s="103"/>
      <c r="B274" s="104"/>
      <c r="C274" s="104"/>
      <c r="D274" s="103">
        <f>IF(OR(B274="",C274=""),"",IF(DATEDIF(C274,B274,"y")&gt;=1,DATEDIF(C274,B274,"y")&amp;IF(DATEDIF(C274,B274,"y")=1," year "," years ")&amp;DATEDIF(C274,B274,"ym")&amp;IF(DATEDIF(C274,B274,"ym")=1," month"," months"),IF(DATEDIF(C274,B274,"m")&gt;=1,DATEDIF(C274,B274,"m")&amp;IF(DATEDIF(C274,B274,"m")=1," month"," months"),DATEDIF(C274,B274,"d")&amp;IF(DATEDIF(C274,B274,"d")=1," day"," days"))))</f>
      </c>
      <c r="E274" s="103"/>
      <c r="F274" s="103"/>
      <c r="G274" s="103"/>
      <c r="H274" s="103"/>
      <c r="I274" s="103"/>
      <c r="J274" s="104"/>
      <c r="K274" s="103"/>
      <c r="L274" s="103"/>
      <c r="M274" s="105" t="str">
        <f>IFERROR(VLOOKUP(G274,Reference!$I$2:$J$175,2,FALSE()),"Operations")</f>
        <v>Operations</v>
      </c>
    </row>
    <row r="275" spans="1:13" ht="15" customHeight="1" x14ac:dyDescent="0.25">
      <c r="A275" s="100"/>
      <c r="B275" s="101"/>
      <c r="C275" s="101"/>
      <c r="D275" s="100">
        <f>IF(OR(B275="",C275=""),"",IF(DATEDIF(C275,B275,"y")&gt;=1,DATEDIF(C275,B275,"y")&amp;IF(DATEDIF(C275,B275,"y")=1," year "," years ")&amp;DATEDIF(C275,B275,"ym")&amp;IF(DATEDIF(C275,B275,"ym")=1," month"," months"),IF(DATEDIF(C275,B275,"m")&gt;=1,DATEDIF(C275,B275,"m")&amp;IF(DATEDIF(C275,B275,"m")=1," month"," months"),DATEDIF(C275,B275,"d")&amp;IF(DATEDIF(C275,B275,"d")=1," day"," days"))))</f>
      </c>
      <c r="E275" s="100"/>
      <c r="F275" s="100"/>
      <c r="G275" s="100"/>
      <c r="H275" s="100"/>
      <c r="I275" s="100"/>
      <c r="J275" s="101"/>
      <c r="K275" s="100"/>
      <c r="L275" s="100"/>
      <c r="M275" s="102" t="str">
        <f>IFERROR(VLOOKUP(G275,Reference!$I$2:$J$175,2,FALSE()),"Operations")</f>
        <v>Operations</v>
      </c>
    </row>
    <row r="276" spans="1:13" ht="15" customHeight="1" x14ac:dyDescent="0.25">
      <c r="A276" s="103"/>
      <c r="B276" s="104"/>
      <c r="C276" s="104"/>
      <c r="D276" s="103">
        <f>IF(OR(B276="",C276=""),"",IF(DATEDIF(C276,B276,"y")&gt;=1,DATEDIF(C276,B276,"y")&amp;IF(DATEDIF(C276,B276,"y")=1," year "," years ")&amp;DATEDIF(C276,B276,"ym")&amp;IF(DATEDIF(C276,B276,"ym")=1," month"," months"),IF(DATEDIF(C276,B276,"m")&gt;=1,DATEDIF(C276,B276,"m")&amp;IF(DATEDIF(C276,B276,"m")=1," month"," months"),DATEDIF(C276,B276,"d")&amp;IF(DATEDIF(C276,B276,"d")=1," day"," days"))))</f>
      </c>
      <c r="E276" s="103"/>
      <c r="F276" s="103"/>
      <c r="G276" s="103"/>
      <c r="H276" s="103"/>
      <c r="I276" s="103"/>
      <c r="J276" s="104"/>
      <c r="K276" s="103"/>
      <c r="L276" s="103"/>
      <c r="M276" s="105" t="str">
        <f>IFERROR(VLOOKUP(G276,Reference!$I$2:$J$175,2,FALSE()),"Operations")</f>
        <v>Operations</v>
      </c>
    </row>
    <row r="277" spans="1:13" ht="15" customHeight="1" x14ac:dyDescent="0.25">
      <c r="A277" s="106" t="s">
        <v>163</v>
      </c>
      <c r="B277" s="107">
        <f>COUNTA(A247:A276)</f>
        <v>9</v>
      </c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</row>
    <row r="278" spans="1:13" ht="6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</row>
    <row r="279" spans="1:13" ht="21.75" customHeight="1" x14ac:dyDescent="0.25">
      <c r="A279" s="163" t="s">
        <v>929</v>
      </c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</row>
    <row r="280" spans="1:13" ht="19.5" customHeight="1" x14ac:dyDescent="0.25">
      <c r="A280" s="64" t="s">
        <v>151</v>
      </c>
      <c r="B280" s="64" t="s">
        <v>152</v>
      </c>
      <c r="C280" s="64" t="s">
        <v>153</v>
      </c>
      <c r="D280" s="64" t="s">
        <v>154</v>
      </c>
      <c r="E280" s="64" t="s">
        <v>155</v>
      </c>
      <c r="F280" s="64" t="s">
        <v>156</v>
      </c>
      <c r="G280" s="64" t="s">
        <v>157</v>
      </c>
      <c r="H280" s="64" t="s">
        <v>158</v>
      </c>
      <c r="I280" s="64" t="s">
        <v>159</v>
      </c>
      <c r="J280" s="64" t="s">
        <v>160</v>
      </c>
      <c r="K280" s="64" t="s">
        <v>134</v>
      </c>
      <c r="L280" s="64" t="s">
        <v>161</v>
      </c>
      <c r="M280" s="64" t="s">
        <v>162</v>
      </c>
    </row>
    <row r="281" spans="1:13" ht="15" customHeight="1" x14ac:dyDescent="0.25">
      <c r="A281" s="77" t="s">
        <v>930</v>
      </c>
      <c r="B281" s="77"/>
      <c r="C281" s="77"/>
      <c r="D281" s="77" t="s">
        <v>318</v>
      </c>
      <c r="E281" s="77" t="s">
        <v>179</v>
      </c>
      <c r="F281" s="77" t="s">
        <v>180</v>
      </c>
      <c r="G281" s="77" t="s">
        <v>616</v>
      </c>
      <c r="H281" s="77" t="s">
        <v>64</v>
      </c>
      <c r="I281" s="77" t="s">
        <v>205</v>
      </c>
      <c r="J281" s="77"/>
      <c r="K281" s="77" t="s">
        <v>66</v>
      </c>
      <c r="L281" s="77"/>
      <c r="M281" s="102" t="str">
        <f>IFERROR(VLOOKUP(G281,Reference!$I$2:$J$175,2,FALSE()),"Operations")</f>
        <v>Operations</v>
      </c>
    </row>
    <row r="282" spans="1:13" ht="15" customHeight="1" x14ac:dyDescent="0.25">
      <c r="A282" s="80" t="s">
        <v>931</v>
      </c>
      <c r="B282" s="80"/>
      <c r="C282" s="80"/>
      <c r="D282" s="80" t="s">
        <v>358</v>
      </c>
      <c r="E282" s="80" t="s">
        <v>184</v>
      </c>
      <c r="F282" s="80" t="s">
        <v>191</v>
      </c>
      <c r="G282" s="80" t="s">
        <v>285</v>
      </c>
      <c r="H282" s="80" t="s">
        <v>58</v>
      </c>
      <c r="I282" s="80" t="s">
        <v>304</v>
      </c>
      <c r="J282" s="80"/>
      <c r="K282" s="80" t="s">
        <v>83</v>
      </c>
      <c r="L282" s="80"/>
      <c r="M282" s="105" t="str">
        <f>IFERROR(VLOOKUP(G282,Reference!$I$2:$J$175,2,FALSE()),"Operations")</f>
        <v>Children Services</v>
      </c>
    </row>
    <row r="283" spans="1:13" ht="15" customHeight="1" x14ac:dyDescent="0.25">
      <c r="A283" s="77" t="s">
        <v>932</v>
      </c>
      <c r="B283" s="77"/>
      <c r="C283" s="77"/>
      <c r="D283" s="77" t="s">
        <v>933</v>
      </c>
      <c r="E283" s="77" t="s">
        <v>184</v>
      </c>
      <c r="F283" s="77" t="s">
        <v>191</v>
      </c>
      <c r="G283" s="77" t="s">
        <v>934</v>
      </c>
      <c r="H283" s="77" t="s">
        <v>56</v>
      </c>
      <c r="I283" s="77" t="s">
        <v>340</v>
      </c>
      <c r="J283" s="77"/>
      <c r="K283" s="77" t="s">
        <v>70</v>
      </c>
      <c r="L283" s="77"/>
      <c r="M283" s="102" t="str">
        <f>IFERROR(VLOOKUP(G283,Reference!$I$2:$J$175,2,FALSE()),"Operations")</f>
        <v>Behavioral Health</v>
      </c>
    </row>
    <row r="284" spans="1:13" ht="15" customHeight="1" x14ac:dyDescent="0.25">
      <c r="A284" s="80" t="s">
        <v>935</v>
      </c>
      <c r="B284" s="80"/>
      <c r="C284" s="80"/>
      <c r="D284" s="80" t="s">
        <v>713</v>
      </c>
      <c r="E284" s="80" t="s">
        <v>179</v>
      </c>
      <c r="F284" s="80" t="s">
        <v>191</v>
      </c>
      <c r="G284" s="80" t="s">
        <v>936</v>
      </c>
      <c r="H284" s="80" t="s">
        <v>64</v>
      </c>
      <c r="I284" s="80" t="s">
        <v>235</v>
      </c>
      <c r="J284" s="80"/>
      <c r="K284" s="80" t="s">
        <v>66</v>
      </c>
      <c r="L284" s="80"/>
      <c r="M284" s="105" t="str">
        <f>IFERROR(VLOOKUP(G284,Reference!$I$2:$J$175,2,FALSE()),"Operations")</f>
        <v>Operations</v>
      </c>
    </row>
    <row r="285" spans="1:13" ht="15" customHeight="1" x14ac:dyDescent="0.25">
      <c r="A285" s="77" t="s">
        <v>937</v>
      </c>
      <c r="B285" s="77"/>
      <c r="C285" s="77"/>
      <c r="D285" s="77" t="s">
        <v>938</v>
      </c>
      <c r="E285" s="77" t="s">
        <v>184</v>
      </c>
      <c r="F285" s="77" t="s">
        <v>191</v>
      </c>
      <c r="G285" s="77" t="s">
        <v>660</v>
      </c>
      <c r="H285" s="77" t="s">
        <v>58</v>
      </c>
      <c r="I285" s="77" t="s">
        <v>939</v>
      </c>
      <c r="J285" s="77"/>
      <c r="K285" s="77" t="s">
        <v>70</v>
      </c>
      <c r="L285" s="77"/>
      <c r="M285" s="102" t="str">
        <f>IFERROR(VLOOKUP(G285,Reference!$I$2:$J$175,2,FALSE()),"Operations")</f>
        <v>Employment Services</v>
      </c>
    </row>
    <row r="286" spans="1:13" ht="15" customHeight="1" x14ac:dyDescent="0.25">
      <c r="A286" s="80" t="s">
        <v>926</v>
      </c>
      <c r="B286" s="80"/>
      <c r="C286" s="80"/>
      <c r="D286" s="80" t="s">
        <v>318</v>
      </c>
      <c r="E286" s="80" t="s">
        <v>179</v>
      </c>
      <c r="F286" s="80" t="s">
        <v>191</v>
      </c>
      <c r="G286" s="80" t="s">
        <v>293</v>
      </c>
      <c r="H286" s="80" t="s">
        <v>60</v>
      </c>
      <c r="I286" s="80" t="s">
        <v>182</v>
      </c>
      <c r="J286" s="80"/>
      <c r="K286" s="80" t="s">
        <v>66</v>
      </c>
      <c r="L286" s="80"/>
      <c r="M286" s="105" t="str">
        <f>IFERROR(VLOOKUP(G286,Reference!$I$2:$J$175,2,FALSE()),"Operations")</f>
        <v>Operations</v>
      </c>
    </row>
    <row r="287" spans="1:13" ht="15" customHeight="1" x14ac:dyDescent="0.25">
      <c r="A287" s="77" t="s">
        <v>940</v>
      </c>
      <c r="B287" s="77"/>
      <c r="C287" s="77"/>
      <c r="D287" s="77" t="s">
        <v>344</v>
      </c>
      <c r="E287" s="77" t="s">
        <v>179</v>
      </c>
      <c r="F287" s="77" t="s">
        <v>191</v>
      </c>
      <c r="G287" s="77" t="s">
        <v>613</v>
      </c>
      <c r="H287" s="77" t="s">
        <v>58</v>
      </c>
      <c r="I287" s="77" t="s">
        <v>235</v>
      </c>
      <c r="J287" s="77"/>
      <c r="K287" s="77" t="s">
        <v>66</v>
      </c>
      <c r="L287" s="77"/>
      <c r="M287" s="102" t="str">
        <f>IFERROR(VLOOKUP(G287,Reference!$I$2:$J$175,2,FALSE()),"Operations")</f>
        <v>Operations</v>
      </c>
    </row>
    <row r="288" spans="1:13" ht="15" customHeight="1" x14ac:dyDescent="0.25">
      <c r="A288" s="80" t="s">
        <v>941</v>
      </c>
      <c r="B288" s="80"/>
      <c r="C288" s="80"/>
      <c r="D288" s="80" t="s">
        <v>942</v>
      </c>
      <c r="E288" s="80" t="s">
        <v>179</v>
      </c>
      <c r="F288" s="80" t="s">
        <v>180</v>
      </c>
      <c r="G288" s="80" t="s">
        <v>380</v>
      </c>
      <c r="H288" s="80" t="s">
        <v>69</v>
      </c>
      <c r="I288" s="80" t="s">
        <v>632</v>
      </c>
      <c r="J288" s="80"/>
      <c r="K288" s="80" t="s">
        <v>66</v>
      </c>
      <c r="L288" s="80"/>
      <c r="M288" s="105" t="str">
        <f>IFERROR(VLOOKUP(G288,Reference!$I$2:$J$175,2,FALSE()),"Operations")</f>
        <v>Operations</v>
      </c>
    </row>
    <row r="289" spans="1:13" ht="15" customHeight="1" x14ac:dyDescent="0.25">
      <c r="A289" s="77" t="s">
        <v>943</v>
      </c>
      <c r="B289" s="77"/>
      <c r="C289" s="77"/>
      <c r="D289" s="77" t="s">
        <v>358</v>
      </c>
      <c r="E289" s="77" t="s">
        <v>179</v>
      </c>
      <c r="F289" s="77" t="s">
        <v>191</v>
      </c>
      <c r="G289" s="77" t="s">
        <v>580</v>
      </c>
      <c r="H289" s="77" t="s">
        <v>53</v>
      </c>
      <c r="I289" s="77" t="s">
        <v>632</v>
      </c>
      <c r="J289" s="77"/>
      <c r="K289" s="77" t="s">
        <v>66</v>
      </c>
      <c r="L289" s="77"/>
      <c r="M289" s="102" t="str">
        <f>IFERROR(VLOOKUP(G289,Reference!$I$2:$J$175,2,FALSE()),"Operations")</f>
        <v>Operations</v>
      </c>
    </row>
    <row r="290" spans="1:13" ht="15" customHeight="1" x14ac:dyDescent="0.25">
      <c r="A290" s="80" t="s">
        <v>944</v>
      </c>
      <c r="B290" s="80"/>
      <c r="C290" s="80"/>
      <c r="D290" s="80" t="s">
        <v>942</v>
      </c>
      <c r="E290" s="80" t="s">
        <v>179</v>
      </c>
      <c r="F290" s="80" t="s">
        <v>191</v>
      </c>
      <c r="G290" s="80" t="s">
        <v>616</v>
      </c>
      <c r="H290" s="80" t="s">
        <v>69</v>
      </c>
      <c r="I290" s="80" t="s">
        <v>617</v>
      </c>
      <c r="J290" s="80"/>
      <c r="K290" s="80" t="s">
        <v>66</v>
      </c>
      <c r="L290" s="80"/>
      <c r="M290" s="105" t="str">
        <f>IFERROR(VLOOKUP(G290,Reference!$I$2:$J$175,2,FALSE()),"Operations")</f>
        <v>Operations</v>
      </c>
    </row>
    <row r="291" spans="1:13" ht="15" customHeight="1" x14ac:dyDescent="0.25">
      <c r="A291" s="77" t="s">
        <v>945</v>
      </c>
      <c r="B291" s="77"/>
      <c r="C291" s="77"/>
      <c r="D291" s="77" t="s">
        <v>942</v>
      </c>
      <c r="E291" s="77" t="s">
        <v>179</v>
      </c>
      <c r="F291" s="77" t="s">
        <v>191</v>
      </c>
      <c r="G291" s="77" t="s">
        <v>319</v>
      </c>
      <c r="H291" s="77" t="s">
        <v>69</v>
      </c>
      <c r="I291" s="77" t="s">
        <v>182</v>
      </c>
      <c r="J291" s="77"/>
      <c r="K291" s="77" t="s">
        <v>66</v>
      </c>
      <c r="L291" s="77"/>
      <c r="M291" s="102" t="str">
        <f>IFERROR(VLOOKUP(G291,Reference!$I$2:$J$175,2,FALSE()),"Operations")</f>
        <v>Operations</v>
      </c>
    </row>
    <row r="292" spans="1:13" ht="15" customHeight="1" x14ac:dyDescent="0.25">
      <c r="A292" s="80" t="s">
        <v>946</v>
      </c>
      <c r="B292" s="80"/>
      <c r="C292" s="80"/>
      <c r="D292" s="80" t="s">
        <v>947</v>
      </c>
      <c r="E292" s="80" t="s">
        <v>179</v>
      </c>
      <c r="F292" s="80" t="s">
        <v>191</v>
      </c>
      <c r="G292" s="80" t="s">
        <v>948</v>
      </c>
      <c r="H292" s="80" t="s">
        <v>58</v>
      </c>
      <c r="I292" s="80" t="s">
        <v>404</v>
      </c>
      <c r="J292" s="80"/>
      <c r="K292" s="80" t="s">
        <v>76</v>
      </c>
      <c r="L292" s="80"/>
      <c r="M292" s="105" t="str">
        <f>IFERROR(VLOOKUP(G292,Reference!$I$2:$J$175,2,FALSE()),"Operations")</f>
        <v>Operations</v>
      </c>
    </row>
    <row r="293" spans="1:13" ht="15" customHeight="1" x14ac:dyDescent="0.25">
      <c r="A293" s="100"/>
      <c r="B293" s="101"/>
      <c r="C293" s="101"/>
      <c r="D293" s="100">
        <f>IF(OR(B293="",C293=""),"",IF(DATEDIF(C293,B293,"y")&gt;=1,DATEDIF(C293,B293,"y")&amp;IF(DATEDIF(C293,B293,"y")=1," year "," years ")&amp;DATEDIF(C293,B293,"ym")&amp;IF(DATEDIF(C293,B293,"ym")=1," month"," months"),IF(DATEDIF(C293,B293,"m")&gt;=1,DATEDIF(C293,B293,"m")&amp;IF(DATEDIF(C293,B293,"m")=1," month"," months"),DATEDIF(C293,B293,"d")&amp;IF(DATEDIF(C293,B293,"d")=1," day"," days"))))</f>
      </c>
      <c r="E293" s="100"/>
      <c r="F293" s="100"/>
      <c r="G293" s="100"/>
      <c r="H293" s="100"/>
      <c r="I293" s="100"/>
      <c r="J293" s="101"/>
      <c r="K293" s="100"/>
      <c r="L293" s="100"/>
      <c r="M293" s="102" t="str">
        <f>IFERROR(VLOOKUP(G293,Reference!$I$2:$J$175,2,FALSE()),"Operations")</f>
        <v>Operations</v>
      </c>
    </row>
    <row r="294" spans="1:13" ht="15" customHeight="1" x14ac:dyDescent="0.25">
      <c r="A294" s="103"/>
      <c r="B294" s="104"/>
      <c r="C294" s="104"/>
      <c r="D294" s="103">
        <f>IF(OR(B294="",C294=""),"",IF(DATEDIF(C294,B294,"y")&gt;=1,DATEDIF(C294,B294,"y")&amp;IF(DATEDIF(C294,B294,"y")=1," year "," years ")&amp;DATEDIF(C294,B294,"ym")&amp;IF(DATEDIF(C294,B294,"ym")=1," month"," months"),IF(DATEDIF(C294,B294,"m")&gt;=1,DATEDIF(C294,B294,"m")&amp;IF(DATEDIF(C294,B294,"m")=1," month"," months"),DATEDIF(C294,B294,"d")&amp;IF(DATEDIF(C294,B294,"d")=1," day"," days"))))</f>
      </c>
      <c r="E294" s="103"/>
      <c r="F294" s="103"/>
      <c r="G294" s="103"/>
      <c r="H294" s="103"/>
      <c r="I294" s="103"/>
      <c r="J294" s="104"/>
      <c r="K294" s="103"/>
      <c r="L294" s="103"/>
      <c r="M294" s="105" t="str">
        <f>IFERROR(VLOOKUP(G294,Reference!$I$2:$J$175,2,FALSE()),"Operations")</f>
        <v>Operations</v>
      </c>
    </row>
    <row r="295" spans="1:13" ht="15" customHeight="1" x14ac:dyDescent="0.25">
      <c r="A295" s="100"/>
      <c r="B295" s="101"/>
      <c r="C295" s="101"/>
      <c r="D295" s="100">
        <f>IF(OR(B295="",C295=""),"",IF(DATEDIF(C295,B295,"y")&gt;=1,DATEDIF(C295,B295,"y")&amp;IF(DATEDIF(C295,B295,"y")=1," year "," years ")&amp;DATEDIF(C295,B295,"ym")&amp;IF(DATEDIF(C295,B295,"ym")=1," month"," months"),IF(DATEDIF(C295,B295,"m")&gt;=1,DATEDIF(C295,B295,"m")&amp;IF(DATEDIF(C295,B295,"m")=1," month"," months"),DATEDIF(C295,B295,"d")&amp;IF(DATEDIF(C295,B295,"d")=1," day"," days"))))</f>
      </c>
      <c r="E295" s="100"/>
      <c r="F295" s="100"/>
      <c r="G295" s="100"/>
      <c r="H295" s="100"/>
      <c r="I295" s="100"/>
      <c r="J295" s="101"/>
      <c r="K295" s="100"/>
      <c r="L295" s="100"/>
      <c r="M295" s="102" t="str">
        <f>IFERROR(VLOOKUP(G295,Reference!$I$2:$J$175,2,FALSE()),"Operations")</f>
        <v>Operations</v>
      </c>
    </row>
    <row r="296" spans="1:13" ht="15" customHeight="1" x14ac:dyDescent="0.25">
      <c r="A296" s="103"/>
      <c r="B296" s="104"/>
      <c r="C296" s="104"/>
      <c r="D296" s="103">
        <f>IF(OR(B296="",C296=""),"",IF(DATEDIF(C296,B296,"y")&gt;=1,DATEDIF(C296,B296,"y")&amp;IF(DATEDIF(C296,B296,"y")=1," year "," years ")&amp;DATEDIF(C296,B296,"ym")&amp;IF(DATEDIF(C296,B296,"ym")=1," month"," months"),IF(DATEDIF(C296,B296,"m")&gt;=1,DATEDIF(C296,B296,"m")&amp;IF(DATEDIF(C296,B296,"m")=1," month"," months"),DATEDIF(C296,B296,"d")&amp;IF(DATEDIF(C296,B296,"d")=1," day"," days"))))</f>
      </c>
      <c r="E296" s="103"/>
      <c r="F296" s="103"/>
      <c r="G296" s="103"/>
      <c r="H296" s="103"/>
      <c r="I296" s="103"/>
      <c r="J296" s="104"/>
      <c r="K296" s="103"/>
      <c r="L296" s="103"/>
      <c r="M296" s="105" t="str">
        <f>IFERROR(VLOOKUP(G296,Reference!$I$2:$J$175,2,FALSE()),"Operations")</f>
        <v>Operations</v>
      </c>
    </row>
    <row r="297" spans="1:13" ht="15" customHeight="1" x14ac:dyDescent="0.25">
      <c r="A297" s="100"/>
      <c r="B297" s="101"/>
      <c r="C297" s="101"/>
      <c r="D297" s="100">
        <f>IF(OR(B297="",C297=""),"",IF(DATEDIF(C297,B297,"y")&gt;=1,DATEDIF(C297,B297,"y")&amp;IF(DATEDIF(C297,B297,"y")=1," year "," years ")&amp;DATEDIF(C297,B297,"ym")&amp;IF(DATEDIF(C297,B297,"ym")=1," month"," months"),IF(DATEDIF(C297,B297,"m")&gt;=1,DATEDIF(C297,B297,"m")&amp;IF(DATEDIF(C297,B297,"m")=1," month"," months"),DATEDIF(C297,B297,"d")&amp;IF(DATEDIF(C297,B297,"d")=1," day"," days"))))</f>
      </c>
      <c r="E297" s="100"/>
      <c r="F297" s="100"/>
      <c r="G297" s="100"/>
      <c r="H297" s="100"/>
      <c r="I297" s="100"/>
      <c r="J297" s="101"/>
      <c r="K297" s="100"/>
      <c r="L297" s="100"/>
      <c r="M297" s="102" t="str">
        <f>IFERROR(VLOOKUP(G297,Reference!$I$2:$J$175,2,FALSE()),"Operations")</f>
        <v>Operations</v>
      </c>
    </row>
    <row r="298" spans="1:13" ht="15" customHeight="1" x14ac:dyDescent="0.25">
      <c r="A298" s="103"/>
      <c r="B298" s="104"/>
      <c r="C298" s="104"/>
      <c r="D298" s="103">
        <f>IF(OR(B298="",C298=""),"",IF(DATEDIF(C298,B298,"y")&gt;=1,DATEDIF(C298,B298,"y")&amp;IF(DATEDIF(C298,B298,"y")=1," year "," years ")&amp;DATEDIF(C298,B298,"ym")&amp;IF(DATEDIF(C298,B298,"ym")=1," month"," months"),IF(DATEDIF(C298,B298,"m")&gt;=1,DATEDIF(C298,B298,"m")&amp;IF(DATEDIF(C298,B298,"m")=1," month"," months"),DATEDIF(C298,B298,"d")&amp;IF(DATEDIF(C298,B298,"d")=1," day"," days"))))</f>
      </c>
      <c r="E298" s="103"/>
      <c r="F298" s="103"/>
      <c r="G298" s="103"/>
      <c r="H298" s="103"/>
      <c r="I298" s="103"/>
      <c r="J298" s="104"/>
      <c r="K298" s="103"/>
      <c r="L298" s="103"/>
      <c r="M298" s="105" t="str">
        <f>IFERROR(VLOOKUP(G298,Reference!$I$2:$J$175,2,FALSE()),"Operations")</f>
        <v>Operations</v>
      </c>
    </row>
    <row r="299" spans="1:13" ht="15" customHeight="1" x14ac:dyDescent="0.25">
      <c r="A299" s="100"/>
      <c r="B299" s="101"/>
      <c r="C299" s="101"/>
      <c r="D299" s="100">
        <f>IF(OR(B299="",C299=""),"",IF(DATEDIF(C299,B299,"y")&gt;=1,DATEDIF(C299,B299,"y")&amp;IF(DATEDIF(C299,B299,"y")=1," year "," years ")&amp;DATEDIF(C299,B299,"ym")&amp;IF(DATEDIF(C299,B299,"ym")=1," month"," months"),IF(DATEDIF(C299,B299,"m")&gt;=1,DATEDIF(C299,B299,"m")&amp;IF(DATEDIF(C299,B299,"m")=1," month"," months"),DATEDIF(C299,B299,"d")&amp;IF(DATEDIF(C299,B299,"d")=1," day"," days"))))</f>
      </c>
      <c r="E299" s="100"/>
      <c r="F299" s="100"/>
      <c r="G299" s="100"/>
      <c r="H299" s="100"/>
      <c r="I299" s="100"/>
      <c r="J299" s="101"/>
      <c r="K299" s="100"/>
      <c r="L299" s="100"/>
      <c r="M299" s="102" t="str">
        <f>IFERROR(VLOOKUP(G299,Reference!$I$2:$J$175,2,FALSE()),"Operations")</f>
        <v>Operations</v>
      </c>
    </row>
    <row r="300" spans="1:13" ht="15" customHeight="1" x14ac:dyDescent="0.25">
      <c r="A300" s="103"/>
      <c r="B300" s="104"/>
      <c r="C300" s="104"/>
      <c r="D300" s="103">
        <f>IF(OR(B300="",C300=""),"",IF(DATEDIF(C300,B300,"y")&gt;=1,DATEDIF(C300,B300,"y")&amp;IF(DATEDIF(C300,B300,"y")=1," year "," years ")&amp;DATEDIF(C300,B300,"ym")&amp;IF(DATEDIF(C300,B300,"ym")=1," month"," months"),IF(DATEDIF(C300,B300,"m")&gt;=1,DATEDIF(C300,B300,"m")&amp;IF(DATEDIF(C300,B300,"m")=1," month"," months"),DATEDIF(C300,B300,"d")&amp;IF(DATEDIF(C300,B300,"d")=1," day"," days"))))</f>
      </c>
      <c r="E300" s="103"/>
      <c r="F300" s="103"/>
      <c r="G300" s="103"/>
      <c r="H300" s="103"/>
      <c r="I300" s="103"/>
      <c r="J300" s="104"/>
      <c r="K300" s="103"/>
      <c r="L300" s="103"/>
      <c r="M300" s="105" t="str">
        <f>IFERROR(VLOOKUP(G300,Reference!$I$2:$J$175,2,FALSE()),"Operations")</f>
        <v>Operations</v>
      </c>
    </row>
    <row r="301" spans="1:13" ht="15" customHeight="1" x14ac:dyDescent="0.25">
      <c r="A301" s="100"/>
      <c r="B301" s="101"/>
      <c r="C301" s="101"/>
      <c r="D301" s="100">
        <f>IF(OR(B301="",C301=""),"",IF(DATEDIF(C301,B301,"y")&gt;=1,DATEDIF(C301,B301,"y")&amp;IF(DATEDIF(C301,B301,"y")=1," year "," years ")&amp;DATEDIF(C301,B301,"ym")&amp;IF(DATEDIF(C301,B301,"ym")=1," month"," months"),IF(DATEDIF(C301,B301,"m")&gt;=1,DATEDIF(C301,B301,"m")&amp;IF(DATEDIF(C301,B301,"m")=1," month"," months"),DATEDIF(C301,B301,"d")&amp;IF(DATEDIF(C301,B301,"d")=1," day"," days"))))</f>
      </c>
      <c r="E301" s="100"/>
      <c r="F301" s="100"/>
      <c r="G301" s="100"/>
      <c r="H301" s="100"/>
      <c r="I301" s="100"/>
      <c r="J301" s="101"/>
      <c r="K301" s="100"/>
      <c r="L301" s="100"/>
      <c r="M301" s="102" t="str">
        <f>IFERROR(VLOOKUP(G301,Reference!$I$2:$J$175,2,FALSE()),"Operations")</f>
        <v>Operations</v>
      </c>
    </row>
    <row r="302" spans="1:13" ht="15" customHeight="1" x14ac:dyDescent="0.25">
      <c r="A302" s="103"/>
      <c r="B302" s="104"/>
      <c r="C302" s="104"/>
      <c r="D302" s="103">
        <f>IF(OR(B302="",C302=""),"",IF(DATEDIF(C302,B302,"y")&gt;=1,DATEDIF(C302,B302,"y")&amp;IF(DATEDIF(C302,B302,"y")=1," year "," years ")&amp;DATEDIF(C302,B302,"ym")&amp;IF(DATEDIF(C302,B302,"ym")=1," month"," months"),IF(DATEDIF(C302,B302,"m")&gt;=1,DATEDIF(C302,B302,"m")&amp;IF(DATEDIF(C302,B302,"m")=1," month"," months"),DATEDIF(C302,B302,"d")&amp;IF(DATEDIF(C302,B302,"d")=1," day"," days"))))</f>
      </c>
      <c r="E302" s="103"/>
      <c r="F302" s="103"/>
      <c r="G302" s="103"/>
      <c r="H302" s="103"/>
      <c r="I302" s="103"/>
      <c r="J302" s="104"/>
      <c r="K302" s="103"/>
      <c r="L302" s="103"/>
      <c r="M302" s="105" t="str">
        <f>IFERROR(VLOOKUP(G302,Reference!$I$2:$J$175,2,FALSE()),"Operations")</f>
        <v>Operations</v>
      </c>
    </row>
    <row r="303" spans="1:13" ht="15" customHeight="1" x14ac:dyDescent="0.25">
      <c r="A303" s="100"/>
      <c r="B303" s="101"/>
      <c r="C303" s="101"/>
      <c r="D303" s="100">
        <f>IF(OR(B303="",C303=""),"",IF(DATEDIF(C303,B303,"y")&gt;=1,DATEDIF(C303,B303,"y")&amp;IF(DATEDIF(C303,B303,"y")=1," year "," years ")&amp;DATEDIF(C303,B303,"ym")&amp;IF(DATEDIF(C303,B303,"ym")=1," month"," months"),IF(DATEDIF(C303,B303,"m")&gt;=1,DATEDIF(C303,B303,"m")&amp;IF(DATEDIF(C303,B303,"m")=1," month"," months"),DATEDIF(C303,B303,"d")&amp;IF(DATEDIF(C303,B303,"d")=1," day"," days"))))</f>
      </c>
      <c r="E303" s="100"/>
      <c r="F303" s="100"/>
      <c r="G303" s="100"/>
      <c r="H303" s="100"/>
      <c r="I303" s="100"/>
      <c r="J303" s="101"/>
      <c r="K303" s="100"/>
      <c r="L303" s="100"/>
      <c r="M303" s="102" t="str">
        <f>IFERROR(VLOOKUP(G303,Reference!$I$2:$J$175,2,FALSE()),"Operations")</f>
        <v>Operations</v>
      </c>
    </row>
    <row r="304" spans="1:13" ht="15" customHeight="1" x14ac:dyDescent="0.25">
      <c r="A304" s="103"/>
      <c r="B304" s="104"/>
      <c r="C304" s="104"/>
      <c r="D304" s="103">
        <f>IF(OR(B304="",C304=""),"",IF(DATEDIF(C304,B304,"y")&gt;=1,DATEDIF(C304,B304,"y")&amp;IF(DATEDIF(C304,B304,"y")=1," year "," years ")&amp;DATEDIF(C304,B304,"ym")&amp;IF(DATEDIF(C304,B304,"ym")=1," month"," months"),IF(DATEDIF(C304,B304,"m")&gt;=1,DATEDIF(C304,B304,"m")&amp;IF(DATEDIF(C304,B304,"m")=1," month"," months"),DATEDIF(C304,B304,"d")&amp;IF(DATEDIF(C304,B304,"d")=1," day"," days"))))</f>
      </c>
      <c r="E304" s="103"/>
      <c r="F304" s="103"/>
      <c r="G304" s="103"/>
      <c r="H304" s="103"/>
      <c r="I304" s="103"/>
      <c r="J304" s="104"/>
      <c r="K304" s="103"/>
      <c r="L304" s="103"/>
      <c r="M304" s="105" t="str">
        <f>IFERROR(VLOOKUP(G304,Reference!$I$2:$J$175,2,FALSE()),"Operations")</f>
        <v>Operations</v>
      </c>
    </row>
    <row r="305" spans="1:13" ht="15" customHeight="1" x14ac:dyDescent="0.25">
      <c r="A305" s="100"/>
      <c r="B305" s="101"/>
      <c r="C305" s="101"/>
      <c r="D305" s="100">
        <f>IF(OR(B305="",C305=""),"",IF(DATEDIF(C305,B305,"y")&gt;=1,DATEDIF(C305,B305,"y")&amp;IF(DATEDIF(C305,B305,"y")=1," year "," years ")&amp;DATEDIF(C305,B305,"ym")&amp;IF(DATEDIF(C305,B305,"ym")=1," month"," months"),IF(DATEDIF(C305,B305,"m")&gt;=1,DATEDIF(C305,B305,"m")&amp;IF(DATEDIF(C305,B305,"m")=1," month"," months"),DATEDIF(C305,B305,"d")&amp;IF(DATEDIF(C305,B305,"d")=1," day"," days"))))</f>
      </c>
      <c r="E305" s="100"/>
      <c r="F305" s="100"/>
      <c r="G305" s="100"/>
      <c r="H305" s="100"/>
      <c r="I305" s="100"/>
      <c r="J305" s="101"/>
      <c r="K305" s="100"/>
      <c r="L305" s="100"/>
      <c r="M305" s="102" t="str">
        <f>IFERROR(VLOOKUP(G305,Reference!$I$2:$J$175,2,FALSE()),"Operations")</f>
        <v>Operations</v>
      </c>
    </row>
    <row r="306" spans="1:13" ht="15" customHeight="1" x14ac:dyDescent="0.25">
      <c r="A306" s="103"/>
      <c r="B306" s="104"/>
      <c r="C306" s="104"/>
      <c r="D306" s="103">
        <f>IF(OR(B306="",C306=""),"",IF(DATEDIF(C306,B306,"y")&gt;=1,DATEDIF(C306,B306,"y")&amp;IF(DATEDIF(C306,B306,"y")=1," year "," years ")&amp;DATEDIF(C306,B306,"ym")&amp;IF(DATEDIF(C306,B306,"ym")=1," month"," months"),IF(DATEDIF(C306,B306,"m")&gt;=1,DATEDIF(C306,B306,"m")&amp;IF(DATEDIF(C306,B306,"m")=1," month"," months"),DATEDIF(C306,B306,"d")&amp;IF(DATEDIF(C306,B306,"d")=1," day"," days"))))</f>
      </c>
      <c r="E306" s="103"/>
      <c r="F306" s="103"/>
      <c r="G306" s="103"/>
      <c r="H306" s="103"/>
      <c r="I306" s="103"/>
      <c r="J306" s="104"/>
      <c r="K306" s="103"/>
      <c r="L306" s="103"/>
      <c r="M306" s="105" t="str">
        <f>IFERROR(VLOOKUP(G306,Reference!$I$2:$J$175,2,FALSE()),"Operations")</f>
        <v>Operations</v>
      </c>
    </row>
    <row r="307" spans="1:13" ht="15" customHeight="1" x14ac:dyDescent="0.25">
      <c r="A307" s="100"/>
      <c r="B307" s="101"/>
      <c r="C307" s="101"/>
      <c r="D307" s="100">
        <f>IF(OR(B307="",C307=""),"",IF(DATEDIF(C307,B307,"y")&gt;=1,DATEDIF(C307,B307,"y")&amp;IF(DATEDIF(C307,B307,"y")=1," year "," years ")&amp;DATEDIF(C307,B307,"ym")&amp;IF(DATEDIF(C307,B307,"ym")=1," month"," months"),IF(DATEDIF(C307,B307,"m")&gt;=1,DATEDIF(C307,B307,"m")&amp;IF(DATEDIF(C307,B307,"m")=1," month"," months"),DATEDIF(C307,B307,"d")&amp;IF(DATEDIF(C307,B307,"d")=1," day"," days"))))</f>
      </c>
      <c r="E307" s="100"/>
      <c r="F307" s="100"/>
      <c r="G307" s="100"/>
      <c r="H307" s="100"/>
      <c r="I307" s="100"/>
      <c r="J307" s="101"/>
      <c r="K307" s="100"/>
      <c r="L307" s="100"/>
      <c r="M307" s="102" t="str">
        <f>IFERROR(VLOOKUP(G307,Reference!$I$2:$J$175,2,FALSE()),"Operations")</f>
        <v>Operations</v>
      </c>
    </row>
    <row r="308" spans="1:13" ht="15" customHeight="1" x14ac:dyDescent="0.25">
      <c r="A308" s="103"/>
      <c r="B308" s="104"/>
      <c r="C308" s="104"/>
      <c r="D308" s="103">
        <f>IF(OR(B308="",C308=""),"",IF(DATEDIF(C308,B308,"y")&gt;=1,DATEDIF(C308,B308,"y")&amp;IF(DATEDIF(C308,B308,"y")=1," year "," years ")&amp;DATEDIF(C308,B308,"ym")&amp;IF(DATEDIF(C308,B308,"ym")=1," month"," months"),IF(DATEDIF(C308,B308,"m")&gt;=1,DATEDIF(C308,B308,"m")&amp;IF(DATEDIF(C308,B308,"m")=1," month"," months"),DATEDIF(C308,B308,"d")&amp;IF(DATEDIF(C308,B308,"d")=1," day"," days"))))</f>
      </c>
      <c r="E308" s="103"/>
      <c r="F308" s="103"/>
      <c r="G308" s="103"/>
      <c r="H308" s="103"/>
      <c r="I308" s="103"/>
      <c r="J308" s="104"/>
      <c r="K308" s="103"/>
      <c r="L308" s="103"/>
      <c r="M308" s="105" t="str">
        <f>IFERROR(VLOOKUP(G308,Reference!$I$2:$J$175,2,FALSE()),"Operations")</f>
        <v>Operations</v>
      </c>
    </row>
    <row r="309" spans="1:13" ht="15" customHeight="1" x14ac:dyDescent="0.25">
      <c r="A309" s="100"/>
      <c r="B309" s="101"/>
      <c r="C309" s="101"/>
      <c r="D309" s="100">
        <f>IF(OR(B309="",C309=""),"",IF(DATEDIF(C309,B309,"y")&gt;=1,DATEDIF(C309,B309,"y")&amp;IF(DATEDIF(C309,B309,"y")=1," year "," years ")&amp;DATEDIF(C309,B309,"ym")&amp;IF(DATEDIF(C309,B309,"ym")=1," month"," months"),IF(DATEDIF(C309,B309,"m")&gt;=1,DATEDIF(C309,B309,"m")&amp;IF(DATEDIF(C309,B309,"m")=1," month"," months"),DATEDIF(C309,B309,"d")&amp;IF(DATEDIF(C309,B309,"d")=1," day"," days"))))</f>
      </c>
      <c r="E309" s="100"/>
      <c r="F309" s="100"/>
      <c r="G309" s="100"/>
      <c r="H309" s="100"/>
      <c r="I309" s="100"/>
      <c r="J309" s="101"/>
      <c r="K309" s="100"/>
      <c r="L309" s="100"/>
      <c r="M309" s="102" t="str">
        <f>IFERROR(VLOOKUP(G309,Reference!$I$2:$J$175,2,FALSE()),"Operations")</f>
        <v>Operations</v>
      </c>
    </row>
    <row r="310" spans="1:13" ht="15" customHeight="1" x14ac:dyDescent="0.25">
      <c r="A310" s="103"/>
      <c r="B310" s="104"/>
      <c r="C310" s="104"/>
      <c r="D310" s="103">
        <f>IF(OR(B310="",C310=""),"",IF(DATEDIF(C310,B310,"y")&gt;=1,DATEDIF(C310,B310,"y")&amp;IF(DATEDIF(C310,B310,"y")=1," year "," years ")&amp;DATEDIF(C310,B310,"ym")&amp;IF(DATEDIF(C310,B310,"ym")=1," month"," months"),IF(DATEDIF(C310,B310,"m")&gt;=1,DATEDIF(C310,B310,"m")&amp;IF(DATEDIF(C310,B310,"m")=1," month"," months"),DATEDIF(C310,B310,"d")&amp;IF(DATEDIF(C310,B310,"d")=1," day"," days"))))</f>
      </c>
      <c r="E310" s="103"/>
      <c r="F310" s="103"/>
      <c r="G310" s="103"/>
      <c r="H310" s="103"/>
      <c r="I310" s="103"/>
      <c r="J310" s="104"/>
      <c r="K310" s="103"/>
      <c r="L310" s="103"/>
      <c r="M310" s="105" t="str">
        <f>IFERROR(VLOOKUP(G310,Reference!$I$2:$J$175,2,FALSE()),"Operations")</f>
        <v>Operations</v>
      </c>
    </row>
    <row r="311" spans="1:13" ht="15" customHeight="1" x14ac:dyDescent="0.25">
      <c r="A311" s="106" t="s">
        <v>163</v>
      </c>
      <c r="B311" s="107">
        <f>COUNTA(A281:A310)</f>
        <v>12</v>
      </c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</row>
    <row r="312" spans="1:13" ht="6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</row>
    <row r="313" spans="1:13" ht="21.75" customHeight="1" x14ac:dyDescent="0.25">
      <c r="A313" s="163" t="s">
        <v>949</v>
      </c>
      <c r="B313" s="163"/>
      <c r="C313" s="163"/>
      <c r="D313" s="163"/>
      <c r="E313" s="163"/>
      <c r="F313" s="163"/>
      <c r="G313" s="163"/>
      <c r="H313" s="163"/>
      <c r="I313" s="163"/>
      <c r="J313" s="163"/>
      <c r="K313" s="163"/>
      <c r="L313" s="163"/>
      <c r="M313" s="163"/>
    </row>
    <row r="314" spans="1:13" ht="19.5" customHeight="1" x14ac:dyDescent="0.25">
      <c r="A314" s="64" t="s">
        <v>151</v>
      </c>
      <c r="B314" s="64" t="s">
        <v>152</v>
      </c>
      <c r="C314" s="64" t="s">
        <v>153</v>
      </c>
      <c r="D314" s="64" t="s">
        <v>154</v>
      </c>
      <c r="E314" s="64" t="s">
        <v>155</v>
      </c>
      <c r="F314" s="64" t="s">
        <v>156</v>
      </c>
      <c r="G314" s="64" t="s">
        <v>157</v>
      </c>
      <c r="H314" s="64" t="s">
        <v>158</v>
      </c>
      <c r="I314" s="64" t="s">
        <v>159</v>
      </c>
      <c r="J314" s="64" t="s">
        <v>160</v>
      </c>
      <c r="K314" s="64" t="s">
        <v>134</v>
      </c>
      <c r="L314" s="64" t="s">
        <v>161</v>
      </c>
      <c r="M314" s="64" t="s">
        <v>162</v>
      </c>
    </row>
    <row r="315" spans="1:13" ht="15" customHeight="1" x14ac:dyDescent="0.25">
      <c r="A315" s="77" t="s">
        <v>950</v>
      </c>
      <c r="B315" s="77"/>
      <c r="C315" s="77"/>
      <c r="D315" s="77" t="s">
        <v>951</v>
      </c>
      <c r="E315" s="77" t="s">
        <v>179</v>
      </c>
      <c r="F315" s="77" t="s">
        <v>191</v>
      </c>
      <c r="G315" s="77" t="s">
        <v>613</v>
      </c>
      <c r="H315" s="77" t="s">
        <v>69</v>
      </c>
      <c r="I315" s="77" t="s">
        <v>235</v>
      </c>
      <c r="J315" s="77"/>
      <c r="K315" s="77" t="s">
        <v>66</v>
      </c>
      <c r="L315" s="77"/>
      <c r="M315" s="102" t="str">
        <f>IFERROR(VLOOKUP(G315,Reference!$I$2:$J$175,2,FALSE()),"Operations")</f>
        <v>Operations</v>
      </c>
    </row>
    <row r="316" spans="1:13" ht="15" customHeight="1" x14ac:dyDescent="0.25">
      <c r="A316" s="80" t="s">
        <v>952</v>
      </c>
      <c r="B316" s="80"/>
      <c r="C316" s="80"/>
      <c r="D316" s="80" t="s">
        <v>713</v>
      </c>
      <c r="E316" s="80" t="s">
        <v>179</v>
      </c>
      <c r="F316" s="80" t="s">
        <v>191</v>
      </c>
      <c r="G316" s="80" t="s">
        <v>613</v>
      </c>
      <c r="H316" s="80" t="s">
        <v>58</v>
      </c>
      <c r="I316" s="80" t="s">
        <v>235</v>
      </c>
      <c r="J316" s="80"/>
      <c r="K316" s="80" t="s">
        <v>66</v>
      </c>
      <c r="L316" s="80"/>
      <c r="M316" s="105" t="str">
        <f>IFERROR(VLOOKUP(G316,Reference!$I$2:$J$175,2,FALSE()),"Operations")</f>
        <v>Operations</v>
      </c>
    </row>
    <row r="317" spans="1:13" ht="15" customHeight="1" x14ac:dyDescent="0.25">
      <c r="A317" s="77" t="s">
        <v>953</v>
      </c>
      <c r="B317" s="77"/>
      <c r="C317" s="77"/>
      <c r="D317" s="77" t="s">
        <v>954</v>
      </c>
      <c r="E317" s="77" t="s">
        <v>179</v>
      </c>
      <c r="F317" s="77" t="s">
        <v>191</v>
      </c>
      <c r="G317" s="77" t="s">
        <v>631</v>
      </c>
      <c r="H317" s="77" t="s">
        <v>58</v>
      </c>
      <c r="I317" s="77" t="s">
        <v>632</v>
      </c>
      <c r="J317" s="77"/>
      <c r="K317" s="77" t="s">
        <v>66</v>
      </c>
      <c r="L317" s="77"/>
      <c r="M317" s="102" t="str">
        <f>IFERROR(VLOOKUP(G317,Reference!$I$2:$J$175,2,FALSE()),"Operations")</f>
        <v>Operations</v>
      </c>
    </row>
    <row r="318" spans="1:13" ht="15" customHeight="1" x14ac:dyDescent="0.25">
      <c r="A318" s="80" t="s">
        <v>955</v>
      </c>
      <c r="B318" s="80"/>
      <c r="C318" s="80"/>
      <c r="D318" s="80" t="s">
        <v>954</v>
      </c>
      <c r="E318" s="80" t="s">
        <v>179</v>
      </c>
      <c r="F318" s="80" t="s">
        <v>191</v>
      </c>
      <c r="G318" s="80" t="s">
        <v>616</v>
      </c>
      <c r="H318" s="80" t="s">
        <v>58</v>
      </c>
      <c r="I318" s="80" t="s">
        <v>617</v>
      </c>
      <c r="J318" s="80"/>
      <c r="K318" s="80" t="s">
        <v>66</v>
      </c>
      <c r="L318" s="80"/>
      <c r="M318" s="105" t="str">
        <f>IFERROR(VLOOKUP(G318,Reference!$I$2:$J$175,2,FALSE()),"Operations")</f>
        <v>Operations</v>
      </c>
    </row>
    <row r="319" spans="1:13" ht="15" customHeight="1" x14ac:dyDescent="0.25">
      <c r="A319" s="77" t="s">
        <v>956</v>
      </c>
      <c r="B319" s="77"/>
      <c r="C319" s="77"/>
      <c r="D319" s="77" t="s">
        <v>951</v>
      </c>
      <c r="E319" s="77" t="s">
        <v>184</v>
      </c>
      <c r="F319" s="77" t="s">
        <v>191</v>
      </c>
      <c r="G319" s="77" t="s">
        <v>957</v>
      </c>
      <c r="H319" s="77" t="s">
        <v>69</v>
      </c>
      <c r="I319" s="77" t="s">
        <v>632</v>
      </c>
      <c r="J319" s="77"/>
      <c r="K319" s="77" t="s">
        <v>66</v>
      </c>
      <c r="L319" s="77"/>
      <c r="M319" s="102" t="str">
        <f>IFERROR(VLOOKUP(G319,Reference!$I$2:$J$175,2,FALSE()),"Operations")</f>
        <v>Operations</v>
      </c>
    </row>
    <row r="320" spans="1:13" ht="15" customHeight="1" x14ac:dyDescent="0.25">
      <c r="A320" s="80" t="s">
        <v>958</v>
      </c>
      <c r="B320" s="80"/>
      <c r="C320" s="80"/>
      <c r="D320" s="80" t="s">
        <v>959</v>
      </c>
      <c r="E320" s="80" t="s">
        <v>184</v>
      </c>
      <c r="F320" s="80" t="s">
        <v>191</v>
      </c>
      <c r="G320" s="80" t="s">
        <v>285</v>
      </c>
      <c r="H320" s="80" t="s">
        <v>53</v>
      </c>
      <c r="I320" s="80" t="s">
        <v>304</v>
      </c>
      <c r="J320" s="80"/>
      <c r="K320" s="80" t="s">
        <v>83</v>
      </c>
      <c r="L320" s="80"/>
      <c r="M320" s="105" t="str">
        <f>IFERROR(VLOOKUP(G320,Reference!$I$2:$J$175,2,FALSE()),"Operations")</f>
        <v>Children Services</v>
      </c>
    </row>
    <row r="321" spans="1:13" ht="15" customHeight="1" x14ac:dyDescent="0.25">
      <c r="A321" s="77" t="s">
        <v>960</v>
      </c>
      <c r="B321" s="77"/>
      <c r="C321" s="77"/>
      <c r="D321" s="77" t="s">
        <v>951</v>
      </c>
      <c r="E321" s="77" t="s">
        <v>179</v>
      </c>
      <c r="F321" s="77" t="s">
        <v>191</v>
      </c>
      <c r="G321" s="77" t="s">
        <v>285</v>
      </c>
      <c r="H321" s="77" t="s">
        <v>69</v>
      </c>
      <c r="I321" s="77" t="s">
        <v>304</v>
      </c>
      <c r="J321" s="77"/>
      <c r="K321" s="77" t="s">
        <v>83</v>
      </c>
      <c r="L321" s="77"/>
      <c r="M321" s="102" t="str">
        <f>IFERROR(VLOOKUP(G321,Reference!$I$2:$J$175,2,FALSE()),"Operations")</f>
        <v>Children Services</v>
      </c>
    </row>
    <row r="322" spans="1:13" ht="15" customHeight="1" x14ac:dyDescent="0.25">
      <c r="A322" s="80" t="s">
        <v>961</v>
      </c>
      <c r="B322" s="80"/>
      <c r="C322" s="80"/>
      <c r="D322" s="80" t="s">
        <v>951</v>
      </c>
      <c r="E322" s="80" t="s">
        <v>179</v>
      </c>
      <c r="F322" s="80" t="s">
        <v>191</v>
      </c>
      <c r="G322" s="80" t="s">
        <v>962</v>
      </c>
      <c r="H322" s="80" t="s">
        <v>75</v>
      </c>
      <c r="I322" s="80" t="s">
        <v>632</v>
      </c>
      <c r="J322" s="80"/>
      <c r="K322" s="80" t="s">
        <v>66</v>
      </c>
      <c r="L322" s="80"/>
      <c r="M322" s="105" t="str">
        <f>IFERROR(VLOOKUP(G322,Reference!$I$2:$J$175,2,FALSE()),"Operations")</f>
        <v>Operations</v>
      </c>
    </row>
    <row r="323" spans="1:13" ht="15" customHeight="1" x14ac:dyDescent="0.25">
      <c r="A323" s="77" t="s">
        <v>963</v>
      </c>
      <c r="B323" s="77"/>
      <c r="C323" s="77"/>
      <c r="D323" s="77" t="s">
        <v>302</v>
      </c>
      <c r="E323" s="77" t="s">
        <v>179</v>
      </c>
      <c r="F323" s="77" t="s">
        <v>180</v>
      </c>
      <c r="G323" s="77" t="s">
        <v>246</v>
      </c>
      <c r="H323" s="77" t="s">
        <v>56</v>
      </c>
      <c r="I323" s="77" t="s">
        <v>235</v>
      </c>
      <c r="J323" s="77"/>
      <c r="K323" s="77" t="s">
        <v>66</v>
      </c>
      <c r="L323" s="77"/>
      <c r="M323" s="102" t="str">
        <f>IFERROR(VLOOKUP(G323,Reference!$I$2:$J$175,2,FALSE()),"Operations")</f>
        <v>Operations</v>
      </c>
    </row>
    <row r="324" spans="1:13" ht="15" customHeight="1" x14ac:dyDescent="0.25">
      <c r="A324" s="80" t="s">
        <v>964</v>
      </c>
      <c r="B324" s="80"/>
      <c r="C324" s="80"/>
      <c r="D324" s="80" t="s">
        <v>845</v>
      </c>
      <c r="E324" s="80" t="s">
        <v>179</v>
      </c>
      <c r="F324" s="80" t="s">
        <v>191</v>
      </c>
      <c r="G324" s="80" t="s">
        <v>76</v>
      </c>
      <c r="H324" s="80" t="s">
        <v>58</v>
      </c>
      <c r="I324" s="80" t="s">
        <v>404</v>
      </c>
      <c r="J324" s="80"/>
      <c r="K324" s="80" t="s">
        <v>76</v>
      </c>
      <c r="L324" s="80"/>
      <c r="M324" s="105" t="str">
        <f>IFERROR(VLOOKUP(G324,Reference!$I$2:$J$175,2,FALSE()),"Operations")</f>
        <v>Children Services</v>
      </c>
    </row>
    <row r="325" spans="1:13" ht="15" customHeight="1" x14ac:dyDescent="0.25">
      <c r="A325" s="77" t="s">
        <v>965</v>
      </c>
      <c r="B325" s="77"/>
      <c r="C325" s="77"/>
      <c r="D325" s="77" t="s">
        <v>302</v>
      </c>
      <c r="E325" s="77" t="s">
        <v>966</v>
      </c>
      <c r="F325" s="77" t="s">
        <v>191</v>
      </c>
      <c r="G325" s="77" t="s">
        <v>967</v>
      </c>
      <c r="H325" s="77" t="s">
        <v>58</v>
      </c>
      <c r="I325" s="77" t="s">
        <v>682</v>
      </c>
      <c r="J325" s="77"/>
      <c r="K325" s="77" t="s">
        <v>66</v>
      </c>
      <c r="L325" s="77"/>
      <c r="M325" s="102" t="str">
        <f>IFERROR(VLOOKUP(G325,Reference!$I$2:$J$175,2,FALSE()),"Operations")</f>
        <v>Operations</v>
      </c>
    </row>
    <row r="326" spans="1:13" ht="15" customHeight="1" x14ac:dyDescent="0.25">
      <c r="A326" s="80" t="s">
        <v>968</v>
      </c>
      <c r="B326" s="80"/>
      <c r="C326" s="80"/>
      <c r="D326" s="80" t="s">
        <v>358</v>
      </c>
      <c r="E326" s="80" t="s">
        <v>184</v>
      </c>
      <c r="F326" s="80" t="s">
        <v>191</v>
      </c>
      <c r="G326" s="80" t="s">
        <v>296</v>
      </c>
      <c r="H326" s="80" t="s">
        <v>58</v>
      </c>
      <c r="I326" s="80" t="s">
        <v>617</v>
      </c>
      <c r="J326" s="80"/>
      <c r="K326" s="80" t="s">
        <v>66</v>
      </c>
      <c r="L326" s="80"/>
      <c r="M326" s="105" t="str">
        <f>IFERROR(VLOOKUP(G326,Reference!$I$2:$J$175,2,FALSE()),"Operations")</f>
        <v>Operations</v>
      </c>
    </row>
    <row r="327" spans="1:13" ht="15" customHeight="1" x14ac:dyDescent="0.25">
      <c r="A327" s="100"/>
      <c r="B327" s="101"/>
      <c r="C327" s="101"/>
      <c r="D327" s="100">
        <f>IF(OR(B327="",C327=""),"",IF(DATEDIF(C327,B327,"y")&gt;=1,DATEDIF(C327,B327,"y")&amp;IF(DATEDIF(C327,B327,"y")=1," year "," years ")&amp;DATEDIF(C327,B327,"ym")&amp;IF(DATEDIF(C327,B327,"ym")=1," month"," months"),IF(DATEDIF(C327,B327,"m")&gt;=1,DATEDIF(C327,B327,"m")&amp;IF(DATEDIF(C327,B327,"m")=1," month"," months"),DATEDIF(C327,B327,"d")&amp;IF(DATEDIF(C327,B327,"d")=1," day"," days"))))</f>
      </c>
      <c r="E327" s="100"/>
      <c r="F327" s="100"/>
      <c r="G327" s="100"/>
      <c r="H327" s="100"/>
      <c r="I327" s="100"/>
      <c r="J327" s="101"/>
      <c r="K327" s="100"/>
      <c r="L327" s="100"/>
      <c r="M327" s="102" t="str">
        <f>IFERROR(VLOOKUP(G327,Reference!$I$2:$J$175,2,FALSE()),"Operations")</f>
        <v>Operations</v>
      </c>
    </row>
    <row r="328" spans="1:13" ht="15" customHeight="1" x14ac:dyDescent="0.25">
      <c r="A328" s="103"/>
      <c r="B328" s="104"/>
      <c r="C328" s="104"/>
      <c r="D328" s="103">
        <f>IF(OR(B328="",C328=""),"",IF(DATEDIF(C328,B328,"y")&gt;=1,DATEDIF(C328,B328,"y")&amp;IF(DATEDIF(C328,B328,"y")=1," year "," years ")&amp;DATEDIF(C328,B328,"ym")&amp;IF(DATEDIF(C328,B328,"ym")=1," month"," months"),IF(DATEDIF(C328,B328,"m")&gt;=1,DATEDIF(C328,B328,"m")&amp;IF(DATEDIF(C328,B328,"m")=1," month"," months"),DATEDIF(C328,B328,"d")&amp;IF(DATEDIF(C328,B328,"d")=1," day"," days"))))</f>
      </c>
      <c r="E328" s="103"/>
      <c r="F328" s="103"/>
      <c r="G328" s="103"/>
      <c r="H328" s="103"/>
      <c r="I328" s="103"/>
      <c r="J328" s="104"/>
      <c r="K328" s="103"/>
      <c r="L328" s="103"/>
      <c r="M328" s="105" t="str">
        <f>IFERROR(VLOOKUP(G328,Reference!$I$2:$J$175,2,FALSE()),"Operations")</f>
        <v>Operations</v>
      </c>
    </row>
    <row r="329" spans="1:13" ht="15" customHeight="1" x14ac:dyDescent="0.25">
      <c r="A329" s="100"/>
      <c r="B329" s="101"/>
      <c r="C329" s="101"/>
      <c r="D329" s="100">
        <f>IF(OR(B329="",C329=""),"",IF(DATEDIF(C329,B329,"y")&gt;=1,DATEDIF(C329,B329,"y")&amp;IF(DATEDIF(C329,B329,"y")=1," year "," years ")&amp;DATEDIF(C329,B329,"ym")&amp;IF(DATEDIF(C329,B329,"ym")=1," month"," months"),IF(DATEDIF(C329,B329,"m")&gt;=1,DATEDIF(C329,B329,"m")&amp;IF(DATEDIF(C329,B329,"m")=1," month"," months"),DATEDIF(C329,B329,"d")&amp;IF(DATEDIF(C329,B329,"d")=1," day"," days"))))</f>
      </c>
      <c r="E329" s="100"/>
      <c r="F329" s="100"/>
      <c r="G329" s="100"/>
      <c r="H329" s="100"/>
      <c r="I329" s="100"/>
      <c r="J329" s="101"/>
      <c r="K329" s="100"/>
      <c r="L329" s="100"/>
      <c r="M329" s="102" t="str">
        <f>IFERROR(VLOOKUP(G329,Reference!$I$2:$J$175,2,FALSE()),"Operations")</f>
        <v>Operations</v>
      </c>
    </row>
    <row r="330" spans="1:13" ht="15" customHeight="1" x14ac:dyDescent="0.25">
      <c r="A330" s="103"/>
      <c r="B330" s="104"/>
      <c r="C330" s="104"/>
      <c r="D330" s="103">
        <f>IF(OR(B330="",C330=""),"",IF(DATEDIF(C330,B330,"y")&gt;=1,DATEDIF(C330,B330,"y")&amp;IF(DATEDIF(C330,B330,"y")=1," year "," years ")&amp;DATEDIF(C330,B330,"ym")&amp;IF(DATEDIF(C330,B330,"ym")=1," month"," months"),IF(DATEDIF(C330,B330,"m")&gt;=1,DATEDIF(C330,B330,"m")&amp;IF(DATEDIF(C330,B330,"m")=1," month"," months"),DATEDIF(C330,B330,"d")&amp;IF(DATEDIF(C330,B330,"d")=1," day"," days"))))</f>
      </c>
      <c r="E330" s="103"/>
      <c r="F330" s="103"/>
      <c r="G330" s="103"/>
      <c r="H330" s="103"/>
      <c r="I330" s="103"/>
      <c r="J330" s="104"/>
      <c r="K330" s="103"/>
      <c r="L330" s="103"/>
      <c r="M330" s="105" t="str">
        <f>IFERROR(VLOOKUP(G330,Reference!$I$2:$J$175,2,FALSE()),"Operations")</f>
        <v>Operations</v>
      </c>
    </row>
    <row r="331" spans="1:13" ht="15" customHeight="1" x14ac:dyDescent="0.25">
      <c r="A331" s="100"/>
      <c r="B331" s="101"/>
      <c r="C331" s="101"/>
      <c r="D331" s="100">
        <f>IF(OR(B331="",C331=""),"",IF(DATEDIF(C331,B331,"y")&gt;=1,DATEDIF(C331,B331,"y")&amp;IF(DATEDIF(C331,B331,"y")=1," year "," years ")&amp;DATEDIF(C331,B331,"ym")&amp;IF(DATEDIF(C331,B331,"ym")=1," month"," months"),IF(DATEDIF(C331,B331,"m")&gt;=1,DATEDIF(C331,B331,"m")&amp;IF(DATEDIF(C331,B331,"m")=1," month"," months"),DATEDIF(C331,B331,"d")&amp;IF(DATEDIF(C331,B331,"d")=1," day"," days"))))</f>
      </c>
      <c r="E331" s="100"/>
      <c r="F331" s="100"/>
      <c r="G331" s="100"/>
      <c r="H331" s="100"/>
      <c r="I331" s="100"/>
      <c r="J331" s="101"/>
      <c r="K331" s="100"/>
      <c r="L331" s="100"/>
      <c r="M331" s="102" t="str">
        <f>IFERROR(VLOOKUP(G331,Reference!$I$2:$J$175,2,FALSE()),"Operations")</f>
        <v>Operations</v>
      </c>
    </row>
    <row r="332" spans="1:13" ht="15" customHeight="1" x14ac:dyDescent="0.25">
      <c r="A332" s="103"/>
      <c r="B332" s="104"/>
      <c r="C332" s="104"/>
      <c r="D332" s="103">
        <f>IF(OR(B332="",C332=""),"",IF(DATEDIF(C332,B332,"y")&gt;=1,DATEDIF(C332,B332,"y")&amp;IF(DATEDIF(C332,B332,"y")=1," year "," years ")&amp;DATEDIF(C332,B332,"ym")&amp;IF(DATEDIF(C332,B332,"ym")=1," month"," months"),IF(DATEDIF(C332,B332,"m")&gt;=1,DATEDIF(C332,B332,"m")&amp;IF(DATEDIF(C332,B332,"m")=1," month"," months"),DATEDIF(C332,B332,"d")&amp;IF(DATEDIF(C332,B332,"d")=1," day"," days"))))</f>
      </c>
      <c r="E332" s="103"/>
      <c r="F332" s="103"/>
      <c r="G332" s="103"/>
      <c r="H332" s="103"/>
      <c r="I332" s="103"/>
      <c r="J332" s="104"/>
      <c r="K332" s="103"/>
      <c r="L332" s="103"/>
      <c r="M332" s="105" t="str">
        <f>IFERROR(VLOOKUP(G332,Reference!$I$2:$J$175,2,FALSE()),"Operations")</f>
        <v>Operations</v>
      </c>
    </row>
    <row r="333" spans="1:13" ht="15" customHeight="1" x14ac:dyDescent="0.25">
      <c r="A333" s="100"/>
      <c r="B333" s="101"/>
      <c r="C333" s="101"/>
      <c r="D333" s="100">
        <f>IF(OR(B333="",C333=""),"",IF(DATEDIF(C333,B333,"y")&gt;=1,DATEDIF(C333,B333,"y")&amp;IF(DATEDIF(C333,B333,"y")=1," year "," years ")&amp;DATEDIF(C333,B333,"ym")&amp;IF(DATEDIF(C333,B333,"ym")=1," month"," months"),IF(DATEDIF(C333,B333,"m")&gt;=1,DATEDIF(C333,B333,"m")&amp;IF(DATEDIF(C333,B333,"m")=1," month"," months"),DATEDIF(C333,B333,"d")&amp;IF(DATEDIF(C333,B333,"d")=1," day"," days"))))</f>
      </c>
      <c r="E333" s="100"/>
      <c r="F333" s="100"/>
      <c r="G333" s="100"/>
      <c r="H333" s="100"/>
      <c r="I333" s="100"/>
      <c r="J333" s="101"/>
      <c r="K333" s="100"/>
      <c r="L333" s="100"/>
      <c r="M333" s="102" t="str">
        <f>IFERROR(VLOOKUP(G333,Reference!$I$2:$J$175,2,FALSE()),"Operations")</f>
        <v>Operations</v>
      </c>
    </row>
    <row r="334" spans="1:13" ht="15" customHeight="1" x14ac:dyDescent="0.25">
      <c r="A334" s="103"/>
      <c r="B334" s="104"/>
      <c r="C334" s="104"/>
      <c r="D334" s="103">
        <f>IF(OR(B334="",C334=""),"",IF(DATEDIF(C334,B334,"y")&gt;=1,DATEDIF(C334,B334,"y")&amp;IF(DATEDIF(C334,B334,"y")=1," year "," years ")&amp;DATEDIF(C334,B334,"ym")&amp;IF(DATEDIF(C334,B334,"ym")=1," month"," months"),IF(DATEDIF(C334,B334,"m")&gt;=1,DATEDIF(C334,B334,"m")&amp;IF(DATEDIF(C334,B334,"m")=1," month"," months"),DATEDIF(C334,B334,"d")&amp;IF(DATEDIF(C334,B334,"d")=1," day"," days"))))</f>
      </c>
      <c r="E334" s="103"/>
      <c r="F334" s="103"/>
      <c r="G334" s="103"/>
      <c r="H334" s="103"/>
      <c r="I334" s="103"/>
      <c r="J334" s="104"/>
      <c r="K334" s="103"/>
      <c r="L334" s="103"/>
      <c r="M334" s="105" t="str">
        <f>IFERROR(VLOOKUP(G334,Reference!$I$2:$J$175,2,FALSE()),"Operations")</f>
        <v>Operations</v>
      </c>
    </row>
    <row r="335" spans="1:13" ht="15" customHeight="1" x14ac:dyDescent="0.25">
      <c r="A335" s="100"/>
      <c r="B335" s="101"/>
      <c r="C335" s="101"/>
      <c r="D335" s="100">
        <f>IF(OR(B335="",C335=""),"",IF(DATEDIF(C335,B335,"y")&gt;=1,DATEDIF(C335,B335,"y")&amp;IF(DATEDIF(C335,B335,"y")=1," year "," years ")&amp;DATEDIF(C335,B335,"ym")&amp;IF(DATEDIF(C335,B335,"ym")=1," month"," months"),IF(DATEDIF(C335,B335,"m")&gt;=1,DATEDIF(C335,B335,"m")&amp;IF(DATEDIF(C335,B335,"m")=1," month"," months"),DATEDIF(C335,B335,"d")&amp;IF(DATEDIF(C335,B335,"d")=1," day"," days"))))</f>
      </c>
      <c r="E335" s="100"/>
      <c r="F335" s="100"/>
      <c r="G335" s="100"/>
      <c r="H335" s="100"/>
      <c r="I335" s="100"/>
      <c r="J335" s="101"/>
      <c r="K335" s="100"/>
      <c r="L335" s="100"/>
      <c r="M335" s="102" t="str">
        <f>IFERROR(VLOOKUP(G335,Reference!$I$2:$J$175,2,FALSE()),"Operations")</f>
        <v>Operations</v>
      </c>
    </row>
    <row r="336" spans="1:13" ht="15" customHeight="1" x14ac:dyDescent="0.25">
      <c r="A336" s="103"/>
      <c r="B336" s="104"/>
      <c r="C336" s="104"/>
      <c r="D336" s="103">
        <f>IF(OR(B336="",C336=""),"",IF(DATEDIF(C336,B336,"y")&gt;=1,DATEDIF(C336,B336,"y")&amp;IF(DATEDIF(C336,B336,"y")=1," year "," years ")&amp;DATEDIF(C336,B336,"ym")&amp;IF(DATEDIF(C336,B336,"ym")=1," month"," months"),IF(DATEDIF(C336,B336,"m")&gt;=1,DATEDIF(C336,B336,"m")&amp;IF(DATEDIF(C336,B336,"m")=1," month"," months"),DATEDIF(C336,B336,"d")&amp;IF(DATEDIF(C336,B336,"d")=1," day"," days"))))</f>
      </c>
      <c r="E336" s="103"/>
      <c r="F336" s="103"/>
      <c r="G336" s="103"/>
      <c r="H336" s="103"/>
      <c r="I336" s="103"/>
      <c r="J336" s="104"/>
      <c r="K336" s="103"/>
      <c r="L336" s="103"/>
      <c r="M336" s="105" t="str">
        <f>IFERROR(VLOOKUP(G336,Reference!$I$2:$J$175,2,FALSE()),"Operations")</f>
        <v>Operations</v>
      </c>
    </row>
    <row r="337" spans="1:13" ht="15" customHeight="1" x14ac:dyDescent="0.25">
      <c r="A337" s="100"/>
      <c r="B337" s="101"/>
      <c r="C337" s="101"/>
      <c r="D337" s="100">
        <f>IF(OR(B337="",C337=""),"",IF(DATEDIF(C337,B337,"y")&gt;=1,DATEDIF(C337,B337,"y")&amp;IF(DATEDIF(C337,B337,"y")=1," year "," years ")&amp;DATEDIF(C337,B337,"ym")&amp;IF(DATEDIF(C337,B337,"ym")=1," month"," months"),IF(DATEDIF(C337,B337,"m")&gt;=1,DATEDIF(C337,B337,"m")&amp;IF(DATEDIF(C337,B337,"m")=1," month"," months"),DATEDIF(C337,B337,"d")&amp;IF(DATEDIF(C337,B337,"d")=1," day"," days"))))</f>
      </c>
      <c r="E337" s="100"/>
      <c r="F337" s="100"/>
      <c r="G337" s="100"/>
      <c r="H337" s="100"/>
      <c r="I337" s="100"/>
      <c r="J337" s="101"/>
      <c r="K337" s="100"/>
      <c r="L337" s="100"/>
      <c r="M337" s="102" t="str">
        <f>IFERROR(VLOOKUP(G337,Reference!$I$2:$J$175,2,FALSE()),"Operations")</f>
        <v>Operations</v>
      </c>
    </row>
    <row r="338" spans="1:13" ht="15" customHeight="1" x14ac:dyDescent="0.25">
      <c r="A338" s="103"/>
      <c r="B338" s="104"/>
      <c r="C338" s="104"/>
      <c r="D338" s="103">
        <f>IF(OR(B338="",C338=""),"",IF(DATEDIF(C338,B338,"y")&gt;=1,DATEDIF(C338,B338,"y")&amp;IF(DATEDIF(C338,B338,"y")=1," year "," years ")&amp;DATEDIF(C338,B338,"ym")&amp;IF(DATEDIF(C338,B338,"ym")=1," month"," months"),IF(DATEDIF(C338,B338,"m")&gt;=1,DATEDIF(C338,B338,"m")&amp;IF(DATEDIF(C338,B338,"m")=1," month"," months"),DATEDIF(C338,B338,"d")&amp;IF(DATEDIF(C338,B338,"d")=1," day"," days"))))</f>
      </c>
      <c r="E338" s="103"/>
      <c r="F338" s="103"/>
      <c r="G338" s="103"/>
      <c r="H338" s="103"/>
      <c r="I338" s="103"/>
      <c r="J338" s="104"/>
      <c r="K338" s="103"/>
      <c r="L338" s="103"/>
      <c r="M338" s="105" t="str">
        <f>IFERROR(VLOOKUP(G338,Reference!$I$2:$J$175,2,FALSE()),"Operations")</f>
        <v>Operations</v>
      </c>
    </row>
    <row r="339" spans="1:13" ht="15" customHeight="1" x14ac:dyDescent="0.25">
      <c r="A339" s="100"/>
      <c r="B339" s="101"/>
      <c r="C339" s="101"/>
      <c r="D339" s="100">
        <f>IF(OR(B339="",C339=""),"",IF(DATEDIF(C339,B339,"y")&gt;=1,DATEDIF(C339,B339,"y")&amp;IF(DATEDIF(C339,B339,"y")=1," year "," years ")&amp;DATEDIF(C339,B339,"ym")&amp;IF(DATEDIF(C339,B339,"ym")=1," month"," months"),IF(DATEDIF(C339,B339,"m")&gt;=1,DATEDIF(C339,B339,"m")&amp;IF(DATEDIF(C339,B339,"m")=1," month"," months"),DATEDIF(C339,B339,"d")&amp;IF(DATEDIF(C339,B339,"d")=1," day"," days"))))</f>
      </c>
      <c r="E339" s="100"/>
      <c r="F339" s="100"/>
      <c r="G339" s="100"/>
      <c r="H339" s="100"/>
      <c r="I339" s="100"/>
      <c r="J339" s="101"/>
      <c r="K339" s="100"/>
      <c r="L339" s="100"/>
      <c r="M339" s="102" t="str">
        <f>IFERROR(VLOOKUP(G339,Reference!$I$2:$J$175,2,FALSE()),"Operations")</f>
        <v>Operations</v>
      </c>
    </row>
    <row r="340" spans="1:13" ht="15" customHeight="1" x14ac:dyDescent="0.25">
      <c r="A340" s="103"/>
      <c r="B340" s="104"/>
      <c r="C340" s="104"/>
      <c r="D340" s="103">
        <f>IF(OR(B340="",C340=""),"",IF(DATEDIF(C340,B340,"y")&gt;=1,DATEDIF(C340,B340,"y")&amp;IF(DATEDIF(C340,B340,"y")=1," year "," years ")&amp;DATEDIF(C340,B340,"ym")&amp;IF(DATEDIF(C340,B340,"ym")=1," month"," months"),IF(DATEDIF(C340,B340,"m")&gt;=1,DATEDIF(C340,B340,"m")&amp;IF(DATEDIF(C340,B340,"m")=1," month"," months"),DATEDIF(C340,B340,"d")&amp;IF(DATEDIF(C340,B340,"d")=1," day"," days"))))</f>
      </c>
      <c r="E340" s="103"/>
      <c r="F340" s="103"/>
      <c r="G340" s="103"/>
      <c r="H340" s="103"/>
      <c r="I340" s="103"/>
      <c r="J340" s="104"/>
      <c r="K340" s="103"/>
      <c r="L340" s="103"/>
      <c r="M340" s="105" t="str">
        <f>IFERROR(VLOOKUP(G340,Reference!$I$2:$J$175,2,FALSE()),"Operations")</f>
        <v>Operations</v>
      </c>
    </row>
    <row r="341" spans="1:13" ht="15" customHeight="1" x14ac:dyDescent="0.25">
      <c r="A341" s="100"/>
      <c r="B341" s="101"/>
      <c r="C341" s="101"/>
      <c r="D341" s="100">
        <f>IF(OR(B341="",C341=""),"",IF(DATEDIF(C341,B341,"y")&gt;=1,DATEDIF(C341,B341,"y")&amp;IF(DATEDIF(C341,B341,"y")=1," year "," years ")&amp;DATEDIF(C341,B341,"ym")&amp;IF(DATEDIF(C341,B341,"ym")=1," month"," months"),IF(DATEDIF(C341,B341,"m")&gt;=1,DATEDIF(C341,B341,"m")&amp;IF(DATEDIF(C341,B341,"m")=1," month"," months"),DATEDIF(C341,B341,"d")&amp;IF(DATEDIF(C341,B341,"d")=1," day"," days"))))</f>
      </c>
      <c r="E341" s="100"/>
      <c r="F341" s="100"/>
      <c r="G341" s="100"/>
      <c r="H341" s="100"/>
      <c r="I341" s="100"/>
      <c r="J341" s="101"/>
      <c r="K341" s="100"/>
      <c r="L341" s="100"/>
      <c r="M341" s="102" t="str">
        <f>IFERROR(VLOOKUP(G341,Reference!$I$2:$J$175,2,FALSE()),"Operations")</f>
        <v>Operations</v>
      </c>
    </row>
    <row r="342" spans="1:13" ht="15" customHeight="1" x14ac:dyDescent="0.25">
      <c r="A342" s="103"/>
      <c r="B342" s="104"/>
      <c r="C342" s="104"/>
      <c r="D342" s="103">
        <f>IF(OR(B342="",C342=""),"",IF(DATEDIF(C342,B342,"y")&gt;=1,DATEDIF(C342,B342,"y")&amp;IF(DATEDIF(C342,B342,"y")=1," year "," years ")&amp;DATEDIF(C342,B342,"ym")&amp;IF(DATEDIF(C342,B342,"ym")=1," month"," months"),IF(DATEDIF(C342,B342,"m")&gt;=1,DATEDIF(C342,B342,"m")&amp;IF(DATEDIF(C342,B342,"m")=1," month"," months"),DATEDIF(C342,B342,"d")&amp;IF(DATEDIF(C342,B342,"d")=1," day"," days"))))</f>
      </c>
      <c r="E342" s="103"/>
      <c r="F342" s="103"/>
      <c r="G342" s="103"/>
      <c r="H342" s="103"/>
      <c r="I342" s="103"/>
      <c r="J342" s="104"/>
      <c r="K342" s="103"/>
      <c r="L342" s="103"/>
      <c r="M342" s="105" t="str">
        <f>IFERROR(VLOOKUP(G342,Reference!$I$2:$J$175,2,FALSE()),"Operations")</f>
        <v>Operations</v>
      </c>
    </row>
    <row r="343" spans="1:13" ht="15" customHeight="1" x14ac:dyDescent="0.25">
      <c r="A343" s="100"/>
      <c r="B343" s="101"/>
      <c r="C343" s="101"/>
      <c r="D343" s="100">
        <f>IF(OR(B343="",C343=""),"",IF(DATEDIF(C343,B343,"y")&gt;=1,DATEDIF(C343,B343,"y")&amp;IF(DATEDIF(C343,B343,"y")=1," year "," years ")&amp;DATEDIF(C343,B343,"ym")&amp;IF(DATEDIF(C343,B343,"ym")=1," month"," months"),IF(DATEDIF(C343,B343,"m")&gt;=1,DATEDIF(C343,B343,"m")&amp;IF(DATEDIF(C343,B343,"m")=1," month"," months"),DATEDIF(C343,B343,"d")&amp;IF(DATEDIF(C343,B343,"d")=1," day"," days"))))</f>
      </c>
      <c r="E343" s="100"/>
      <c r="F343" s="100"/>
      <c r="G343" s="100"/>
      <c r="H343" s="100"/>
      <c r="I343" s="100"/>
      <c r="J343" s="101"/>
      <c r="K343" s="100"/>
      <c r="L343" s="100"/>
      <c r="M343" s="102" t="str">
        <f>IFERROR(VLOOKUP(G343,Reference!$I$2:$J$175,2,FALSE()),"Operations")</f>
        <v>Operations</v>
      </c>
    </row>
    <row r="344" spans="1:13" ht="15" customHeight="1" x14ac:dyDescent="0.25">
      <c r="A344" s="103"/>
      <c r="B344" s="104"/>
      <c r="C344" s="104"/>
      <c r="D344" s="103">
        <f>IF(OR(B344="",C344=""),"",IF(DATEDIF(C344,B344,"y")&gt;=1,DATEDIF(C344,B344,"y")&amp;IF(DATEDIF(C344,B344,"y")=1," year "," years ")&amp;DATEDIF(C344,B344,"ym")&amp;IF(DATEDIF(C344,B344,"ym")=1," month"," months"),IF(DATEDIF(C344,B344,"m")&gt;=1,DATEDIF(C344,B344,"m")&amp;IF(DATEDIF(C344,B344,"m")=1," month"," months"),DATEDIF(C344,B344,"d")&amp;IF(DATEDIF(C344,B344,"d")=1," day"," days"))))</f>
      </c>
      <c r="E344" s="103"/>
      <c r="F344" s="103"/>
      <c r="G344" s="103"/>
      <c r="H344" s="103"/>
      <c r="I344" s="103"/>
      <c r="J344" s="104"/>
      <c r="K344" s="103"/>
      <c r="L344" s="103"/>
      <c r="M344" s="105" t="str">
        <f>IFERROR(VLOOKUP(G344,Reference!$I$2:$J$175,2,FALSE()),"Operations")</f>
        <v>Operations</v>
      </c>
    </row>
    <row r="345" spans="1:13" ht="15" customHeight="1" x14ac:dyDescent="0.25">
      <c r="A345" s="106" t="s">
        <v>163</v>
      </c>
      <c r="B345" s="107">
        <f>COUNTA(A315:A344)</f>
        <v>12</v>
      </c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</row>
    <row r="346" spans="1:13" ht="6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</row>
    <row r="347" spans="1:13" ht="21.75" customHeight="1" x14ac:dyDescent="0.25">
      <c r="A347" s="163" t="s">
        <v>969</v>
      </c>
      <c r="B347" s="163"/>
      <c r="C347" s="163"/>
      <c r="D347" s="163"/>
      <c r="E347" s="163"/>
      <c r="F347" s="163"/>
      <c r="G347" s="163"/>
      <c r="H347" s="163"/>
      <c r="I347" s="163"/>
      <c r="J347" s="163"/>
      <c r="K347" s="163"/>
      <c r="L347" s="163"/>
      <c r="M347" s="163"/>
    </row>
    <row r="348" spans="1:13" ht="19.5" customHeight="1" x14ac:dyDescent="0.25">
      <c r="A348" s="64" t="s">
        <v>151</v>
      </c>
      <c r="B348" s="64" t="s">
        <v>152</v>
      </c>
      <c r="C348" s="64" t="s">
        <v>153</v>
      </c>
      <c r="D348" s="64" t="s">
        <v>154</v>
      </c>
      <c r="E348" s="64" t="s">
        <v>155</v>
      </c>
      <c r="F348" s="64" t="s">
        <v>156</v>
      </c>
      <c r="G348" s="64" t="s">
        <v>157</v>
      </c>
      <c r="H348" s="64" t="s">
        <v>158</v>
      </c>
      <c r="I348" s="64" t="s">
        <v>159</v>
      </c>
      <c r="J348" s="64" t="s">
        <v>160</v>
      </c>
      <c r="K348" s="64" t="s">
        <v>134</v>
      </c>
      <c r="L348" s="64" t="s">
        <v>161</v>
      </c>
      <c r="M348" s="64" t="s">
        <v>162</v>
      </c>
    </row>
    <row r="349" spans="1:13" ht="15" customHeight="1" x14ac:dyDescent="0.25">
      <c r="A349" s="77" t="s">
        <v>970</v>
      </c>
      <c r="B349" s="77"/>
      <c r="C349" s="77"/>
      <c r="D349" s="77" t="s">
        <v>971</v>
      </c>
      <c r="E349" s="77" t="s">
        <v>184</v>
      </c>
      <c r="F349" s="77" t="s">
        <v>191</v>
      </c>
      <c r="G349" s="77" t="s">
        <v>76</v>
      </c>
      <c r="H349" s="77" t="s">
        <v>62</v>
      </c>
      <c r="I349" s="77" t="s">
        <v>404</v>
      </c>
      <c r="J349" s="77"/>
      <c r="K349" s="77" t="s">
        <v>76</v>
      </c>
      <c r="L349" s="77"/>
      <c r="M349" s="102" t="str">
        <f>IFERROR(VLOOKUP(G349,Reference!$I$2:$J$175,2,FALSE()),"Operations")</f>
        <v>Children Services</v>
      </c>
    </row>
    <row r="350" spans="1:13" ht="15" customHeight="1" x14ac:dyDescent="0.25">
      <c r="A350" s="80" t="s">
        <v>972</v>
      </c>
      <c r="B350" s="80"/>
      <c r="C350" s="80"/>
      <c r="D350" s="80" t="s">
        <v>677</v>
      </c>
      <c r="E350" s="80" t="s">
        <v>179</v>
      </c>
      <c r="F350" s="80" t="s">
        <v>180</v>
      </c>
      <c r="G350" s="80" t="s">
        <v>973</v>
      </c>
      <c r="H350" s="80" t="s">
        <v>56</v>
      </c>
      <c r="I350" s="80" t="s">
        <v>389</v>
      </c>
      <c r="J350" s="80"/>
      <c r="K350" s="80" t="s">
        <v>70</v>
      </c>
      <c r="L350" s="80"/>
      <c r="M350" s="105" t="str">
        <f>IFERROR(VLOOKUP(G350,Reference!$I$2:$J$175,2,FALSE()),"Operations")</f>
        <v>Employment Services</v>
      </c>
    </row>
    <row r="351" spans="1:13" ht="15" customHeight="1" x14ac:dyDescent="0.25">
      <c r="A351" s="77" t="s">
        <v>974</v>
      </c>
      <c r="B351" s="77"/>
      <c r="C351" s="77"/>
      <c r="D351" s="77" t="s">
        <v>975</v>
      </c>
      <c r="E351" s="77" t="s">
        <v>184</v>
      </c>
      <c r="F351" s="77" t="s">
        <v>180</v>
      </c>
      <c r="G351" s="77" t="s">
        <v>616</v>
      </c>
      <c r="H351" s="77" t="s">
        <v>75</v>
      </c>
      <c r="I351" s="77" t="s">
        <v>205</v>
      </c>
      <c r="J351" s="77"/>
      <c r="K351" s="77" t="s">
        <v>66</v>
      </c>
      <c r="L351" s="77"/>
      <c r="M351" s="102" t="str">
        <f>IFERROR(VLOOKUP(G351,Reference!$I$2:$J$175,2,FALSE()),"Operations")</f>
        <v>Operations</v>
      </c>
    </row>
    <row r="352" spans="1:13" ht="15" customHeight="1" x14ac:dyDescent="0.25">
      <c r="A352" s="80" t="s">
        <v>976</v>
      </c>
      <c r="B352" s="80"/>
      <c r="C352" s="80"/>
      <c r="D352" s="80" t="s">
        <v>373</v>
      </c>
      <c r="E352" s="80" t="s">
        <v>179</v>
      </c>
      <c r="F352" s="80" t="s">
        <v>180</v>
      </c>
      <c r="G352" s="80" t="s">
        <v>778</v>
      </c>
      <c r="H352" s="80" t="s">
        <v>53</v>
      </c>
      <c r="I352" s="80" t="s">
        <v>389</v>
      </c>
      <c r="J352" s="80"/>
      <c r="K352" s="80" t="s">
        <v>70</v>
      </c>
      <c r="L352" s="80"/>
      <c r="M352" s="105" t="str">
        <f>IFERROR(VLOOKUP(G352,Reference!$I$2:$J$175,2,FALSE()),"Operations")</f>
        <v>Operations</v>
      </c>
    </row>
    <row r="353" spans="1:13" ht="15" customHeight="1" x14ac:dyDescent="0.25">
      <c r="A353" s="77" t="s">
        <v>977</v>
      </c>
      <c r="B353" s="77"/>
      <c r="C353" s="77"/>
      <c r="D353" s="77" t="s">
        <v>713</v>
      </c>
      <c r="E353" s="77" t="s">
        <v>179</v>
      </c>
      <c r="F353" s="77" t="s">
        <v>191</v>
      </c>
      <c r="G353" s="77" t="s">
        <v>307</v>
      </c>
      <c r="H353" s="77" t="s">
        <v>69</v>
      </c>
      <c r="I353" s="77" t="s">
        <v>632</v>
      </c>
      <c r="J353" s="77"/>
      <c r="K353" s="77" t="s">
        <v>66</v>
      </c>
      <c r="L353" s="77"/>
      <c r="M353" s="102" t="str">
        <f>IFERROR(VLOOKUP(G353,Reference!$I$2:$J$175,2,FALSE()),"Operations")</f>
        <v>Operations</v>
      </c>
    </row>
    <row r="354" spans="1:13" ht="15" customHeight="1" x14ac:dyDescent="0.25">
      <c r="A354" s="80" t="s">
        <v>978</v>
      </c>
      <c r="B354" s="80"/>
      <c r="C354" s="80"/>
      <c r="D354" s="80" t="s">
        <v>344</v>
      </c>
      <c r="E354" s="80" t="s">
        <v>184</v>
      </c>
      <c r="F354" s="80" t="s">
        <v>180</v>
      </c>
      <c r="G354" s="80" t="s">
        <v>979</v>
      </c>
      <c r="H354" s="80" t="s">
        <v>58</v>
      </c>
      <c r="I354" s="80" t="s">
        <v>205</v>
      </c>
      <c r="J354" s="80"/>
      <c r="K354" s="80" t="s">
        <v>66</v>
      </c>
      <c r="L354" s="80"/>
      <c r="M354" s="105" t="str">
        <f>IFERROR(VLOOKUP(G354,Reference!$I$2:$J$175,2,FALSE()),"Operations")</f>
        <v>Operations</v>
      </c>
    </row>
    <row r="355" spans="1:13" ht="15" customHeight="1" x14ac:dyDescent="0.25">
      <c r="A355" s="77" t="s">
        <v>980</v>
      </c>
      <c r="B355" s="77"/>
      <c r="C355" s="77"/>
      <c r="D355" s="77" t="s">
        <v>981</v>
      </c>
      <c r="E355" s="77" t="s">
        <v>179</v>
      </c>
      <c r="F355" s="77" t="s">
        <v>191</v>
      </c>
      <c r="G355" s="77" t="s">
        <v>631</v>
      </c>
      <c r="H355" s="77" t="s">
        <v>58</v>
      </c>
      <c r="I355" s="77" t="s">
        <v>632</v>
      </c>
      <c r="J355" s="77"/>
      <c r="K355" s="77" t="s">
        <v>66</v>
      </c>
      <c r="L355" s="77"/>
      <c r="M355" s="102" t="str">
        <f>IFERROR(VLOOKUP(G355,Reference!$I$2:$J$175,2,FALSE()),"Operations")</f>
        <v>Operations</v>
      </c>
    </row>
    <row r="356" spans="1:13" ht="15" customHeight="1" x14ac:dyDescent="0.25">
      <c r="A356" s="80" t="s">
        <v>982</v>
      </c>
      <c r="B356" s="80"/>
      <c r="C356" s="80"/>
      <c r="D356" s="80" t="s">
        <v>373</v>
      </c>
      <c r="E356" s="80" t="s">
        <v>179</v>
      </c>
      <c r="F356" s="80" t="s">
        <v>180</v>
      </c>
      <c r="G356" s="80" t="s">
        <v>983</v>
      </c>
      <c r="H356" s="80" t="s">
        <v>69</v>
      </c>
      <c r="I356" s="80" t="s">
        <v>632</v>
      </c>
      <c r="J356" s="80"/>
      <c r="K356" s="80" t="s">
        <v>66</v>
      </c>
      <c r="L356" s="80"/>
      <c r="M356" s="105" t="str">
        <f>IFERROR(VLOOKUP(G356,Reference!$I$2:$J$175,2,FALSE()),"Operations")</f>
        <v>Operations</v>
      </c>
    </row>
    <row r="357" spans="1:13" ht="15" customHeight="1" x14ac:dyDescent="0.25">
      <c r="A357" s="77" t="s">
        <v>984</v>
      </c>
      <c r="B357" s="77"/>
      <c r="C357" s="77"/>
      <c r="D357" s="77" t="s">
        <v>313</v>
      </c>
      <c r="E357" s="77" t="s">
        <v>179</v>
      </c>
      <c r="F357" s="77" t="s">
        <v>191</v>
      </c>
      <c r="G357" s="77" t="s">
        <v>319</v>
      </c>
      <c r="H357" s="77" t="s">
        <v>75</v>
      </c>
      <c r="I357" s="77" t="s">
        <v>182</v>
      </c>
      <c r="J357" s="77"/>
      <c r="K357" s="77" t="s">
        <v>66</v>
      </c>
      <c r="L357" s="77"/>
      <c r="M357" s="102" t="str">
        <f>IFERROR(VLOOKUP(G357,Reference!$I$2:$J$175,2,FALSE()),"Operations")</f>
        <v>Operations</v>
      </c>
    </row>
    <row r="358" spans="1:13" ht="15" customHeight="1" x14ac:dyDescent="0.25">
      <c r="A358" s="80" t="s">
        <v>985</v>
      </c>
      <c r="B358" s="80"/>
      <c r="C358" s="80"/>
      <c r="D358" s="80" t="s">
        <v>344</v>
      </c>
      <c r="E358" s="80" t="s">
        <v>179</v>
      </c>
      <c r="F358" s="80" t="s">
        <v>191</v>
      </c>
      <c r="G358" s="80" t="s">
        <v>986</v>
      </c>
      <c r="H358" s="80" t="s">
        <v>53</v>
      </c>
      <c r="I358" s="80" t="s">
        <v>235</v>
      </c>
      <c r="J358" s="80"/>
      <c r="K358" s="80" t="s">
        <v>66</v>
      </c>
      <c r="L358" s="80"/>
      <c r="M358" s="105" t="str">
        <f>IFERROR(VLOOKUP(G358,Reference!$I$2:$J$175,2,FALSE()),"Operations")</f>
        <v>Operations</v>
      </c>
    </row>
    <row r="359" spans="1:13" ht="15" customHeight="1" x14ac:dyDescent="0.25">
      <c r="A359" s="100"/>
      <c r="B359" s="101"/>
      <c r="C359" s="101"/>
      <c r="D359" s="100">
        <f>IF(OR(B359="",C359=""),"",IF(DATEDIF(C359,B359,"y")&gt;=1,DATEDIF(C359,B359,"y")&amp;IF(DATEDIF(C359,B359,"y")=1," year "," years ")&amp;DATEDIF(C359,B359,"ym")&amp;IF(DATEDIF(C359,B359,"ym")=1," month"," months"),IF(DATEDIF(C359,B359,"m")&gt;=1,DATEDIF(C359,B359,"m")&amp;IF(DATEDIF(C359,B359,"m")=1," month"," months"),DATEDIF(C359,B359,"d")&amp;IF(DATEDIF(C359,B359,"d")=1," day"," days"))))</f>
      </c>
      <c r="E359" s="100"/>
      <c r="F359" s="100"/>
      <c r="G359" s="100"/>
      <c r="H359" s="100"/>
      <c r="I359" s="100"/>
      <c r="J359" s="101"/>
      <c r="K359" s="100"/>
      <c r="L359" s="100"/>
      <c r="M359" s="102" t="str">
        <f>IFERROR(VLOOKUP(G359,Reference!$I$2:$J$175,2,FALSE()),"Operations")</f>
        <v>Operations</v>
      </c>
    </row>
    <row r="360" spans="1:13" ht="15" customHeight="1" x14ac:dyDescent="0.25">
      <c r="A360" s="103"/>
      <c r="B360" s="104"/>
      <c r="C360" s="104"/>
      <c r="D360" s="103">
        <f>IF(OR(B360="",C360=""),"",IF(DATEDIF(C360,B360,"y")&gt;=1,DATEDIF(C360,B360,"y")&amp;IF(DATEDIF(C360,B360,"y")=1," year "," years ")&amp;DATEDIF(C360,B360,"ym")&amp;IF(DATEDIF(C360,B360,"ym")=1," month"," months"),IF(DATEDIF(C360,B360,"m")&gt;=1,DATEDIF(C360,B360,"m")&amp;IF(DATEDIF(C360,B360,"m")=1," month"," months"),DATEDIF(C360,B360,"d")&amp;IF(DATEDIF(C360,B360,"d")=1," day"," days"))))</f>
      </c>
      <c r="E360" s="103"/>
      <c r="F360" s="103"/>
      <c r="G360" s="103"/>
      <c r="H360" s="103"/>
      <c r="I360" s="103"/>
      <c r="J360" s="104"/>
      <c r="K360" s="103"/>
      <c r="L360" s="103"/>
      <c r="M360" s="105" t="str">
        <f>IFERROR(VLOOKUP(G360,Reference!$I$2:$J$175,2,FALSE()),"Operations")</f>
        <v>Operations</v>
      </c>
    </row>
    <row r="361" spans="1:13" ht="15" customHeight="1" x14ac:dyDescent="0.25">
      <c r="A361" s="100"/>
      <c r="B361" s="101"/>
      <c r="C361" s="101"/>
      <c r="D361" s="100">
        <f>IF(OR(B361="",C361=""),"",IF(DATEDIF(C361,B361,"y")&gt;=1,DATEDIF(C361,B361,"y")&amp;IF(DATEDIF(C361,B361,"y")=1," year "," years ")&amp;DATEDIF(C361,B361,"ym")&amp;IF(DATEDIF(C361,B361,"ym")=1," month"," months"),IF(DATEDIF(C361,B361,"m")&gt;=1,DATEDIF(C361,B361,"m")&amp;IF(DATEDIF(C361,B361,"m")=1," month"," months"),DATEDIF(C361,B361,"d")&amp;IF(DATEDIF(C361,B361,"d")=1," day"," days"))))</f>
      </c>
      <c r="E361" s="100"/>
      <c r="F361" s="100"/>
      <c r="G361" s="100"/>
      <c r="H361" s="100"/>
      <c r="I361" s="100"/>
      <c r="J361" s="101"/>
      <c r="K361" s="100"/>
      <c r="L361" s="100"/>
      <c r="M361" s="102" t="str">
        <f>IFERROR(VLOOKUP(G361,Reference!$I$2:$J$175,2,FALSE()),"Operations")</f>
        <v>Operations</v>
      </c>
    </row>
    <row r="362" spans="1:13" ht="15" customHeight="1" x14ac:dyDescent="0.25">
      <c r="A362" s="103"/>
      <c r="B362" s="104"/>
      <c r="C362" s="104"/>
      <c r="D362" s="103">
        <f>IF(OR(B362="",C362=""),"",IF(DATEDIF(C362,B362,"y")&gt;=1,DATEDIF(C362,B362,"y")&amp;IF(DATEDIF(C362,B362,"y")=1," year "," years ")&amp;DATEDIF(C362,B362,"ym")&amp;IF(DATEDIF(C362,B362,"ym")=1," month"," months"),IF(DATEDIF(C362,B362,"m")&gt;=1,DATEDIF(C362,B362,"m")&amp;IF(DATEDIF(C362,B362,"m")=1," month"," months"),DATEDIF(C362,B362,"d")&amp;IF(DATEDIF(C362,B362,"d")=1," day"," days"))))</f>
      </c>
      <c r="E362" s="103"/>
      <c r="F362" s="103"/>
      <c r="G362" s="103"/>
      <c r="H362" s="103"/>
      <c r="I362" s="103"/>
      <c r="J362" s="104"/>
      <c r="K362" s="103"/>
      <c r="L362" s="103"/>
      <c r="M362" s="105" t="str">
        <f>IFERROR(VLOOKUP(G362,Reference!$I$2:$J$175,2,FALSE()),"Operations")</f>
        <v>Operations</v>
      </c>
    </row>
    <row r="363" spans="1:13" ht="15" customHeight="1" x14ac:dyDescent="0.25">
      <c r="A363" s="100"/>
      <c r="B363" s="101"/>
      <c r="C363" s="101"/>
      <c r="D363" s="100">
        <f>IF(OR(B363="",C363=""),"",IF(DATEDIF(C363,B363,"y")&gt;=1,DATEDIF(C363,B363,"y")&amp;IF(DATEDIF(C363,B363,"y")=1," year "," years ")&amp;DATEDIF(C363,B363,"ym")&amp;IF(DATEDIF(C363,B363,"ym")=1," month"," months"),IF(DATEDIF(C363,B363,"m")&gt;=1,DATEDIF(C363,B363,"m")&amp;IF(DATEDIF(C363,B363,"m")=1," month"," months"),DATEDIF(C363,B363,"d")&amp;IF(DATEDIF(C363,B363,"d")=1," day"," days"))))</f>
      </c>
      <c r="E363" s="100"/>
      <c r="F363" s="100"/>
      <c r="G363" s="100"/>
      <c r="H363" s="100"/>
      <c r="I363" s="100"/>
      <c r="J363" s="101"/>
      <c r="K363" s="100"/>
      <c r="L363" s="100"/>
      <c r="M363" s="102" t="str">
        <f>IFERROR(VLOOKUP(G363,Reference!$I$2:$J$175,2,FALSE()),"Operations")</f>
        <v>Operations</v>
      </c>
    </row>
    <row r="364" spans="1:13" ht="15" customHeight="1" x14ac:dyDescent="0.25">
      <c r="A364" s="103"/>
      <c r="B364" s="104"/>
      <c r="C364" s="104"/>
      <c r="D364" s="103">
        <f>IF(OR(B364="",C364=""),"",IF(DATEDIF(C364,B364,"y")&gt;=1,DATEDIF(C364,B364,"y")&amp;IF(DATEDIF(C364,B364,"y")=1," year "," years ")&amp;DATEDIF(C364,B364,"ym")&amp;IF(DATEDIF(C364,B364,"ym")=1," month"," months"),IF(DATEDIF(C364,B364,"m")&gt;=1,DATEDIF(C364,B364,"m")&amp;IF(DATEDIF(C364,B364,"m")=1," month"," months"),DATEDIF(C364,B364,"d")&amp;IF(DATEDIF(C364,B364,"d")=1," day"," days"))))</f>
      </c>
      <c r="E364" s="103"/>
      <c r="F364" s="103"/>
      <c r="G364" s="103"/>
      <c r="H364" s="103"/>
      <c r="I364" s="103"/>
      <c r="J364" s="104"/>
      <c r="K364" s="103"/>
      <c r="L364" s="103"/>
      <c r="M364" s="105" t="str">
        <f>IFERROR(VLOOKUP(G364,Reference!$I$2:$J$175,2,FALSE()),"Operations")</f>
        <v>Operations</v>
      </c>
    </row>
    <row r="365" spans="1:13" ht="15" customHeight="1" x14ac:dyDescent="0.25">
      <c r="A365" s="100"/>
      <c r="B365" s="101"/>
      <c r="C365" s="101"/>
      <c r="D365" s="100">
        <f>IF(OR(B365="",C365=""),"",IF(DATEDIF(C365,B365,"y")&gt;=1,DATEDIF(C365,B365,"y")&amp;IF(DATEDIF(C365,B365,"y")=1," year "," years ")&amp;DATEDIF(C365,B365,"ym")&amp;IF(DATEDIF(C365,B365,"ym")=1," month"," months"),IF(DATEDIF(C365,B365,"m")&gt;=1,DATEDIF(C365,B365,"m")&amp;IF(DATEDIF(C365,B365,"m")=1," month"," months"),DATEDIF(C365,B365,"d")&amp;IF(DATEDIF(C365,B365,"d")=1," day"," days"))))</f>
      </c>
      <c r="E365" s="100"/>
      <c r="F365" s="100"/>
      <c r="G365" s="100"/>
      <c r="H365" s="100"/>
      <c r="I365" s="100"/>
      <c r="J365" s="101"/>
      <c r="K365" s="100"/>
      <c r="L365" s="100"/>
      <c r="M365" s="102" t="str">
        <f>IFERROR(VLOOKUP(G365,Reference!$I$2:$J$175,2,FALSE()),"Operations")</f>
        <v>Operations</v>
      </c>
    </row>
    <row r="366" spans="1:13" ht="15" customHeight="1" x14ac:dyDescent="0.25">
      <c r="A366" s="103"/>
      <c r="B366" s="104"/>
      <c r="C366" s="104"/>
      <c r="D366" s="103">
        <f>IF(OR(B366="",C366=""),"",IF(DATEDIF(C366,B366,"y")&gt;=1,DATEDIF(C366,B366,"y")&amp;IF(DATEDIF(C366,B366,"y")=1," year "," years ")&amp;DATEDIF(C366,B366,"ym")&amp;IF(DATEDIF(C366,B366,"ym")=1," month"," months"),IF(DATEDIF(C366,B366,"m")&gt;=1,DATEDIF(C366,B366,"m")&amp;IF(DATEDIF(C366,B366,"m")=1," month"," months"),DATEDIF(C366,B366,"d")&amp;IF(DATEDIF(C366,B366,"d")=1," day"," days"))))</f>
      </c>
      <c r="E366" s="103"/>
      <c r="F366" s="103"/>
      <c r="G366" s="103"/>
      <c r="H366" s="103"/>
      <c r="I366" s="103"/>
      <c r="J366" s="104"/>
      <c r="K366" s="103"/>
      <c r="L366" s="103"/>
      <c r="M366" s="105" t="str">
        <f>IFERROR(VLOOKUP(G366,Reference!$I$2:$J$175,2,FALSE()),"Operations")</f>
        <v>Operations</v>
      </c>
    </row>
    <row r="367" spans="1:13" ht="15" customHeight="1" x14ac:dyDescent="0.25">
      <c r="A367" s="100"/>
      <c r="B367" s="101"/>
      <c r="C367" s="101"/>
      <c r="D367" s="100">
        <f>IF(OR(B367="",C367=""),"",IF(DATEDIF(C367,B367,"y")&gt;=1,DATEDIF(C367,B367,"y")&amp;IF(DATEDIF(C367,B367,"y")=1," year "," years ")&amp;DATEDIF(C367,B367,"ym")&amp;IF(DATEDIF(C367,B367,"ym")=1," month"," months"),IF(DATEDIF(C367,B367,"m")&gt;=1,DATEDIF(C367,B367,"m")&amp;IF(DATEDIF(C367,B367,"m")=1," month"," months"),DATEDIF(C367,B367,"d")&amp;IF(DATEDIF(C367,B367,"d")=1," day"," days"))))</f>
      </c>
      <c r="E367" s="100"/>
      <c r="F367" s="100"/>
      <c r="G367" s="100"/>
      <c r="H367" s="100"/>
      <c r="I367" s="100"/>
      <c r="J367" s="101"/>
      <c r="K367" s="100"/>
      <c r="L367" s="100"/>
      <c r="M367" s="102" t="str">
        <f>IFERROR(VLOOKUP(G367,Reference!$I$2:$J$175,2,FALSE()),"Operations")</f>
        <v>Operations</v>
      </c>
    </row>
    <row r="368" spans="1:13" ht="15" customHeight="1" x14ac:dyDescent="0.25">
      <c r="A368" s="103"/>
      <c r="B368" s="104"/>
      <c r="C368" s="104"/>
      <c r="D368" s="103">
        <f>IF(OR(B368="",C368=""),"",IF(DATEDIF(C368,B368,"y")&gt;=1,DATEDIF(C368,B368,"y")&amp;IF(DATEDIF(C368,B368,"y")=1," year "," years ")&amp;DATEDIF(C368,B368,"ym")&amp;IF(DATEDIF(C368,B368,"ym")=1," month"," months"),IF(DATEDIF(C368,B368,"m")&gt;=1,DATEDIF(C368,B368,"m")&amp;IF(DATEDIF(C368,B368,"m")=1," month"," months"),DATEDIF(C368,B368,"d")&amp;IF(DATEDIF(C368,B368,"d")=1," day"," days"))))</f>
      </c>
      <c r="E368" s="103"/>
      <c r="F368" s="103"/>
      <c r="G368" s="103"/>
      <c r="H368" s="103"/>
      <c r="I368" s="103"/>
      <c r="J368" s="104"/>
      <c r="K368" s="103"/>
      <c r="L368" s="103"/>
      <c r="M368" s="105" t="str">
        <f>IFERROR(VLOOKUP(G368,Reference!$I$2:$J$175,2,FALSE()),"Operations")</f>
        <v>Operations</v>
      </c>
    </row>
    <row r="369" spans="1:13" ht="15" customHeight="1" x14ac:dyDescent="0.25">
      <c r="A369" s="100"/>
      <c r="B369" s="101"/>
      <c r="C369" s="101"/>
      <c r="D369" s="100">
        <f>IF(OR(B369="",C369=""),"",IF(DATEDIF(C369,B369,"y")&gt;=1,DATEDIF(C369,B369,"y")&amp;IF(DATEDIF(C369,B369,"y")=1," year "," years ")&amp;DATEDIF(C369,B369,"ym")&amp;IF(DATEDIF(C369,B369,"ym")=1," month"," months"),IF(DATEDIF(C369,B369,"m")&gt;=1,DATEDIF(C369,B369,"m")&amp;IF(DATEDIF(C369,B369,"m")=1," month"," months"),DATEDIF(C369,B369,"d")&amp;IF(DATEDIF(C369,B369,"d")=1," day"," days"))))</f>
      </c>
      <c r="E369" s="100"/>
      <c r="F369" s="100"/>
      <c r="G369" s="100"/>
      <c r="H369" s="100"/>
      <c r="I369" s="100"/>
      <c r="J369" s="101"/>
      <c r="K369" s="100"/>
      <c r="L369" s="100"/>
      <c r="M369" s="102" t="str">
        <f>IFERROR(VLOOKUP(G369,Reference!$I$2:$J$175,2,FALSE()),"Operations")</f>
        <v>Operations</v>
      </c>
    </row>
    <row r="370" spans="1:13" ht="15" customHeight="1" x14ac:dyDescent="0.25">
      <c r="A370" s="103"/>
      <c r="B370" s="104"/>
      <c r="C370" s="104"/>
      <c r="D370" s="103">
        <f>IF(OR(B370="",C370=""),"",IF(DATEDIF(C370,B370,"y")&gt;=1,DATEDIF(C370,B370,"y")&amp;IF(DATEDIF(C370,B370,"y")=1," year "," years ")&amp;DATEDIF(C370,B370,"ym")&amp;IF(DATEDIF(C370,B370,"ym")=1," month"," months"),IF(DATEDIF(C370,B370,"m")&gt;=1,DATEDIF(C370,B370,"m")&amp;IF(DATEDIF(C370,B370,"m")=1," month"," months"),DATEDIF(C370,B370,"d")&amp;IF(DATEDIF(C370,B370,"d")=1," day"," days"))))</f>
      </c>
      <c r="E370" s="103"/>
      <c r="F370" s="103"/>
      <c r="G370" s="103"/>
      <c r="H370" s="103"/>
      <c r="I370" s="103"/>
      <c r="J370" s="104"/>
      <c r="K370" s="103"/>
      <c r="L370" s="103"/>
      <c r="M370" s="105" t="str">
        <f>IFERROR(VLOOKUP(G370,Reference!$I$2:$J$175,2,FALSE()),"Operations")</f>
        <v>Operations</v>
      </c>
    </row>
    <row r="371" spans="1:13" ht="15" customHeight="1" x14ac:dyDescent="0.25">
      <c r="A371" s="100"/>
      <c r="B371" s="101"/>
      <c r="C371" s="101"/>
      <c r="D371" s="100">
        <f>IF(OR(B371="",C371=""),"",IF(DATEDIF(C371,B371,"y")&gt;=1,DATEDIF(C371,B371,"y")&amp;IF(DATEDIF(C371,B371,"y")=1," year "," years ")&amp;DATEDIF(C371,B371,"ym")&amp;IF(DATEDIF(C371,B371,"ym")=1," month"," months"),IF(DATEDIF(C371,B371,"m")&gt;=1,DATEDIF(C371,B371,"m")&amp;IF(DATEDIF(C371,B371,"m")=1," month"," months"),DATEDIF(C371,B371,"d")&amp;IF(DATEDIF(C371,B371,"d")=1," day"," days"))))</f>
      </c>
      <c r="E371" s="100"/>
      <c r="F371" s="100"/>
      <c r="G371" s="100"/>
      <c r="H371" s="100"/>
      <c r="I371" s="100"/>
      <c r="J371" s="101"/>
      <c r="K371" s="100"/>
      <c r="L371" s="100"/>
      <c r="M371" s="102" t="str">
        <f>IFERROR(VLOOKUP(G371,Reference!$I$2:$J$175,2,FALSE()),"Operations")</f>
        <v>Operations</v>
      </c>
    </row>
    <row r="372" spans="1:13" ht="15" customHeight="1" x14ac:dyDescent="0.25">
      <c r="A372" s="103"/>
      <c r="B372" s="104"/>
      <c r="C372" s="104"/>
      <c r="D372" s="103">
        <f>IF(OR(B372="",C372=""),"",IF(DATEDIF(C372,B372,"y")&gt;=1,DATEDIF(C372,B372,"y")&amp;IF(DATEDIF(C372,B372,"y")=1," year "," years ")&amp;DATEDIF(C372,B372,"ym")&amp;IF(DATEDIF(C372,B372,"ym")=1," month"," months"),IF(DATEDIF(C372,B372,"m")&gt;=1,DATEDIF(C372,B372,"m")&amp;IF(DATEDIF(C372,B372,"m")=1," month"," months"),DATEDIF(C372,B372,"d")&amp;IF(DATEDIF(C372,B372,"d")=1," day"," days"))))</f>
      </c>
      <c r="E372" s="103"/>
      <c r="F372" s="103"/>
      <c r="G372" s="103"/>
      <c r="H372" s="103"/>
      <c r="I372" s="103"/>
      <c r="J372" s="104"/>
      <c r="K372" s="103"/>
      <c r="L372" s="103"/>
      <c r="M372" s="105" t="str">
        <f>IFERROR(VLOOKUP(G372,Reference!$I$2:$J$175,2,FALSE()),"Operations")</f>
        <v>Operations</v>
      </c>
    </row>
    <row r="373" spans="1:13" ht="15" customHeight="1" x14ac:dyDescent="0.25">
      <c r="A373" s="100"/>
      <c r="B373" s="101"/>
      <c r="C373" s="101"/>
      <c r="D373" s="100">
        <f>IF(OR(B373="",C373=""),"",IF(DATEDIF(C373,B373,"y")&gt;=1,DATEDIF(C373,B373,"y")&amp;IF(DATEDIF(C373,B373,"y")=1," year "," years ")&amp;DATEDIF(C373,B373,"ym")&amp;IF(DATEDIF(C373,B373,"ym")=1," month"," months"),IF(DATEDIF(C373,B373,"m")&gt;=1,DATEDIF(C373,B373,"m")&amp;IF(DATEDIF(C373,B373,"m")=1," month"," months"),DATEDIF(C373,B373,"d")&amp;IF(DATEDIF(C373,B373,"d")=1," day"," days"))))</f>
      </c>
      <c r="E373" s="100"/>
      <c r="F373" s="100"/>
      <c r="G373" s="100"/>
      <c r="H373" s="100"/>
      <c r="I373" s="100"/>
      <c r="J373" s="101"/>
      <c r="K373" s="100"/>
      <c r="L373" s="100"/>
      <c r="M373" s="102" t="str">
        <f>IFERROR(VLOOKUP(G373,Reference!$I$2:$J$175,2,FALSE()),"Operations")</f>
        <v>Operations</v>
      </c>
    </row>
    <row r="374" spans="1:13" ht="15" customHeight="1" x14ac:dyDescent="0.25">
      <c r="A374" s="103"/>
      <c r="B374" s="104"/>
      <c r="C374" s="104"/>
      <c r="D374" s="103">
        <f>IF(OR(B374="",C374=""),"",IF(DATEDIF(C374,B374,"y")&gt;=1,DATEDIF(C374,B374,"y")&amp;IF(DATEDIF(C374,B374,"y")=1," year "," years ")&amp;DATEDIF(C374,B374,"ym")&amp;IF(DATEDIF(C374,B374,"ym")=1," month"," months"),IF(DATEDIF(C374,B374,"m")&gt;=1,DATEDIF(C374,B374,"m")&amp;IF(DATEDIF(C374,B374,"m")=1," month"," months"),DATEDIF(C374,B374,"d")&amp;IF(DATEDIF(C374,B374,"d")=1," day"," days"))))</f>
      </c>
      <c r="E374" s="103"/>
      <c r="F374" s="103"/>
      <c r="G374" s="103"/>
      <c r="H374" s="103"/>
      <c r="I374" s="103"/>
      <c r="J374" s="104"/>
      <c r="K374" s="103"/>
      <c r="L374" s="103"/>
      <c r="M374" s="105" t="str">
        <f>IFERROR(VLOOKUP(G374,Reference!$I$2:$J$175,2,FALSE()),"Operations")</f>
        <v>Operations</v>
      </c>
    </row>
    <row r="375" spans="1:13" ht="15" customHeight="1" x14ac:dyDescent="0.25">
      <c r="A375" s="100"/>
      <c r="B375" s="101"/>
      <c r="C375" s="101"/>
      <c r="D375" s="100">
        <f>IF(OR(B375="",C375=""),"",IF(DATEDIF(C375,B375,"y")&gt;=1,DATEDIF(C375,B375,"y")&amp;IF(DATEDIF(C375,B375,"y")=1," year "," years ")&amp;DATEDIF(C375,B375,"ym")&amp;IF(DATEDIF(C375,B375,"ym")=1," month"," months"),IF(DATEDIF(C375,B375,"m")&gt;=1,DATEDIF(C375,B375,"m")&amp;IF(DATEDIF(C375,B375,"m")=1," month"," months"),DATEDIF(C375,B375,"d")&amp;IF(DATEDIF(C375,B375,"d")=1," day"," days"))))</f>
      </c>
      <c r="E375" s="100"/>
      <c r="F375" s="100"/>
      <c r="G375" s="100"/>
      <c r="H375" s="100"/>
      <c r="I375" s="100"/>
      <c r="J375" s="101"/>
      <c r="K375" s="100"/>
      <c r="L375" s="100"/>
      <c r="M375" s="102" t="str">
        <f>IFERROR(VLOOKUP(G375,Reference!$I$2:$J$175,2,FALSE()),"Operations")</f>
        <v>Operations</v>
      </c>
    </row>
    <row r="376" spans="1:13" ht="15" customHeight="1" x14ac:dyDescent="0.25">
      <c r="A376" s="103"/>
      <c r="B376" s="104"/>
      <c r="C376" s="104"/>
      <c r="D376" s="103">
        <f>IF(OR(B376="",C376=""),"",IF(DATEDIF(C376,B376,"y")&gt;=1,DATEDIF(C376,B376,"y")&amp;IF(DATEDIF(C376,B376,"y")=1," year "," years ")&amp;DATEDIF(C376,B376,"ym")&amp;IF(DATEDIF(C376,B376,"ym")=1," month"," months"),IF(DATEDIF(C376,B376,"m")&gt;=1,DATEDIF(C376,B376,"m")&amp;IF(DATEDIF(C376,B376,"m")=1," month"," months"),DATEDIF(C376,B376,"d")&amp;IF(DATEDIF(C376,B376,"d")=1," day"," days"))))</f>
      </c>
      <c r="E376" s="103"/>
      <c r="F376" s="103"/>
      <c r="G376" s="103"/>
      <c r="H376" s="103"/>
      <c r="I376" s="103"/>
      <c r="J376" s="104"/>
      <c r="K376" s="103"/>
      <c r="L376" s="103"/>
      <c r="M376" s="105" t="str">
        <f>IFERROR(VLOOKUP(G376,Reference!$I$2:$J$175,2,FALSE()),"Operations")</f>
        <v>Operations</v>
      </c>
    </row>
    <row r="377" spans="1:13" ht="15" customHeight="1" x14ac:dyDescent="0.25">
      <c r="A377" s="100"/>
      <c r="B377" s="101"/>
      <c r="C377" s="101"/>
      <c r="D377" s="100">
        <f>IF(OR(B377="",C377=""),"",IF(DATEDIF(C377,B377,"y")&gt;=1,DATEDIF(C377,B377,"y")&amp;IF(DATEDIF(C377,B377,"y")=1," year "," years ")&amp;DATEDIF(C377,B377,"ym")&amp;IF(DATEDIF(C377,B377,"ym")=1," month"," months"),IF(DATEDIF(C377,B377,"m")&gt;=1,DATEDIF(C377,B377,"m")&amp;IF(DATEDIF(C377,B377,"m")=1," month"," months"),DATEDIF(C377,B377,"d")&amp;IF(DATEDIF(C377,B377,"d")=1," day"," days"))))</f>
      </c>
      <c r="E377" s="100"/>
      <c r="F377" s="100"/>
      <c r="G377" s="100"/>
      <c r="H377" s="100"/>
      <c r="I377" s="100"/>
      <c r="J377" s="101"/>
      <c r="K377" s="100"/>
      <c r="L377" s="100"/>
      <c r="M377" s="102" t="str">
        <f>IFERROR(VLOOKUP(G377,Reference!$I$2:$J$175,2,FALSE()),"Operations")</f>
        <v>Operations</v>
      </c>
    </row>
    <row r="378" spans="1:13" ht="15" customHeight="1" x14ac:dyDescent="0.25">
      <c r="A378" s="103"/>
      <c r="B378" s="104"/>
      <c r="C378" s="104"/>
      <c r="D378" s="103">
        <f>IF(OR(B378="",C378=""),"",IF(DATEDIF(C378,B378,"y")&gt;=1,DATEDIF(C378,B378,"y")&amp;IF(DATEDIF(C378,B378,"y")=1," year "," years ")&amp;DATEDIF(C378,B378,"ym")&amp;IF(DATEDIF(C378,B378,"ym")=1," month"," months"),IF(DATEDIF(C378,B378,"m")&gt;=1,DATEDIF(C378,B378,"m")&amp;IF(DATEDIF(C378,B378,"m")=1," month"," months"),DATEDIF(C378,B378,"d")&amp;IF(DATEDIF(C378,B378,"d")=1," day"," days"))))</f>
      </c>
      <c r="E378" s="103"/>
      <c r="F378" s="103"/>
      <c r="G378" s="103"/>
      <c r="H378" s="103"/>
      <c r="I378" s="103"/>
      <c r="J378" s="104"/>
      <c r="K378" s="103"/>
      <c r="L378" s="103"/>
      <c r="M378" s="105" t="str">
        <f>IFERROR(VLOOKUP(G378,Reference!$I$2:$J$175,2,FALSE()),"Operations")</f>
        <v>Operations</v>
      </c>
    </row>
    <row r="379" spans="1:13" ht="15" customHeight="1" x14ac:dyDescent="0.25">
      <c r="A379" s="106" t="s">
        <v>163</v>
      </c>
      <c r="B379" s="107">
        <f>COUNTA(A349:A378)</f>
        <v>10</v>
      </c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</row>
    <row r="380" spans="1:13" ht="6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</row>
    <row r="381" spans="1:13" ht="21.75" customHeight="1" x14ac:dyDescent="0.25">
      <c r="A381" s="163" t="s">
        <v>987</v>
      </c>
      <c r="B381" s="163"/>
      <c r="C381" s="163"/>
      <c r="D381" s="163"/>
      <c r="E381" s="163"/>
      <c r="F381" s="163"/>
      <c r="G381" s="163"/>
      <c r="H381" s="163"/>
      <c r="I381" s="163"/>
      <c r="J381" s="163"/>
      <c r="K381" s="163"/>
      <c r="L381" s="163"/>
      <c r="M381" s="163"/>
    </row>
    <row r="382" spans="1:13" ht="19.5" customHeight="1" x14ac:dyDescent="0.25">
      <c r="A382" s="64" t="s">
        <v>151</v>
      </c>
      <c r="B382" s="64" t="s">
        <v>152</v>
      </c>
      <c r="C382" s="64" t="s">
        <v>153</v>
      </c>
      <c r="D382" s="64" t="s">
        <v>154</v>
      </c>
      <c r="E382" s="64" t="s">
        <v>155</v>
      </c>
      <c r="F382" s="64" t="s">
        <v>156</v>
      </c>
      <c r="G382" s="64" t="s">
        <v>157</v>
      </c>
      <c r="H382" s="64" t="s">
        <v>158</v>
      </c>
      <c r="I382" s="64" t="s">
        <v>159</v>
      </c>
      <c r="J382" s="64" t="s">
        <v>160</v>
      </c>
      <c r="K382" s="64" t="s">
        <v>134</v>
      </c>
      <c r="L382" s="64" t="s">
        <v>161</v>
      </c>
      <c r="M382" s="64" t="s">
        <v>162</v>
      </c>
    </row>
    <row r="383" spans="1:13" ht="15" customHeight="1" x14ac:dyDescent="0.25">
      <c r="A383" s="77" t="s">
        <v>988</v>
      </c>
      <c r="B383" s="77"/>
      <c r="C383" s="77"/>
      <c r="D383" s="77" t="s">
        <v>713</v>
      </c>
      <c r="E383" s="77" t="s">
        <v>179</v>
      </c>
      <c r="F383" s="77" t="s">
        <v>191</v>
      </c>
      <c r="G383" s="77" t="s">
        <v>475</v>
      </c>
      <c r="H383" s="77" t="s">
        <v>58</v>
      </c>
      <c r="I383" s="77" t="s">
        <v>182</v>
      </c>
      <c r="J383" s="77"/>
      <c r="K383" s="77" t="s">
        <v>66</v>
      </c>
      <c r="L383" s="77"/>
      <c r="M383" s="102" t="str">
        <f>IFERROR(VLOOKUP(G383,Reference!$I$2:$J$175,2,FALSE()),"Operations")</f>
        <v>Operations</v>
      </c>
    </row>
    <row r="384" spans="1:13" ht="15" customHeight="1" x14ac:dyDescent="0.25">
      <c r="A384" s="80" t="s">
        <v>989</v>
      </c>
      <c r="B384" s="80"/>
      <c r="C384" s="80"/>
      <c r="D384" s="80" t="s">
        <v>990</v>
      </c>
      <c r="E384" s="80" t="s">
        <v>184</v>
      </c>
      <c r="F384" s="80" t="s">
        <v>191</v>
      </c>
      <c r="G384" s="80" t="s">
        <v>604</v>
      </c>
      <c r="H384" s="80" t="s">
        <v>62</v>
      </c>
      <c r="I384" s="80" t="s">
        <v>657</v>
      </c>
      <c r="J384" s="80"/>
      <c r="K384" s="80" t="s">
        <v>66</v>
      </c>
      <c r="L384" s="80"/>
      <c r="M384" s="105" t="str">
        <f>IFERROR(VLOOKUP(G384,Reference!$I$2:$J$175,2,FALSE()),"Operations")</f>
        <v>Operations</v>
      </c>
    </row>
    <row r="385" spans="1:13" ht="15" customHeight="1" x14ac:dyDescent="0.25">
      <c r="A385" s="77" t="s">
        <v>991</v>
      </c>
      <c r="B385" s="77"/>
      <c r="C385" s="77"/>
      <c r="D385" s="77" t="s">
        <v>597</v>
      </c>
      <c r="E385" s="77" t="s">
        <v>184</v>
      </c>
      <c r="F385" s="77" t="s">
        <v>191</v>
      </c>
      <c r="G385" s="77" t="s">
        <v>535</v>
      </c>
      <c r="H385" s="77" t="s">
        <v>56</v>
      </c>
      <c r="I385" s="77" t="s">
        <v>182</v>
      </c>
      <c r="J385" s="77"/>
      <c r="K385" s="77" t="s">
        <v>66</v>
      </c>
      <c r="L385" s="77"/>
      <c r="M385" s="102" t="str">
        <f>IFERROR(VLOOKUP(G385,Reference!$I$2:$J$175,2,FALSE()),"Operations")</f>
        <v>Operations</v>
      </c>
    </row>
    <row r="386" spans="1:13" ht="15" customHeight="1" x14ac:dyDescent="0.25">
      <c r="A386" s="80" t="s">
        <v>992</v>
      </c>
      <c r="B386" s="80"/>
      <c r="C386" s="80"/>
      <c r="D386" s="80" t="s">
        <v>313</v>
      </c>
      <c r="E386" s="80" t="s">
        <v>179</v>
      </c>
      <c r="F386" s="80" t="s">
        <v>191</v>
      </c>
      <c r="G386" s="80" t="s">
        <v>199</v>
      </c>
      <c r="H386" s="80" t="s">
        <v>69</v>
      </c>
      <c r="I386" s="80" t="s">
        <v>205</v>
      </c>
      <c r="J386" s="80"/>
      <c r="K386" s="80" t="s">
        <v>66</v>
      </c>
      <c r="L386" s="80"/>
      <c r="M386" s="105" t="str">
        <f>IFERROR(VLOOKUP(G386,Reference!$I$2:$J$175,2,FALSE()),"Operations")</f>
        <v>Operations</v>
      </c>
    </row>
    <row r="387" spans="1:13" ht="15" customHeight="1" x14ac:dyDescent="0.25">
      <c r="A387" s="77" t="s">
        <v>993</v>
      </c>
      <c r="B387" s="77"/>
      <c r="C387" s="77"/>
      <c r="D387" s="77" t="s">
        <v>713</v>
      </c>
      <c r="E387" s="77" t="s">
        <v>184</v>
      </c>
      <c r="F387" s="77" t="s">
        <v>191</v>
      </c>
      <c r="G387" s="77" t="s">
        <v>778</v>
      </c>
      <c r="H387" s="77" t="s">
        <v>58</v>
      </c>
      <c r="I387" s="77" t="s">
        <v>389</v>
      </c>
      <c r="J387" s="77"/>
      <c r="K387" s="77" t="s">
        <v>70</v>
      </c>
      <c r="L387" s="77"/>
      <c r="M387" s="102" t="str">
        <f>IFERROR(VLOOKUP(G387,Reference!$I$2:$J$175,2,FALSE()),"Operations")</f>
        <v>Operations</v>
      </c>
    </row>
    <row r="388" spans="1:13" ht="15" customHeight="1" x14ac:dyDescent="0.25">
      <c r="A388" s="80" t="s">
        <v>994</v>
      </c>
      <c r="B388" s="80"/>
      <c r="C388" s="80"/>
      <c r="D388" s="80" t="s">
        <v>318</v>
      </c>
      <c r="E388" s="80" t="s">
        <v>184</v>
      </c>
      <c r="F388" s="80" t="s">
        <v>191</v>
      </c>
      <c r="G388" s="80" t="s">
        <v>995</v>
      </c>
      <c r="H388" s="80" t="s">
        <v>56</v>
      </c>
      <c r="I388" s="80" t="s">
        <v>632</v>
      </c>
      <c r="J388" s="80"/>
      <c r="K388" s="80" t="s">
        <v>66</v>
      </c>
      <c r="L388" s="80"/>
      <c r="M388" s="105" t="str">
        <f>IFERROR(VLOOKUP(G388,Reference!$I$2:$J$175,2,FALSE()),"Operations")</f>
        <v>Operations</v>
      </c>
    </row>
    <row r="389" spans="1:13" ht="15" customHeight="1" x14ac:dyDescent="0.25">
      <c r="A389" s="77" t="s">
        <v>996</v>
      </c>
      <c r="B389" s="77"/>
      <c r="C389" s="77"/>
      <c r="D389" s="77" t="s">
        <v>313</v>
      </c>
      <c r="E389" s="77" t="s">
        <v>179</v>
      </c>
      <c r="F389" s="77" t="s">
        <v>191</v>
      </c>
      <c r="G389" s="77" t="s">
        <v>613</v>
      </c>
      <c r="H389" s="77" t="s">
        <v>69</v>
      </c>
      <c r="I389" s="77" t="s">
        <v>235</v>
      </c>
      <c r="J389" s="77"/>
      <c r="K389" s="77" t="s">
        <v>66</v>
      </c>
      <c r="L389" s="77"/>
      <c r="M389" s="102" t="str">
        <f>IFERROR(VLOOKUP(G389,Reference!$I$2:$J$175,2,FALSE()),"Operations")</f>
        <v>Operations</v>
      </c>
    </row>
    <row r="390" spans="1:13" ht="15" customHeight="1" x14ac:dyDescent="0.25">
      <c r="A390" s="80" t="s">
        <v>997</v>
      </c>
      <c r="B390" s="80"/>
      <c r="C390" s="80"/>
      <c r="D390" s="80" t="s">
        <v>597</v>
      </c>
      <c r="E390" s="80" t="s">
        <v>179</v>
      </c>
      <c r="F390" s="80" t="s">
        <v>191</v>
      </c>
      <c r="G390" s="80" t="s">
        <v>535</v>
      </c>
      <c r="H390" s="80" t="s">
        <v>77</v>
      </c>
      <c r="I390" s="80" t="s">
        <v>182</v>
      </c>
      <c r="J390" s="80"/>
      <c r="K390" s="80" t="s">
        <v>66</v>
      </c>
      <c r="L390" s="80"/>
      <c r="M390" s="105" t="str">
        <f>IFERROR(VLOOKUP(G390,Reference!$I$2:$J$175,2,FALSE()),"Operations")</f>
        <v>Operations</v>
      </c>
    </row>
    <row r="391" spans="1:13" ht="15" customHeight="1" x14ac:dyDescent="0.25">
      <c r="A391" s="77" t="s">
        <v>998</v>
      </c>
      <c r="B391" s="77"/>
      <c r="C391" s="77"/>
      <c r="D391" s="77" t="s">
        <v>344</v>
      </c>
      <c r="E391" s="77" t="s">
        <v>184</v>
      </c>
      <c r="F391" s="77" t="s">
        <v>191</v>
      </c>
      <c r="G391" s="77" t="s">
        <v>310</v>
      </c>
      <c r="H391" s="77" t="s">
        <v>60</v>
      </c>
      <c r="I391" s="77" t="s">
        <v>235</v>
      </c>
      <c r="J391" s="77"/>
      <c r="K391" s="77" t="s">
        <v>66</v>
      </c>
      <c r="L391" s="77"/>
      <c r="M391" s="102" t="str">
        <f>IFERROR(VLOOKUP(G391,Reference!$I$2:$J$175,2,FALSE()),"Operations")</f>
        <v>Operations</v>
      </c>
    </row>
    <row r="392" spans="1:13" ht="15" customHeight="1" x14ac:dyDescent="0.25">
      <c r="A392" s="103"/>
      <c r="B392" s="104"/>
      <c r="C392" s="104"/>
      <c r="D392" s="103">
        <f>IF(OR(B392="",C392=""),"",IF(DATEDIF(C392,B392,"y")&gt;=1,DATEDIF(C392,B392,"y")&amp;IF(DATEDIF(C392,B392,"y")=1," year "," years ")&amp;DATEDIF(C392,B392,"ym")&amp;IF(DATEDIF(C392,B392,"ym")=1," month"," months"),IF(DATEDIF(C392,B392,"m")&gt;=1,DATEDIF(C392,B392,"m")&amp;IF(DATEDIF(C392,B392,"m")=1," month"," months"),DATEDIF(C392,B392,"d")&amp;IF(DATEDIF(C392,B392,"d")=1," day"," days"))))</f>
      </c>
      <c r="E392" s="103"/>
      <c r="F392" s="103"/>
      <c r="G392" s="103"/>
      <c r="H392" s="103"/>
      <c r="I392" s="103"/>
      <c r="J392" s="104"/>
      <c r="K392" s="103"/>
      <c r="L392" s="103"/>
      <c r="M392" s="105" t="str">
        <f>IFERROR(VLOOKUP(G392,Reference!$I$2:$J$175,2,FALSE()),"Operations")</f>
        <v>Operations</v>
      </c>
    </row>
    <row r="393" spans="1:13" ht="15" customHeight="1" x14ac:dyDescent="0.25">
      <c r="A393" s="100"/>
      <c r="B393" s="101"/>
      <c r="C393" s="101"/>
      <c r="D393" s="100">
        <f>IF(OR(B393="",C393=""),"",IF(DATEDIF(C393,B393,"y")&gt;=1,DATEDIF(C393,B393,"y")&amp;IF(DATEDIF(C393,B393,"y")=1," year "," years ")&amp;DATEDIF(C393,B393,"ym")&amp;IF(DATEDIF(C393,B393,"ym")=1," month"," months"),IF(DATEDIF(C393,B393,"m")&gt;=1,DATEDIF(C393,B393,"m")&amp;IF(DATEDIF(C393,B393,"m")=1," month"," months"),DATEDIF(C393,B393,"d")&amp;IF(DATEDIF(C393,B393,"d")=1," day"," days"))))</f>
      </c>
      <c r="E393" s="100"/>
      <c r="F393" s="100"/>
      <c r="G393" s="100"/>
      <c r="H393" s="100"/>
      <c r="I393" s="100"/>
      <c r="J393" s="101"/>
      <c r="K393" s="100"/>
      <c r="L393" s="100"/>
      <c r="M393" s="102" t="str">
        <f>IFERROR(VLOOKUP(G393,Reference!$I$2:$J$175,2,FALSE()),"Operations")</f>
        <v>Operations</v>
      </c>
    </row>
    <row r="394" spans="1:13" ht="15" customHeight="1" x14ac:dyDescent="0.25">
      <c r="A394" s="103"/>
      <c r="B394" s="104"/>
      <c r="C394" s="104"/>
      <c r="D394" s="103">
        <f>IF(OR(B394="",C394=""),"",IF(DATEDIF(C394,B394,"y")&gt;=1,DATEDIF(C394,B394,"y")&amp;IF(DATEDIF(C394,B394,"y")=1," year "," years ")&amp;DATEDIF(C394,B394,"ym")&amp;IF(DATEDIF(C394,B394,"ym")=1," month"," months"),IF(DATEDIF(C394,B394,"m")&gt;=1,DATEDIF(C394,B394,"m")&amp;IF(DATEDIF(C394,B394,"m")=1," month"," months"),DATEDIF(C394,B394,"d")&amp;IF(DATEDIF(C394,B394,"d")=1," day"," days"))))</f>
      </c>
      <c r="E394" s="103"/>
      <c r="F394" s="103"/>
      <c r="G394" s="103"/>
      <c r="H394" s="103"/>
      <c r="I394" s="103"/>
      <c r="J394" s="104"/>
      <c r="K394" s="103"/>
      <c r="L394" s="103"/>
      <c r="M394" s="105" t="str">
        <f>IFERROR(VLOOKUP(G394,Reference!$I$2:$J$175,2,FALSE()),"Operations")</f>
        <v>Operations</v>
      </c>
    </row>
    <row r="395" spans="1:13" ht="15" customHeight="1" x14ac:dyDescent="0.25">
      <c r="A395" s="100"/>
      <c r="B395" s="101"/>
      <c r="C395" s="101"/>
      <c r="D395" s="100">
        <f>IF(OR(B395="",C395=""),"",IF(DATEDIF(C395,B395,"y")&gt;=1,DATEDIF(C395,B395,"y")&amp;IF(DATEDIF(C395,B395,"y")=1," year "," years ")&amp;DATEDIF(C395,B395,"ym")&amp;IF(DATEDIF(C395,B395,"ym")=1," month"," months"),IF(DATEDIF(C395,B395,"m")&gt;=1,DATEDIF(C395,B395,"m")&amp;IF(DATEDIF(C395,B395,"m")=1," month"," months"),DATEDIF(C395,B395,"d")&amp;IF(DATEDIF(C395,B395,"d")=1," day"," days"))))</f>
      </c>
      <c r="E395" s="100"/>
      <c r="F395" s="100"/>
      <c r="G395" s="100"/>
      <c r="H395" s="100"/>
      <c r="I395" s="100"/>
      <c r="J395" s="101"/>
      <c r="K395" s="100"/>
      <c r="L395" s="100"/>
      <c r="M395" s="102" t="str">
        <f>IFERROR(VLOOKUP(G395,Reference!$I$2:$J$175,2,FALSE()),"Operations")</f>
        <v>Operations</v>
      </c>
    </row>
    <row r="396" spans="1:13" ht="15" customHeight="1" x14ac:dyDescent="0.25">
      <c r="A396" s="103"/>
      <c r="B396" s="104"/>
      <c r="C396" s="104"/>
      <c r="D396" s="103">
        <f>IF(OR(B396="",C396=""),"",IF(DATEDIF(C396,B396,"y")&gt;=1,DATEDIF(C396,B396,"y")&amp;IF(DATEDIF(C396,B396,"y")=1," year "," years ")&amp;DATEDIF(C396,B396,"ym")&amp;IF(DATEDIF(C396,B396,"ym")=1," month"," months"),IF(DATEDIF(C396,B396,"m")&gt;=1,DATEDIF(C396,B396,"m")&amp;IF(DATEDIF(C396,B396,"m")=1," month"," months"),DATEDIF(C396,B396,"d")&amp;IF(DATEDIF(C396,B396,"d")=1," day"," days"))))</f>
      </c>
      <c r="E396" s="103"/>
      <c r="F396" s="103"/>
      <c r="G396" s="103"/>
      <c r="H396" s="103"/>
      <c r="I396" s="103"/>
      <c r="J396" s="104"/>
      <c r="K396" s="103"/>
      <c r="L396" s="103"/>
      <c r="M396" s="105" t="str">
        <f>IFERROR(VLOOKUP(G396,Reference!$I$2:$J$175,2,FALSE()),"Operations")</f>
        <v>Operations</v>
      </c>
    </row>
    <row r="397" spans="1:13" ht="15" customHeight="1" x14ac:dyDescent="0.25">
      <c r="A397" s="100"/>
      <c r="B397" s="101"/>
      <c r="C397" s="101"/>
      <c r="D397" s="100">
        <f>IF(OR(B397="",C397=""),"",IF(DATEDIF(C397,B397,"y")&gt;=1,DATEDIF(C397,B397,"y")&amp;IF(DATEDIF(C397,B397,"y")=1," year "," years ")&amp;DATEDIF(C397,B397,"ym")&amp;IF(DATEDIF(C397,B397,"ym")=1," month"," months"),IF(DATEDIF(C397,B397,"m")&gt;=1,DATEDIF(C397,B397,"m")&amp;IF(DATEDIF(C397,B397,"m")=1," month"," months"),DATEDIF(C397,B397,"d")&amp;IF(DATEDIF(C397,B397,"d")=1," day"," days"))))</f>
      </c>
      <c r="E397" s="100"/>
      <c r="F397" s="100"/>
      <c r="G397" s="100"/>
      <c r="H397" s="100"/>
      <c r="I397" s="100"/>
      <c r="J397" s="101"/>
      <c r="K397" s="100"/>
      <c r="L397" s="100"/>
      <c r="M397" s="102" t="str">
        <f>IFERROR(VLOOKUP(G397,Reference!$I$2:$J$175,2,FALSE()),"Operations")</f>
        <v>Operations</v>
      </c>
    </row>
    <row r="398" spans="1:13" ht="15" customHeight="1" x14ac:dyDescent="0.25">
      <c r="A398" s="103"/>
      <c r="B398" s="104"/>
      <c r="C398" s="104"/>
      <c r="D398" s="103">
        <f>IF(OR(B398="",C398=""),"",IF(DATEDIF(C398,B398,"y")&gt;=1,DATEDIF(C398,B398,"y")&amp;IF(DATEDIF(C398,B398,"y")=1," year "," years ")&amp;DATEDIF(C398,B398,"ym")&amp;IF(DATEDIF(C398,B398,"ym")=1," month"," months"),IF(DATEDIF(C398,B398,"m")&gt;=1,DATEDIF(C398,B398,"m")&amp;IF(DATEDIF(C398,B398,"m")=1," month"," months"),DATEDIF(C398,B398,"d")&amp;IF(DATEDIF(C398,B398,"d")=1," day"," days"))))</f>
      </c>
      <c r="E398" s="103"/>
      <c r="F398" s="103"/>
      <c r="G398" s="103"/>
      <c r="H398" s="103"/>
      <c r="I398" s="103"/>
      <c r="J398" s="104"/>
      <c r="K398" s="103"/>
      <c r="L398" s="103"/>
      <c r="M398" s="105" t="str">
        <f>IFERROR(VLOOKUP(G398,Reference!$I$2:$J$175,2,FALSE()),"Operations")</f>
        <v>Operations</v>
      </c>
    </row>
    <row r="399" spans="1:13" ht="15" customHeight="1" x14ac:dyDescent="0.25">
      <c r="A399" s="100"/>
      <c r="B399" s="101"/>
      <c r="C399" s="101"/>
      <c r="D399" s="100">
        <f>IF(OR(B399="",C399=""),"",IF(DATEDIF(C399,B399,"y")&gt;=1,DATEDIF(C399,B399,"y")&amp;IF(DATEDIF(C399,B399,"y")=1," year "," years ")&amp;DATEDIF(C399,B399,"ym")&amp;IF(DATEDIF(C399,B399,"ym")=1," month"," months"),IF(DATEDIF(C399,B399,"m")&gt;=1,DATEDIF(C399,B399,"m")&amp;IF(DATEDIF(C399,B399,"m")=1," month"," months"),DATEDIF(C399,B399,"d")&amp;IF(DATEDIF(C399,B399,"d")=1," day"," days"))))</f>
      </c>
      <c r="E399" s="100"/>
      <c r="F399" s="100"/>
      <c r="G399" s="100"/>
      <c r="H399" s="100"/>
      <c r="I399" s="100"/>
      <c r="J399" s="101"/>
      <c r="K399" s="100"/>
      <c r="L399" s="100"/>
      <c r="M399" s="102" t="str">
        <f>IFERROR(VLOOKUP(G399,Reference!$I$2:$J$175,2,FALSE()),"Operations")</f>
        <v>Operations</v>
      </c>
    </row>
    <row r="400" spans="1:13" ht="15" customHeight="1" x14ac:dyDescent="0.25">
      <c r="A400" s="103"/>
      <c r="B400" s="104"/>
      <c r="C400" s="104"/>
      <c r="D400" s="103">
        <f>IF(OR(B400="",C400=""),"",IF(DATEDIF(C400,B400,"y")&gt;=1,DATEDIF(C400,B400,"y")&amp;IF(DATEDIF(C400,B400,"y")=1," year "," years ")&amp;DATEDIF(C400,B400,"ym")&amp;IF(DATEDIF(C400,B400,"ym")=1," month"," months"),IF(DATEDIF(C400,B400,"m")&gt;=1,DATEDIF(C400,B400,"m")&amp;IF(DATEDIF(C400,B400,"m")=1," month"," months"),DATEDIF(C400,B400,"d")&amp;IF(DATEDIF(C400,B400,"d")=1," day"," days"))))</f>
      </c>
      <c r="E400" s="103"/>
      <c r="F400" s="103"/>
      <c r="G400" s="103"/>
      <c r="H400" s="103"/>
      <c r="I400" s="103"/>
      <c r="J400" s="104"/>
      <c r="K400" s="103"/>
      <c r="L400" s="103"/>
      <c r="M400" s="105" t="str">
        <f>IFERROR(VLOOKUP(G400,Reference!$I$2:$J$175,2,FALSE()),"Operations")</f>
        <v>Operations</v>
      </c>
    </row>
    <row r="401" spans="1:13" ht="15" customHeight="1" x14ac:dyDescent="0.25">
      <c r="A401" s="100"/>
      <c r="B401" s="101"/>
      <c r="C401" s="101"/>
      <c r="D401" s="100">
        <f>IF(OR(B401="",C401=""),"",IF(DATEDIF(C401,B401,"y")&gt;=1,DATEDIF(C401,B401,"y")&amp;IF(DATEDIF(C401,B401,"y")=1," year "," years ")&amp;DATEDIF(C401,B401,"ym")&amp;IF(DATEDIF(C401,B401,"ym")=1," month"," months"),IF(DATEDIF(C401,B401,"m")&gt;=1,DATEDIF(C401,B401,"m")&amp;IF(DATEDIF(C401,B401,"m")=1," month"," months"),DATEDIF(C401,B401,"d")&amp;IF(DATEDIF(C401,B401,"d")=1," day"," days"))))</f>
      </c>
      <c r="E401" s="100"/>
      <c r="F401" s="100"/>
      <c r="G401" s="100"/>
      <c r="H401" s="100"/>
      <c r="I401" s="100"/>
      <c r="J401" s="101"/>
      <c r="K401" s="100"/>
      <c r="L401" s="100"/>
      <c r="M401" s="102" t="str">
        <f>IFERROR(VLOOKUP(G401,Reference!$I$2:$J$175,2,FALSE()),"Operations")</f>
        <v>Operations</v>
      </c>
    </row>
    <row r="402" spans="1:13" ht="15" customHeight="1" x14ac:dyDescent="0.25">
      <c r="A402" s="103"/>
      <c r="B402" s="104"/>
      <c r="C402" s="104"/>
      <c r="D402" s="103">
        <f>IF(OR(B402="",C402=""),"",IF(DATEDIF(C402,B402,"y")&gt;=1,DATEDIF(C402,B402,"y")&amp;IF(DATEDIF(C402,B402,"y")=1," year "," years ")&amp;DATEDIF(C402,B402,"ym")&amp;IF(DATEDIF(C402,B402,"ym")=1," month"," months"),IF(DATEDIF(C402,B402,"m")&gt;=1,DATEDIF(C402,B402,"m")&amp;IF(DATEDIF(C402,B402,"m")=1," month"," months"),DATEDIF(C402,B402,"d")&amp;IF(DATEDIF(C402,B402,"d")=1," day"," days"))))</f>
      </c>
      <c r="E402" s="103"/>
      <c r="F402" s="103"/>
      <c r="G402" s="103"/>
      <c r="H402" s="103"/>
      <c r="I402" s="103"/>
      <c r="J402" s="104"/>
      <c r="K402" s="103"/>
      <c r="L402" s="103"/>
      <c r="M402" s="105" t="str">
        <f>IFERROR(VLOOKUP(G402,Reference!$I$2:$J$175,2,FALSE()),"Operations")</f>
        <v>Operations</v>
      </c>
    </row>
    <row r="403" spans="1:13" ht="15" customHeight="1" x14ac:dyDescent="0.25">
      <c r="A403" s="100"/>
      <c r="B403" s="101"/>
      <c r="C403" s="101"/>
      <c r="D403" s="100">
        <f>IF(OR(B403="",C403=""),"",IF(DATEDIF(C403,B403,"y")&gt;=1,DATEDIF(C403,B403,"y")&amp;IF(DATEDIF(C403,B403,"y")=1," year "," years ")&amp;DATEDIF(C403,B403,"ym")&amp;IF(DATEDIF(C403,B403,"ym")=1," month"," months"),IF(DATEDIF(C403,B403,"m")&gt;=1,DATEDIF(C403,B403,"m")&amp;IF(DATEDIF(C403,B403,"m")=1," month"," months"),DATEDIF(C403,B403,"d")&amp;IF(DATEDIF(C403,B403,"d")=1," day"," days"))))</f>
      </c>
      <c r="E403" s="100"/>
      <c r="F403" s="100"/>
      <c r="G403" s="100"/>
      <c r="H403" s="100"/>
      <c r="I403" s="100"/>
      <c r="J403" s="101"/>
      <c r="K403" s="100"/>
      <c r="L403" s="100"/>
      <c r="M403" s="102" t="str">
        <f>IFERROR(VLOOKUP(G403,Reference!$I$2:$J$175,2,FALSE()),"Operations")</f>
        <v>Operations</v>
      </c>
    </row>
    <row r="404" spans="1:13" ht="15" customHeight="1" x14ac:dyDescent="0.25">
      <c r="A404" s="103"/>
      <c r="B404" s="104"/>
      <c r="C404" s="104"/>
      <c r="D404" s="103">
        <f>IF(OR(B404="",C404=""),"",IF(DATEDIF(C404,B404,"y")&gt;=1,DATEDIF(C404,B404,"y")&amp;IF(DATEDIF(C404,B404,"y")=1," year "," years ")&amp;DATEDIF(C404,B404,"ym")&amp;IF(DATEDIF(C404,B404,"ym")=1," month"," months"),IF(DATEDIF(C404,B404,"m")&gt;=1,DATEDIF(C404,B404,"m")&amp;IF(DATEDIF(C404,B404,"m")=1," month"," months"),DATEDIF(C404,B404,"d")&amp;IF(DATEDIF(C404,B404,"d")=1," day"," days"))))</f>
      </c>
      <c r="E404" s="103"/>
      <c r="F404" s="103"/>
      <c r="G404" s="103"/>
      <c r="H404" s="103"/>
      <c r="I404" s="103"/>
      <c r="J404" s="104"/>
      <c r="K404" s="103"/>
      <c r="L404" s="103"/>
      <c r="M404" s="105" t="str">
        <f>IFERROR(VLOOKUP(G404,Reference!$I$2:$J$175,2,FALSE()),"Operations")</f>
        <v>Operations</v>
      </c>
    </row>
    <row r="405" spans="1:13" ht="15" customHeight="1" x14ac:dyDescent="0.25">
      <c r="A405" s="100"/>
      <c r="B405" s="101"/>
      <c r="C405" s="101"/>
      <c r="D405" s="100">
        <f>IF(OR(B405="",C405=""),"",IF(DATEDIF(C405,B405,"y")&gt;=1,DATEDIF(C405,B405,"y")&amp;IF(DATEDIF(C405,B405,"y")=1," year "," years ")&amp;DATEDIF(C405,B405,"ym")&amp;IF(DATEDIF(C405,B405,"ym")=1," month"," months"),IF(DATEDIF(C405,B405,"m")&gt;=1,DATEDIF(C405,B405,"m")&amp;IF(DATEDIF(C405,B405,"m")=1," month"," months"),DATEDIF(C405,B405,"d")&amp;IF(DATEDIF(C405,B405,"d")=1," day"," days"))))</f>
      </c>
      <c r="E405" s="100"/>
      <c r="F405" s="100"/>
      <c r="G405" s="100"/>
      <c r="H405" s="100"/>
      <c r="I405" s="100"/>
      <c r="J405" s="101"/>
      <c r="K405" s="100"/>
      <c r="L405" s="100"/>
      <c r="M405" s="102" t="str">
        <f>IFERROR(VLOOKUP(G405,Reference!$I$2:$J$175,2,FALSE()),"Operations")</f>
        <v>Operations</v>
      </c>
    </row>
    <row r="406" spans="1:13" ht="15" customHeight="1" x14ac:dyDescent="0.25">
      <c r="A406" s="103"/>
      <c r="B406" s="104"/>
      <c r="C406" s="104"/>
      <c r="D406" s="103">
        <f>IF(OR(B406="",C406=""),"",IF(DATEDIF(C406,B406,"y")&gt;=1,DATEDIF(C406,B406,"y")&amp;IF(DATEDIF(C406,B406,"y")=1," year "," years ")&amp;DATEDIF(C406,B406,"ym")&amp;IF(DATEDIF(C406,B406,"ym")=1," month"," months"),IF(DATEDIF(C406,B406,"m")&gt;=1,DATEDIF(C406,B406,"m")&amp;IF(DATEDIF(C406,B406,"m")=1," month"," months"),DATEDIF(C406,B406,"d")&amp;IF(DATEDIF(C406,B406,"d")=1," day"," days"))))</f>
      </c>
      <c r="E406" s="103"/>
      <c r="F406" s="103"/>
      <c r="G406" s="103"/>
      <c r="H406" s="103"/>
      <c r="I406" s="103"/>
      <c r="J406" s="104"/>
      <c r="K406" s="103"/>
      <c r="L406" s="103"/>
      <c r="M406" s="105" t="str">
        <f>IFERROR(VLOOKUP(G406,Reference!$I$2:$J$175,2,FALSE()),"Operations")</f>
        <v>Operations</v>
      </c>
    </row>
    <row r="407" spans="1:13" ht="15" customHeight="1" x14ac:dyDescent="0.25">
      <c r="A407" s="100"/>
      <c r="B407" s="101"/>
      <c r="C407" s="101"/>
      <c r="D407" s="100">
        <f>IF(OR(B407="",C407=""),"",IF(DATEDIF(C407,B407,"y")&gt;=1,DATEDIF(C407,B407,"y")&amp;IF(DATEDIF(C407,B407,"y")=1," year "," years ")&amp;DATEDIF(C407,B407,"ym")&amp;IF(DATEDIF(C407,B407,"ym")=1," month"," months"),IF(DATEDIF(C407,B407,"m")&gt;=1,DATEDIF(C407,B407,"m")&amp;IF(DATEDIF(C407,B407,"m")=1," month"," months"),DATEDIF(C407,B407,"d")&amp;IF(DATEDIF(C407,B407,"d")=1," day"," days"))))</f>
      </c>
      <c r="E407" s="100"/>
      <c r="F407" s="100"/>
      <c r="G407" s="100"/>
      <c r="H407" s="100"/>
      <c r="I407" s="100"/>
      <c r="J407" s="101"/>
      <c r="K407" s="100"/>
      <c r="L407" s="100"/>
      <c r="M407" s="102" t="str">
        <f>IFERROR(VLOOKUP(G407,Reference!$I$2:$J$175,2,FALSE()),"Operations")</f>
        <v>Operations</v>
      </c>
    </row>
    <row r="408" spans="1:13" ht="15" customHeight="1" x14ac:dyDescent="0.25">
      <c r="A408" s="103"/>
      <c r="B408" s="104"/>
      <c r="C408" s="104"/>
      <c r="D408" s="103">
        <f>IF(OR(B408="",C408=""),"",IF(DATEDIF(C408,B408,"y")&gt;=1,DATEDIF(C408,B408,"y")&amp;IF(DATEDIF(C408,B408,"y")=1," year "," years ")&amp;DATEDIF(C408,B408,"ym")&amp;IF(DATEDIF(C408,B408,"ym")=1," month"," months"),IF(DATEDIF(C408,B408,"m")&gt;=1,DATEDIF(C408,B408,"m")&amp;IF(DATEDIF(C408,B408,"m")=1," month"," months"),DATEDIF(C408,B408,"d")&amp;IF(DATEDIF(C408,B408,"d")=1," day"," days"))))</f>
      </c>
      <c r="E408" s="103"/>
      <c r="F408" s="103"/>
      <c r="G408" s="103"/>
      <c r="H408" s="103"/>
      <c r="I408" s="103"/>
      <c r="J408" s="104"/>
      <c r="K408" s="103"/>
      <c r="L408" s="103"/>
      <c r="M408" s="105" t="str">
        <f>IFERROR(VLOOKUP(G408,Reference!$I$2:$J$175,2,FALSE()),"Operations")</f>
        <v>Operations</v>
      </c>
    </row>
    <row r="409" spans="1:13" ht="15" customHeight="1" x14ac:dyDescent="0.25">
      <c r="A409" s="100"/>
      <c r="B409" s="101"/>
      <c r="C409" s="101"/>
      <c r="D409" s="100">
        <f>IF(OR(B409="",C409=""),"",IF(DATEDIF(C409,B409,"y")&gt;=1,DATEDIF(C409,B409,"y")&amp;IF(DATEDIF(C409,B409,"y")=1," year "," years ")&amp;DATEDIF(C409,B409,"ym")&amp;IF(DATEDIF(C409,B409,"ym")=1," month"," months"),IF(DATEDIF(C409,B409,"m")&gt;=1,DATEDIF(C409,B409,"m")&amp;IF(DATEDIF(C409,B409,"m")=1," month"," months"),DATEDIF(C409,B409,"d")&amp;IF(DATEDIF(C409,B409,"d")=1," day"," days"))))</f>
      </c>
      <c r="E409" s="100"/>
      <c r="F409" s="100"/>
      <c r="G409" s="100"/>
      <c r="H409" s="100"/>
      <c r="I409" s="100"/>
      <c r="J409" s="101"/>
      <c r="K409" s="100"/>
      <c r="L409" s="100"/>
      <c r="M409" s="102" t="str">
        <f>IFERROR(VLOOKUP(G409,Reference!$I$2:$J$175,2,FALSE()),"Operations")</f>
        <v>Operations</v>
      </c>
    </row>
    <row r="410" spans="1:13" ht="15" customHeight="1" x14ac:dyDescent="0.25">
      <c r="A410" s="103"/>
      <c r="B410" s="104"/>
      <c r="C410" s="104"/>
      <c r="D410" s="103">
        <f>IF(OR(B410="",C410=""),"",IF(DATEDIF(C410,B410,"y")&gt;=1,DATEDIF(C410,B410,"y")&amp;IF(DATEDIF(C410,B410,"y")=1," year "," years ")&amp;DATEDIF(C410,B410,"ym")&amp;IF(DATEDIF(C410,B410,"ym")=1," month"," months"),IF(DATEDIF(C410,B410,"m")&gt;=1,DATEDIF(C410,B410,"m")&amp;IF(DATEDIF(C410,B410,"m")=1," month"," months"),DATEDIF(C410,B410,"d")&amp;IF(DATEDIF(C410,B410,"d")=1," day"," days"))))</f>
      </c>
      <c r="E410" s="103"/>
      <c r="F410" s="103"/>
      <c r="G410" s="103"/>
      <c r="H410" s="103"/>
      <c r="I410" s="103"/>
      <c r="J410" s="104"/>
      <c r="K410" s="103"/>
      <c r="L410" s="103"/>
      <c r="M410" s="105" t="str">
        <f>IFERROR(VLOOKUP(G410,Reference!$I$2:$J$175,2,FALSE()),"Operations")</f>
        <v>Operations</v>
      </c>
    </row>
    <row r="411" spans="1:13" ht="15" customHeight="1" x14ac:dyDescent="0.25">
      <c r="A411" s="100"/>
      <c r="B411" s="101"/>
      <c r="C411" s="101"/>
      <c r="D411" s="100">
        <f>IF(OR(B411="",C411=""),"",IF(DATEDIF(C411,B411,"y")&gt;=1,DATEDIF(C411,B411,"y")&amp;IF(DATEDIF(C411,B411,"y")=1," year "," years ")&amp;DATEDIF(C411,B411,"ym")&amp;IF(DATEDIF(C411,B411,"ym")=1," month"," months"),IF(DATEDIF(C411,B411,"m")&gt;=1,DATEDIF(C411,B411,"m")&amp;IF(DATEDIF(C411,B411,"m")=1," month"," months"),DATEDIF(C411,B411,"d")&amp;IF(DATEDIF(C411,B411,"d")=1," day"," days"))))</f>
      </c>
      <c r="E411" s="100"/>
      <c r="F411" s="100"/>
      <c r="G411" s="100"/>
      <c r="H411" s="100"/>
      <c r="I411" s="100"/>
      <c r="J411" s="101"/>
      <c r="K411" s="100"/>
      <c r="L411" s="100"/>
      <c r="M411" s="102" t="str">
        <f>IFERROR(VLOOKUP(G411,Reference!$I$2:$J$175,2,FALSE()),"Operations")</f>
        <v>Operations</v>
      </c>
    </row>
    <row r="412" spans="1:13" ht="15" customHeight="1" x14ac:dyDescent="0.25">
      <c r="A412" s="103"/>
      <c r="B412" s="104"/>
      <c r="C412" s="104"/>
      <c r="D412" s="103">
        <f>IF(OR(B412="",C412=""),"",IF(DATEDIF(C412,B412,"y")&gt;=1,DATEDIF(C412,B412,"y")&amp;IF(DATEDIF(C412,B412,"y")=1," year "," years ")&amp;DATEDIF(C412,B412,"ym")&amp;IF(DATEDIF(C412,B412,"ym")=1," month"," months"),IF(DATEDIF(C412,B412,"m")&gt;=1,DATEDIF(C412,B412,"m")&amp;IF(DATEDIF(C412,B412,"m")=1," month"," months"),DATEDIF(C412,B412,"d")&amp;IF(DATEDIF(C412,B412,"d")=1," day"," days"))))</f>
      </c>
      <c r="E412" s="103"/>
      <c r="F412" s="103"/>
      <c r="G412" s="103"/>
      <c r="H412" s="103"/>
      <c r="I412" s="103"/>
      <c r="J412" s="104"/>
      <c r="K412" s="103"/>
      <c r="L412" s="103"/>
      <c r="M412" s="105" t="str">
        <f>IFERROR(VLOOKUP(G412,Reference!$I$2:$J$175,2,FALSE()),"Operations")</f>
        <v>Operations</v>
      </c>
    </row>
    <row r="413" spans="1:13" ht="15" customHeight="1" x14ac:dyDescent="0.25">
      <c r="A413" s="106" t="s">
        <v>163</v>
      </c>
      <c r="B413" s="107">
        <f>COUNTA(A383:A412)</f>
        <v>9</v>
      </c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</row>
    <row r="414" spans="1:13" ht="6" customHeight="1" x14ac:dyDescent="0.25"/>
  </sheetData>
  <mergeCells count="14">
    <mergeCell ref="A2:M2"/>
    <mergeCell ref="A3:M3"/>
    <mergeCell ref="A7:M7"/>
    <mergeCell ref="A41:M41"/>
    <mergeCell ref="A75:M75"/>
    <mergeCell ref="A279:M279"/>
    <mergeCell ref="A313:M313"/>
    <mergeCell ref="A347:M347"/>
    <mergeCell ref="A381:M381"/>
    <mergeCell ref="A109:M109"/>
    <mergeCell ref="A143:M143"/>
    <mergeCell ref="A177:M177"/>
    <mergeCell ref="A211:M211"/>
    <mergeCell ref="A245:M245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warning" allowBlank="1" showErrorMessage="1" errorTitle="Invalid Entry" error="Please select a value from the list." xr:uid="{00000000-0002-0000-0600-000000000000}">
          <x14:formula1>
            <xm:f>Reference!$G$2:$G$3</xm:f>
          </x14:formula1>
          <x14:formula2>
            <xm:f>0</xm:f>
          </x14:formula2>
          <xm:sqref>F9:F413</xm:sqref>
        </x14:dataValidation>
        <x14:dataValidation type="list" errorStyle="warning" allowBlank="1" showErrorMessage="1" errorTitle="Invalid Entry" error="Please select a value from the list." xr:uid="{00000000-0002-0000-0600-000001000000}">
          <x14:formula1>
            <xm:f>Reference!$E$2:$E$64</xm:f>
          </x14:formula1>
          <x14:formula2>
            <xm:f>0</xm:f>
          </x14:formula2>
          <xm:sqref>G9:G413</xm:sqref>
        </x14:dataValidation>
        <x14:dataValidation type="list" errorStyle="warning" allowBlank="1" showErrorMessage="1" errorTitle="Invalid Entry" error="Please select a value from the list." xr:uid="{00000000-0002-0000-0600-000002000000}">
          <x14:formula1>
            <xm:f>Reference!$C$2:$C$13</xm:f>
          </x14:formula1>
          <x14:formula2>
            <xm:f>0</xm:f>
          </x14:formula2>
          <xm:sqref>H9:H413</xm:sqref>
        </x14:dataValidation>
        <x14:dataValidation type="list" errorStyle="warning" allowBlank="1" showErrorMessage="1" errorTitle="Invalid Entry" error="Please select a value from the list." xr:uid="{00000000-0002-0000-0600-000003000000}">
          <x14:formula1>
            <xm:f>Reference!$A$2:$A$18</xm:f>
          </x14:formula1>
          <x14:formula2>
            <xm:f>0</xm:f>
          </x14:formula2>
          <xm:sqref>K9:K413</xm:sqref>
        </x14:dataValidation>
        <x14:dataValidation type="list" errorStyle="warning" allowBlank="1" showErrorMessage="1" errorTitle="Invalid Entry" error="Please select a value from the list." xr:uid="{00000000-0002-0000-0600-000004000000}">
          <x14:formula1>
            <xm:f>Reference!$L$2:$L$10</xm:f>
          </x14:formula1>
          <x14:formula2>
            <xm:f>0</xm:f>
          </x14:formula2>
          <xm:sqref>M9:M413</xm:sqref>
        </x14:dataValidation>
      </x14:dataValidations>
    </ext>
    <ext xmlns:x14="http://schemas.microsoft.com/office/spreadsheetml/2009/9/main" uri="{CCE6A557-97BC-4B89-ADB6-D9C93CAAB3DF}">
      <x14:dataValidations xmlns:xm="http://schemas.microsoft.com/office/excel/2006/main" count="6">
        <x14:dataValidation xmlns:xr="http://schemas.microsoft.com/office/spreadsheetml/2014/revision" type="list" errorStyle="stop" allowBlank="1" showInputMessage="1" showErrorMessage="1" errorTitle="Invalid Rehire" error="Rehire Eligibility must be Yes or No." promptTitle="" prompt="" xr:uid="{00000000-0002-0000-0001-00000000}">
          <x14:formula1>
            <xm:f>Reference!$B$2:$B$3</xm:f>
          </x14:formula1>
          <xm:sqref>E9:E413</xm:sqref>
        </x14:dataValidation>
        <x14:dataValidation xmlns:xr="http://schemas.microsoft.com/office/spreadsheetml/2014/revision" type="list" errorStyle="stop" allowBlank="1" showInputMessage="1" showErrorMessage="1" errorTitle="Invalid Status" error="Status must be U (uneligible) or D (discharged)." promptTitle="" prompt="" xr:uid="{00000000-0002-0000-0001-00000001}">
          <x14:formula1>
            <xm:f>Reference!$G$2:$G$3</xm:f>
          </x14:formula1>
          <xm:sqref>F9:F413</xm:sqref>
        </x14:dataValidation>
        <x14:dataValidation xmlns:xr="http://schemas.microsoft.com/office/spreadsheetml/2014/revision" type="list" errorStyle="stop" allowBlank="1" showInputMessage="1" showErrorMessage="1" errorTitle="Invalid Location" error="Pick a location from the Reference list." promptTitle="" prompt="" xr:uid="{00000000-0002-0000-0001-00000002}">
          <x14:formula1>
            <xm:f>Reference!$E$2:$E$64</xm:f>
          </x14:formula1>
          <xm:sqref>G9:G413</xm:sqref>
        </x14:dataValidation>
        <x14:dataValidation xmlns:xr="http://schemas.microsoft.com/office/spreadsheetml/2014/revision" type="list" errorStyle="stop" allowBlank="1" showInputMessage="1" showErrorMessage="1" errorTitle="Invalid Reason" error="Pick a reason from the Reference list." promptTitle="" prompt="" xr:uid="{00000000-0002-0000-0001-00000003}">
          <x14:formula1>
            <xm:f>Reference!$C$2:$C$14</xm:f>
          </x14:formula1>
          <xm:sqref>H9:H413</xm:sqref>
        </x14:dataValidation>
        <x14:dataValidation xmlns:xr="http://schemas.microsoft.com/office/spreadsheetml/2014/revision" type="list" errorStyle="stop" allowBlank="1" showInputMessage="1" showErrorMessage="1" errorTitle="Invalid Job" error="Pick a job from the Reference list." promptTitle="" prompt="" xr:uid="{00000000-0002-0000-0001-00000004}">
          <x14:formula1>
            <xm:f>Reference!$A$2:$A$18</xm:f>
          </x14:formula1>
          <xm:sqref>K9:K413</xm:sqref>
        </x14:dataValidation>
        <x14:dataValidation xmlns:xr="http://schemas.microsoft.com/office/spreadsheetml/2014/revision" type="list" errorStyle="stop" allowBlank="1" showInputMessage="1" showErrorMessage="1" errorTitle="Invalid Department" error="Pick a department from the Reference list." promptTitle="" prompt="" xr:uid="{00000000-0002-0000-0001-00000005}">
          <x14:formula1>
            <xm:f>Reference!$L$2:$L$10</xm:f>
          </x14:formula1>
          <xm:sqref>M9:M413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5A5A6"/>
  </sheetPr>
  <dimension ref="A1:O187"/>
  <sheetViews>
    <sheetView zoomScaleNormal="100" workbookViewId="0">
      <selection activeCell="E113" sqref="E113"/>
    </sheetView>
  </sheetViews>
  <sheetFormatPr defaultColWidth="8.7109375" defaultRowHeight="15" x14ac:dyDescent="0.25"/>
  <cols>
    <col min="1" max="15" width="14" customWidth="1"/>
  </cols>
  <sheetData>
    <row r="1" spans="1:15" ht="15" customHeight="1" x14ac:dyDescent="0.25">
      <c r="A1" s="137" t="s">
        <v>999</v>
      </c>
      <c r="B1" s="137" t="s">
        <v>97</v>
      </c>
      <c r="C1" s="137" t="s">
        <v>98</v>
      </c>
      <c r="D1" s="137" t="s">
        <v>18</v>
      </c>
      <c r="E1" s="137" t="s">
        <v>99</v>
      </c>
      <c r="F1" s="137" t="s">
        <v>54</v>
      </c>
      <c r="G1" s="137" t="s">
        <v>65</v>
      </c>
      <c r="H1" s="137" t="s">
        <v>70</v>
      </c>
      <c r="I1" s="137" t="s">
        <v>101</v>
      </c>
      <c r="J1" s="137" t="s">
        <v>1000</v>
      </c>
      <c r="K1" s="137" t="s">
        <v>1001</v>
      </c>
      <c r="L1" s="6"/>
      <c r="M1" s="6"/>
      <c r="N1" s="6"/>
      <c r="O1" s="6"/>
    </row>
    <row r="2" spans="1:15" ht="15" customHeight="1" x14ac:dyDescent="0.25">
      <c r="A2" s="6" t="s">
        <v>103</v>
      </c>
      <c r="B2" s="6">
        <f>IFERROR(VLOOKUP("FY 2023",Reference!$N$2:$O$6,2,FALSE),0)</f>
      </c>
      <c r="C2" s="6">
        <f>'FY 2023 (Jan23-Dec23)'!E5</f>
        <v>62</v>
      </c>
      <c r="D2" s="6">
        <f>IF(B2=0,0,C2/B2)</f>
        <v>0.18289085545722714</v>
      </c>
      <c r="E2" s="6">
        <f>IFERROR(C2/IF(VALUE(RIGHT(A2,4))&lt;YEAR(TODAY()),12,IF(VALUE(RIGHT(A2,4))&gt;YEAR(TODAY()),NA(),MONTH(TODAY()))),0)</f>
      </c>
      <c r="F2" s="6">
        <f>SUMPRODUCT((Data!$B$56:$B$68="Voluntary")*Data!$C$56:$C$68)</f>
      </c>
      <c r="G2" s="6">
        <f>SUMPRODUCT((Data!$B$56:$B$68="Involuntary")*Data!$C$56:$C$68)</f>
      </c>
      <c r="H2" s="6">
        <f>SUMPRODUCT((Data!$B$56:$B$68="Other")*Data!$C$56:$C$68)</f>
      </c>
      <c r="I2" s="6">
        <f>IF(C2=0,0,F2/C2)</f>
        <v>0.58064516129032262</v>
      </c>
      <c r="J2" s="6">
        <f>IFERROR(COUNTIF('FY 2023 (Jan23-Dec23)'!E9:E412,"Yes")/(COUNTIF('FY 2023 (Jan23-Dec23)'!E9:E412,"Yes")+COUNTIF('FY 2023 (Jan23-Dec23)'!E9:E412,"No")),0)</f>
        <v>0.36065573770491804</v>
      </c>
      <c r="K2" s="6">
        <f>IFERROR(SUMPRODUCT(ISNUMBER('FY 2023 (Jan23-Dec23)'!J9:J412)*1)/C2,0)</f>
        <v>0</v>
      </c>
      <c r="L2" s="6"/>
      <c r="M2" s="6"/>
      <c r="N2" s="6"/>
      <c r="O2" s="6" t="s">
        <v>103</v>
      </c>
    </row>
    <row r="3" spans="1:15" ht="15" customHeight="1" x14ac:dyDescent="0.25">
      <c r="A3" s="6" t="s">
        <v>104</v>
      </c>
      <c r="B3" s="6">
        <f>IFERROR(VLOOKUP("FY 2024",Reference!$N$2:$O$6,2,FALSE),0)</f>
      </c>
      <c r="C3" s="6">
        <f>'FY 2024 (Jan24-Dec24)'!E5</f>
        <v>158</v>
      </c>
      <c r="D3" s="6">
        <f>IF(B3=0,0,C3/B3)</f>
        <v>0.46607669616519176</v>
      </c>
      <c r="E3" s="6">
        <f>IFERROR(C3/IF(VALUE(RIGHT(A3,4))&lt;YEAR(TODAY()),12,IF(VALUE(RIGHT(A3,4))&gt;YEAR(TODAY()),NA(),MONTH(TODAY()))),0)</f>
      </c>
      <c r="F3" s="6">
        <f>SUMPRODUCT((Data!$B$56:$B$68="Voluntary")*Data!$D$56:$D$68)</f>
      </c>
      <c r="G3" s="6">
        <f>SUMPRODUCT((Data!$B$56:$B$68="Involuntary")*Data!$D$56:$D$68)</f>
      </c>
      <c r="H3" s="6">
        <f>SUMPRODUCT((Data!$B$56:$B$68="Other")*Data!$D$56:$D$68)</f>
      </c>
      <c r="I3" s="6">
        <f>IF(C3=0,0,F3/C3)</f>
        <v>0.55063291139240511</v>
      </c>
      <c r="J3" s="6">
        <f>IFERROR(COUNTIF('FY 2024 (Jan24-Dec24)'!E9:E412,"Yes")/(COUNTIF('FY 2024 (Jan24-Dec24)'!E9:E412,"Yes")+COUNTIF('FY 2024 (Jan24-Dec24)'!E9:E412,"No")),0)</f>
        <v>0.38709677419354838</v>
      </c>
      <c r="K3" s="6">
        <f>IFERROR(SUMPRODUCT(ISNUMBER('FY 2024 (Jan24-Dec24)'!J9:J412)*1)/C3,0)</f>
        <v>0</v>
      </c>
      <c r="L3" s="6"/>
      <c r="M3" s="6"/>
      <c r="N3" s="6"/>
      <c r="O3" s="6" t="s">
        <v>104</v>
      </c>
    </row>
    <row r="4" spans="1:15" ht="15" customHeight="1" x14ac:dyDescent="0.25">
      <c r="A4" s="6" t="s">
        <v>105</v>
      </c>
      <c r="B4" s="6">
        <f>IFERROR(VLOOKUP("FY 2025",Reference!$N$2:$O$6,2,FALSE),0)</f>
      </c>
      <c r="C4" s="6">
        <f>'FY 2025 (Jan25-Dec25)'!E5</f>
        <v>138</v>
      </c>
      <c r="D4" s="6">
        <f>IF(B4=0,0,C4/B4)</f>
        <v>0.39884393063583817</v>
      </c>
      <c r="E4" s="6">
        <f>IFERROR(C4/IF(VALUE(RIGHT(A4,4))&lt;YEAR(TODAY()),12,IF(VALUE(RIGHT(A4,4))&gt;YEAR(TODAY()),NA(),MONTH(TODAY()))),0)</f>
      </c>
      <c r="F4" s="6">
        <f>SUMPRODUCT((Data!$B$56:$B$68="Voluntary")*Data!$E$56:$E$68)</f>
      </c>
      <c r="G4" s="6">
        <f>SUMPRODUCT((Data!$B$56:$B$68="Involuntary")*Data!$E$56:$E$68)</f>
      </c>
      <c r="H4" s="6">
        <f>SUMPRODUCT((Data!$B$56:$B$68="Other")*Data!$E$56:$E$68)</f>
      </c>
      <c r="I4" s="6">
        <f>IF(C4=0,0,F4/C4)</f>
        <v>0.71014492753623193</v>
      </c>
      <c r="J4" s="6">
        <f>IFERROR(COUNTIF('FY 2025 (Jan25-Dec25)'!E9:E412,"Yes")/(COUNTIF('FY 2025 (Jan25-Dec25)'!E9:E412,"Yes")+COUNTIF('FY 2025 (Jan25-Dec25)'!E9:E412,"No")),0)</f>
        <v>0.3037037037037037</v>
      </c>
      <c r="K4" s="6">
        <f>IFERROR(SUMPRODUCT(ISNUMBER('FY 2025 (Jan25-Dec25)'!J9:J412)*1)/C4,0)</f>
        <v>0.14492753623188406</v>
      </c>
      <c r="L4" s="6"/>
      <c r="M4" s="6"/>
      <c r="N4" s="6"/>
      <c r="O4" s="6" t="s">
        <v>105</v>
      </c>
    </row>
    <row r="5" spans="1:15" ht="15" customHeight="1" x14ac:dyDescent="0.25">
      <c r="A5" s="6" t="s">
        <v>3</v>
      </c>
      <c r="B5" s="6">
        <f>IFERROR(VLOOKUP("FY 2026",Reference!$N$2:$O$6,2,FALSE),0)</f>
      </c>
      <c r="C5" s="6">
        <f>'FY 2026 (Jan26-Dec26)'!E5</f>
        <v>35</v>
      </c>
      <c r="D5" s="6">
        <f>IF(B5=0,0,C5/B5)</f>
        <v>9.5628415300546443E-2</v>
      </c>
      <c r="E5" s="6">
        <f>IFERROR(C5/IF(VALUE(RIGHT(A5,4))&lt;YEAR(TODAY()),12,IF(VALUE(RIGHT(A5,4))&gt;YEAR(TODAY()),NA(),MONTH(TODAY()))),0)</f>
      </c>
      <c r="F5" s="6">
        <f>SUMPRODUCT((Data!$B$56:$B$68="Voluntary")*Data!$F$56:$F$68)</f>
      </c>
      <c r="G5" s="6">
        <f>SUMPRODUCT((Data!$B$56:$B$68="Involuntary")*Data!$F$56:$F$68)</f>
      </c>
      <c r="H5" s="6">
        <f>SUMPRODUCT((Data!$B$56:$B$68="Other")*Data!$F$56:$F$68)</f>
      </c>
      <c r="I5" s="6">
        <f>IF(C5=0,0,F5/C5)</f>
        <v>0.6</v>
      </c>
      <c r="J5" s="6">
        <f>IFERROR(COUNTIF('FY 2026 (Jan26-Dec26)'!E9:E356,"Yes")/(COUNTIF('FY 2026 (Jan26-Dec26)'!E9:E356,"Yes")+COUNTIF('FY 2026 (Jan26-Dec26)'!E9:E356,"No")),0)</f>
        <v>0.43333333333333335</v>
      </c>
      <c r="K5" s="6">
        <f>IFERROR(SUMPRODUCT(ISNUMBER('FY 2026 (Jan26-Dec26)'!J9:J356)*1)/C5,0)</f>
        <v>5.7142857142857141E-2</v>
      </c>
      <c r="L5" s="6"/>
      <c r="M5" s="6"/>
      <c r="N5" s="6"/>
      <c r="O5" s="6" t="s">
        <v>3</v>
      </c>
    </row>
    <row r="6" spans="1:15" ht="15" customHeight="1" x14ac:dyDescent="0.25">
      <c r="A6" s="6" t="s">
        <v>106</v>
      </c>
      <c r="B6" s="6">
        <f>IFERROR(VLOOKUP("FY 2027",Reference!$N$2:$O$6,2,FALSE),0)</f>
      </c>
      <c r="C6" s="6">
        <f>'FY 2027 (Jan27-Dec27)'!E5</f>
        <v>0</v>
      </c>
      <c r="D6" s="6">
        <f>IF(B6=0,0,C6/B6)</f>
        <v>0</v>
      </c>
      <c r="E6" s="6">
        <f>IFERROR(C6/IF(VALUE(RIGHT(A6,4))&lt;YEAR(TODAY()),12,IF(VALUE(RIGHT(A6,4))&gt;YEAR(TODAY()),NA(),MONTH(TODAY()))),0)</f>
      </c>
      <c r="F6" s="6">
        <f>SUMPRODUCT((Data!$B$56:$B$68="Voluntary")*Data!$G$56:$G$68)</f>
      </c>
      <c r="G6" s="6">
        <f>SUMPRODUCT((Data!$B$56:$B$68="Involuntary")*Data!$G$56:$G$68)</f>
      </c>
      <c r="H6" s="6">
        <f>SUMPRODUCT((Data!$B$56:$B$68="Other")*Data!$G$56:$G$68)</f>
      </c>
      <c r="I6" s="6">
        <f>IF(C6=0,0,F6/C6)</f>
        <v>0</v>
      </c>
      <c r="J6" s="6">
        <f>IFERROR(COUNTIF('FY 2027 (Jan27-Dec27)'!E9:E412,"Yes")/(COUNTIF('FY 2027 (Jan27-Dec27)'!E9:E412,"Yes")+COUNTIF('FY 2027 (Jan27-Dec27)'!E9:E412,"No")),0)</f>
        <v>0</v>
      </c>
      <c r="K6" s="6">
        <f>IFERROR(SUMPRODUCT(ISNUMBER('FY 2027 (Jan27-Dec27)'!J9:J412)*1)/C6,0)</f>
        <v>0</v>
      </c>
      <c r="L6" s="6"/>
      <c r="M6" s="6"/>
      <c r="N6" s="6"/>
      <c r="O6" s="6" t="s">
        <v>106</v>
      </c>
    </row>
    <row r="7" spans="1:1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ht="15" customHeight="1" x14ac:dyDescent="0.25">
      <c r="A10" s="137" t="s">
        <v>999</v>
      </c>
      <c r="B10" s="137" t="s">
        <v>23</v>
      </c>
      <c r="C10" s="137" t="s">
        <v>25</v>
      </c>
      <c r="D10" s="137" t="s">
        <v>27</v>
      </c>
      <c r="E10" s="137" t="s">
        <v>29</v>
      </c>
      <c r="F10" s="137" t="s">
        <v>31</v>
      </c>
      <c r="G10" s="137" t="s">
        <v>33</v>
      </c>
      <c r="H10" s="137" t="s">
        <v>35</v>
      </c>
      <c r="I10" s="137" t="s">
        <v>37</v>
      </c>
      <c r="J10" s="137" t="s">
        <v>39</v>
      </c>
      <c r="K10" s="137" t="s">
        <v>41</v>
      </c>
      <c r="L10" s="137" t="s">
        <v>43</v>
      </c>
      <c r="M10" s="137" t="s">
        <v>45</v>
      </c>
      <c r="N10" s="6"/>
      <c r="O10" s="6"/>
    </row>
    <row r="11" spans="1:15" ht="15" customHeight="1" x14ac:dyDescent="0.25">
      <c r="A11" s="6" t="s">
        <v>103</v>
      </c>
      <c r="B11" s="6">
        <f>'FY 2023 (Jan23-Dec23)'!B39</f>
        <v>0</v>
      </c>
      <c r="C11" s="6">
        <f>'FY 2023 (Jan23-Dec23)'!B73</f>
        <v>0</v>
      </c>
      <c r="D11" s="6">
        <f>'FY 2023 (Jan23-Dec23)'!B107</f>
        <v>0</v>
      </c>
      <c r="E11" s="6">
        <f>'FY 2023 (Jan23-Dec23)'!B141</f>
        <v>0</v>
      </c>
      <c r="F11" s="6">
        <f>'FY 2023 (Jan23-Dec23)'!B175</f>
        <v>0</v>
      </c>
      <c r="G11" s="6">
        <f>'FY 2023 (Jan23-Dec23)'!B209</f>
        <v>0</v>
      </c>
      <c r="H11" s="6">
        <f>'FY 2023 (Jan23-Dec23)'!B243</f>
        <v>10</v>
      </c>
      <c r="I11" s="6">
        <f>'FY 2023 (Jan23-Dec23)'!B277</f>
        <v>9</v>
      </c>
      <c r="J11" s="6">
        <f>'FY 2023 (Jan23-Dec23)'!B311</f>
        <v>12</v>
      </c>
      <c r="K11" s="6">
        <f>'FY 2023 (Jan23-Dec23)'!B345</f>
        <v>12</v>
      </c>
      <c r="L11" s="6">
        <f>'FY 2023 (Jan23-Dec23)'!B379</f>
        <v>10</v>
      </c>
      <c r="M11" s="6">
        <f>'FY 2023 (Jan23-Dec23)'!B413</f>
        <v>9</v>
      </c>
      <c r="N11" s="6"/>
      <c r="O11" s="6"/>
    </row>
    <row r="12" spans="1:15" ht="15" customHeight="1" x14ac:dyDescent="0.25">
      <c r="A12" s="6" t="s">
        <v>104</v>
      </c>
      <c r="B12" s="6">
        <f>'FY 2024 (Jan24-Dec24)'!B39</f>
        <v>24</v>
      </c>
      <c r="C12" s="6">
        <f>'FY 2024 (Jan24-Dec24)'!B73</f>
        <v>11</v>
      </c>
      <c r="D12" s="6">
        <f>'FY 2024 (Jan24-Dec24)'!B107</f>
        <v>14</v>
      </c>
      <c r="E12" s="6">
        <f>'FY 2024 (Jan24-Dec24)'!B141</f>
        <v>13</v>
      </c>
      <c r="F12" s="6">
        <f>'FY 2024 (Jan24-Dec24)'!B175</f>
        <v>17</v>
      </c>
      <c r="G12" s="6">
        <f>'FY 2024 (Jan24-Dec24)'!B209</f>
        <v>12</v>
      </c>
      <c r="H12" s="6">
        <f>'FY 2024 (Jan24-Dec24)'!B243</f>
        <v>13</v>
      </c>
      <c r="I12" s="6">
        <f>'FY 2024 (Jan24-Dec24)'!B277</f>
        <v>16</v>
      </c>
      <c r="J12" s="6">
        <f>'FY 2024 (Jan24-Dec24)'!B311</f>
        <v>8</v>
      </c>
      <c r="K12" s="6">
        <f>'FY 2024 (Jan24-Dec24)'!B345</f>
        <v>7</v>
      </c>
      <c r="L12" s="6">
        <f>'FY 2024 (Jan24-Dec24)'!B379</f>
        <v>14</v>
      </c>
      <c r="M12" s="6">
        <f>'FY 2024 (Jan24-Dec24)'!B413</f>
        <v>9</v>
      </c>
      <c r="N12" s="6"/>
      <c r="O12" s="6"/>
    </row>
    <row r="13" spans="1:15" ht="15" customHeight="1" x14ac:dyDescent="0.25">
      <c r="A13" s="6" t="s">
        <v>105</v>
      </c>
      <c r="B13" s="6">
        <f>'FY 2025 (Jan25-Dec25)'!B39</f>
        <v>14</v>
      </c>
      <c r="C13" s="6">
        <f>'FY 2025 (Jan25-Dec25)'!B73</f>
        <v>13</v>
      </c>
      <c r="D13" s="6">
        <f>'FY 2025 (Jan25-Dec25)'!B107</f>
        <v>12</v>
      </c>
      <c r="E13" s="6">
        <f>'FY 2025 (Jan25-Dec25)'!B141</f>
        <v>7</v>
      </c>
      <c r="F13" s="6">
        <f>'FY 2025 (Jan25-Dec25)'!B175</f>
        <v>18</v>
      </c>
      <c r="G13" s="6">
        <f>'FY 2025 (Jan25-Dec25)'!B209</f>
        <v>5</v>
      </c>
      <c r="H13" s="6">
        <f>'FY 2025 (Jan25-Dec25)'!B243</f>
        <v>16</v>
      </c>
      <c r="I13" s="6">
        <f>'FY 2025 (Jan25-Dec25)'!B277</f>
        <v>14</v>
      </c>
      <c r="J13" s="6">
        <f>'FY 2025 (Jan25-Dec25)'!B311</f>
        <v>12</v>
      </c>
      <c r="K13" s="6">
        <f>'FY 2025 (Jan25-Dec25)'!B345</f>
        <v>13</v>
      </c>
      <c r="L13" s="6">
        <f>'FY 2025 (Jan25-Dec25)'!B379</f>
        <v>9</v>
      </c>
      <c r="M13" s="6">
        <f>'FY 2025 (Jan25-Dec25)'!B413</f>
        <v>5</v>
      </c>
      <c r="N13" s="6"/>
      <c r="O13" s="6"/>
    </row>
    <row r="14" spans="1:15" ht="15" customHeight="1" x14ac:dyDescent="0.25">
      <c r="A14" s="6" t="s">
        <v>3</v>
      </c>
      <c r="B14" s="6">
        <f>'FY 2026 (Jan26-Dec26)'!B18</f>
        <v>8</v>
      </c>
      <c r="C14" s="6">
        <f>'FY 2026 (Jan26-Dec26)'!B33</f>
        <v>10</v>
      </c>
      <c r="D14" s="6">
        <f>'FY 2026 (Jan26-Dec26)'!B51</f>
        <v>10</v>
      </c>
      <c r="E14" s="6">
        <f>'FY 2026 (Jan26-Dec26)'!B85</f>
        <v>7</v>
      </c>
      <c r="F14" s="6">
        <f>'FY 2026 (Jan26-Dec26)'!B119</f>
        <v>0</v>
      </c>
      <c r="G14" s="6">
        <f>'FY 2026 (Jan26-Dec26)'!B153</f>
        <v>0</v>
      </c>
      <c r="H14" s="6">
        <f>'FY 2026 (Jan26-Dec26)'!B187</f>
        <v>0</v>
      </c>
      <c r="I14" s="6">
        <f>'FY 2026 (Jan26-Dec26)'!B221</f>
        <v>0</v>
      </c>
      <c r="J14" s="6">
        <f>'FY 2026 (Jan26-Dec26)'!B255</f>
        <v>0</v>
      </c>
      <c r="K14" s="6">
        <f>'FY 2026 (Jan26-Dec26)'!B289</f>
        <v>0</v>
      </c>
      <c r="L14" s="6">
        <f>'FY 2026 (Jan26-Dec26)'!B323</f>
        <v>0</v>
      </c>
      <c r="M14" s="6">
        <f>'FY 2026 (Jan26-Dec26)'!B357</f>
        <v>0</v>
      </c>
      <c r="N14" s="6"/>
      <c r="O14" s="6"/>
    </row>
    <row r="15" spans="1:15" ht="15" customHeight="1" x14ac:dyDescent="0.25">
      <c r="A15" s="6" t="s">
        <v>106</v>
      </c>
      <c r="B15" s="6">
        <f>'FY 2027 (Jan27-Dec27)'!B39</f>
        <v>0</v>
      </c>
      <c r="C15" s="6">
        <f>'FY 2027 (Jan27-Dec27)'!B73</f>
        <v>0</v>
      </c>
      <c r="D15" s="6">
        <f>'FY 2027 (Jan27-Dec27)'!B107</f>
        <v>0</v>
      </c>
      <c r="E15" s="6">
        <f>'FY 2027 (Jan27-Dec27)'!B141</f>
        <v>0</v>
      </c>
      <c r="F15" s="6">
        <f>'FY 2027 (Jan27-Dec27)'!B175</f>
        <v>0</v>
      </c>
      <c r="G15" s="6">
        <f>'FY 2027 (Jan27-Dec27)'!B209</f>
        <v>0</v>
      </c>
      <c r="H15" s="6">
        <f>'FY 2027 (Jan27-Dec27)'!B243</f>
        <v>0</v>
      </c>
      <c r="I15" s="6">
        <f>'FY 2027 (Jan27-Dec27)'!B277</f>
        <v>0</v>
      </c>
      <c r="J15" s="6">
        <f>'FY 2027 (Jan27-Dec27)'!B311</f>
        <v>0</v>
      </c>
      <c r="K15" s="6">
        <f>'FY 2027 (Jan27-Dec27)'!B345</f>
        <v>0</v>
      </c>
      <c r="L15" s="6">
        <f>'FY 2027 (Jan27-Dec27)'!B379</f>
        <v>0</v>
      </c>
      <c r="M15" s="6">
        <f>'FY 2027 (Jan27-Dec27)'!B413</f>
        <v>0</v>
      </c>
      <c r="N15" s="6"/>
      <c r="O15" s="6"/>
    </row>
    <row r="16" spans="1:1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" customHeight="1" x14ac:dyDescent="0.25">
      <c r="A20" s="137" t="s">
        <v>134</v>
      </c>
      <c r="B20" s="137" t="s">
        <v>103</v>
      </c>
      <c r="C20" s="137" t="s">
        <v>104</v>
      </c>
      <c r="D20" s="137" t="s">
        <v>105</v>
      </c>
      <c r="E20" s="137" t="s">
        <v>3</v>
      </c>
      <c r="F20" s="137" t="s">
        <v>106</v>
      </c>
      <c r="G20" s="6"/>
      <c r="H20" s="6"/>
      <c r="I20" s="6"/>
      <c r="J20" s="6"/>
      <c r="K20" s="6"/>
      <c r="L20" s="6"/>
      <c r="M20" s="6"/>
      <c r="N20" s="6"/>
      <c r="O20" s="6"/>
    </row>
    <row r="21" spans="1:15" ht="15" customHeight="1" x14ac:dyDescent="0.25">
      <c r="A21" s="6" t="s">
        <v>26</v>
      </c>
      <c r="B21" s="6">
        <f>COUNTIF('FY 2023 (Jan23-Dec23)'!K9:K412,"President")</f>
        <v>0</v>
      </c>
      <c r="C21" s="6">
        <f>COUNTIF('FY 2024 (Jan24-Dec24)'!K9:K412,"President")</f>
        <v>0</v>
      </c>
      <c r="D21" s="6">
        <f>COUNTIF('FY 2025 (Jan25-Dec25)'!K9:K412,"President")</f>
        <v>0</v>
      </c>
      <c r="E21" s="6">
        <f>COUNTIF('FY 2026 (Jan26-Dec26)'!K9:K356,"President")</f>
        <v>0</v>
      </c>
      <c r="F21" s="6">
        <f>COUNTIF('FY 2027 (Jan27-Dec27)'!K9:K412,"President")</f>
        <v>0</v>
      </c>
      <c r="G21" s="6"/>
      <c r="H21" s="6"/>
      <c r="I21" s="6"/>
      <c r="J21" s="6"/>
      <c r="K21" s="6"/>
      <c r="L21" s="6"/>
      <c r="M21" s="6"/>
      <c r="N21" s="6"/>
      <c r="O21" s="6"/>
    </row>
    <row r="22" spans="1:15" ht="15" customHeight="1" x14ac:dyDescent="0.25">
      <c r="A22" s="6" t="s">
        <v>28</v>
      </c>
      <c r="B22" s="6">
        <f>COUNTIFS('FY 2023 (Jan23-Dec23)'!K9:K412,"VP",'FY 2023 (Jan23-Dec23)'!M9:M412,"Operations")</f>
        <v>0</v>
      </c>
      <c r="C22" s="6">
        <f>COUNTIFS('FY 2024 (Jan24-Dec24)'!K9:K412,"VP",'FY 2024 (Jan24-Dec24)'!M9:M412,"Operations")</f>
        <v>0</v>
      </c>
      <c r="D22" s="6">
        <f>COUNTIFS('FY 2025 (Jan25-Dec25)'!K9:K412,"VP",'FY 2025 (Jan25-Dec25)'!M9:M412,"Operations")</f>
        <v>0</v>
      </c>
      <c r="E22" s="6">
        <f>COUNTIFS('FY 2026 (Jan26-Dec26)'!K9:K356,"VP",'FY 2026 (Jan26-Dec26)'!M9:M356,"Operations")</f>
        <v>0</v>
      </c>
      <c r="F22" s="6">
        <f>COUNTIFS('FY 2027 (Jan27-Dec27)'!K9:K412,"VP",'FY 2027 (Jan27-Dec27)'!M9:M412,"Operations")</f>
        <v>0</v>
      </c>
      <c r="G22" s="6"/>
      <c r="H22" s="6"/>
      <c r="I22" s="6"/>
      <c r="J22" s="6"/>
      <c r="K22" s="6"/>
      <c r="L22" s="6"/>
      <c r="M22" s="6"/>
      <c r="N22" s="6"/>
      <c r="O22" s="6"/>
    </row>
    <row r="23" spans="1:15" ht="15" customHeight="1" x14ac:dyDescent="0.25">
      <c r="A23" s="6" t="s">
        <v>30</v>
      </c>
      <c r="B23" s="6">
        <f>COUNTIFS('FY 2023 (Jan23-Dec23)'!K9:K412,"VP",'FY 2023 (Jan23-Dec23)'!M9:M412,"Children Services")</f>
        <v>0</v>
      </c>
      <c r="C23" s="6">
        <f>COUNTIFS('FY 2024 (Jan24-Dec24)'!K9:K412,"VP",'FY 2024 (Jan24-Dec24)'!M9:M412,"Children Services")</f>
        <v>0</v>
      </c>
      <c r="D23" s="6">
        <f>COUNTIFS('FY 2025 (Jan25-Dec25)'!K9:K412,"VP",'FY 2025 (Jan25-Dec25)'!M9:M412,"Children Services")</f>
        <v>0</v>
      </c>
      <c r="E23" s="6">
        <f>COUNTIFS('FY 2026 (Jan26-Dec26)'!K9:K356,"VP",'FY 2026 (Jan26-Dec26)'!M9:M356,"Children Services")</f>
        <v>0</v>
      </c>
      <c r="F23" s="6">
        <f>COUNTIFS('FY 2027 (Jan27-Dec27)'!K9:K412,"VP",'FY 2027 (Jan27-Dec27)'!M9:M412,"Children Services")</f>
        <v>0</v>
      </c>
      <c r="G23" s="6"/>
      <c r="H23" s="6"/>
      <c r="I23" s="6"/>
      <c r="J23" s="6"/>
      <c r="K23" s="6"/>
      <c r="L23" s="6"/>
      <c r="M23" s="6"/>
      <c r="N23" s="6"/>
      <c r="O23" s="6"/>
    </row>
    <row r="24" spans="1:15" ht="15" customHeight="1" x14ac:dyDescent="0.25">
      <c r="A24" s="6" t="s">
        <v>32</v>
      </c>
      <c r="B24" s="6">
        <f>COUNTIFS('FY 2023 (Jan23-Dec23)'!K9:K412,"VP",'FY 2023 (Jan23-Dec23)'!M9:M412,"Professional Services")</f>
        <v>0</v>
      </c>
      <c r="C24" s="6">
        <f>COUNTIFS('FY 2024 (Jan24-Dec24)'!K9:K412,"VP",'FY 2024 (Jan24-Dec24)'!M9:M412,"Professional Services")</f>
        <v>0</v>
      </c>
      <c r="D24" s="6">
        <f>COUNTIFS('FY 2025 (Jan25-Dec25)'!K9:K412,"VP",'FY 2025 (Jan25-Dec25)'!M9:M412,"Professional Services")</f>
        <v>0</v>
      </c>
      <c r="E24" s="6">
        <f>COUNTIFS('FY 2026 (Jan26-Dec26)'!K9:K356,"VP",'FY 2026 (Jan26-Dec26)'!M9:M356,"Professional Services")</f>
        <v>0</v>
      </c>
      <c r="F24" s="6">
        <f>COUNTIFS('FY 2027 (Jan27-Dec27)'!K9:K412,"VP",'FY 2027 (Jan27-Dec27)'!M9:M412,"Professional Services")</f>
        <v>0</v>
      </c>
      <c r="G24" s="6"/>
      <c r="H24" s="6"/>
      <c r="I24" s="6"/>
      <c r="J24" s="6"/>
      <c r="K24" s="6"/>
      <c r="L24" s="6"/>
      <c r="M24" s="6"/>
      <c r="N24" s="6"/>
      <c r="O24" s="6"/>
    </row>
    <row r="25" spans="1:15" ht="15" customHeight="1" x14ac:dyDescent="0.25">
      <c r="A25" s="6" t="s">
        <v>34</v>
      </c>
      <c r="B25" s="6">
        <f>COUNTIFS('FY 2023 (Jan23-Dec23)'!K9:K412,"VP",'FY 2023 (Jan23-Dec23)'!M9:M412,"Behavioral Health")</f>
        <v>0</v>
      </c>
      <c r="C25" s="6">
        <f>COUNTIFS('FY 2024 (Jan24-Dec24)'!K9:K412,"VP",'FY 2024 (Jan24-Dec24)'!M9:M412,"Behavioral Health")</f>
        <v>0</v>
      </c>
      <c r="D25" s="6">
        <f>COUNTIFS('FY 2025 (Jan25-Dec25)'!K9:K412,"VP",'FY 2025 (Jan25-Dec25)'!M9:M412,"Behavioral Health")</f>
        <v>0</v>
      </c>
      <c r="E25" s="6">
        <f>COUNTIFS('FY 2026 (Jan26-Dec26)'!K9:K356,"VP",'FY 2026 (Jan26-Dec26)'!M9:M356,"Behavioral Health")</f>
        <v>0</v>
      </c>
      <c r="F25" s="6">
        <f>COUNTIFS('FY 2027 (Jan27-Dec27)'!K9:K412,"VP",'FY 2027 (Jan27-Dec27)'!M9:M412,"Behavioral Health")</f>
        <v>0</v>
      </c>
      <c r="G25" s="6"/>
      <c r="H25" s="6"/>
      <c r="I25" s="6"/>
      <c r="J25" s="6"/>
      <c r="K25" s="6"/>
      <c r="L25" s="6"/>
      <c r="M25" s="6"/>
      <c r="N25" s="6"/>
      <c r="O25" s="6"/>
    </row>
    <row r="26" spans="1:15" ht="15" customHeight="1" x14ac:dyDescent="0.25">
      <c r="A26" s="6" t="s">
        <v>36</v>
      </c>
      <c r="B26" s="6">
        <f>COUNTIFS('FY 2023 (Jan23-Dec23)'!K9:K412,"VP",'FY 2023 (Jan23-Dec23)'!M9:M412,"Human Resources")</f>
        <v>0</v>
      </c>
      <c r="C26" s="6">
        <f>COUNTIFS('FY 2024 (Jan24-Dec24)'!K9:K412,"VP",'FY 2024 (Jan24-Dec24)'!M9:M412,"Human Resources")</f>
        <v>0</v>
      </c>
      <c r="D26" s="6">
        <f>COUNTIFS('FY 2025 (Jan25-Dec25)'!K9:K412,"VP",'FY 2025 (Jan25-Dec25)'!M9:M412,"Human Resources")</f>
        <v>0</v>
      </c>
      <c r="E26" s="6">
        <f>COUNTIFS('FY 2026 (Jan26-Dec26)'!K9:K356,"VP",'FY 2026 (Jan26-Dec26)'!M9:M356,"Human Resources")</f>
        <v>0</v>
      </c>
      <c r="F26" s="6">
        <f>COUNTIFS('FY 2027 (Jan27-Dec27)'!K9:K412,"VP",'FY 2027 (Jan27-Dec27)'!M9:M412,"Human Resources")</f>
        <v>0</v>
      </c>
      <c r="G26" s="6"/>
      <c r="H26" s="6"/>
      <c r="I26" s="6"/>
      <c r="J26" s="6"/>
      <c r="K26" s="6"/>
      <c r="L26" s="6"/>
      <c r="M26" s="6"/>
      <c r="N26" s="6"/>
      <c r="O26" s="6"/>
    </row>
    <row r="27" spans="1:15" ht="15" customHeight="1" x14ac:dyDescent="0.25">
      <c r="A27" s="6" t="s">
        <v>38</v>
      </c>
      <c r="B27" s="6">
        <f>COUNTIFS('FY 2023 (Jan23-Dec23)'!K9:K412,"VP",'FY 2023 (Jan23-Dec23)'!M9:M412,"Employment Services")</f>
        <v>0</v>
      </c>
      <c r="C27" s="6">
        <f>COUNTIFS('FY 2024 (Jan24-Dec24)'!K9:K412,"VP",'FY 2024 (Jan24-Dec24)'!M9:M412,"Employment Services")</f>
        <v>0</v>
      </c>
      <c r="D27" s="6">
        <f>COUNTIFS('FY 2025 (Jan25-Dec25)'!K9:K412,"VP",'FY 2025 (Jan25-Dec25)'!M9:M412,"Employment Services")</f>
        <v>0</v>
      </c>
      <c r="E27" s="6">
        <f>COUNTIFS('FY 2026 (Jan26-Dec26)'!K9:K356,"VP",'FY 2026 (Jan26-Dec26)'!M9:M356,"Employment Services")</f>
        <v>0</v>
      </c>
      <c r="F27" s="6">
        <f>COUNTIFS('FY 2027 (Jan27-Dec27)'!K9:K412,"VP",'FY 2027 (Jan27-Dec27)'!M9:M412,"Employment Services")</f>
        <v>0</v>
      </c>
      <c r="G27" s="6"/>
      <c r="H27" s="6"/>
      <c r="I27" s="6"/>
      <c r="J27" s="6"/>
      <c r="K27" s="6"/>
      <c r="L27" s="6"/>
      <c r="M27" s="6"/>
      <c r="N27" s="6"/>
      <c r="O27" s="6"/>
    </row>
    <row r="28" spans="1:15" ht="15" customHeight="1" x14ac:dyDescent="0.25">
      <c r="A28" s="6" t="s">
        <v>40</v>
      </c>
      <c r="B28" s="6">
        <f>COUNTIFS('FY 2023 (Jan23-Dec23)'!K9:K412,"VP",'FY 2023 (Jan23-Dec23)'!M9:M412,"Family Support")</f>
        <v>0</v>
      </c>
      <c r="C28" s="6">
        <f>COUNTIFS('FY 2024 (Jan24-Dec24)'!K9:K412,"VP",'FY 2024 (Jan24-Dec24)'!M9:M412,"Family Support")</f>
        <v>0</v>
      </c>
      <c r="D28" s="6">
        <f>COUNTIFS('FY 2025 (Jan25-Dec25)'!K9:K412,"VP",'FY 2025 (Jan25-Dec25)'!M9:M412,"Family Support")</f>
        <v>0</v>
      </c>
      <c r="E28" s="6">
        <f>COUNTIFS('FY 2026 (Jan26-Dec26)'!K9:K356,"VP",'FY 2026 (Jan26-Dec26)'!M9:M356,"Family Support")</f>
        <v>0</v>
      </c>
      <c r="F28" s="6">
        <f>COUNTIFS('FY 2027 (Jan27-Dec27)'!K9:K412,"VP",'FY 2027 (Jan27-Dec27)'!M9:M412,"Family Support")</f>
        <v>0</v>
      </c>
      <c r="G28" s="6"/>
      <c r="H28" s="6"/>
      <c r="I28" s="6"/>
      <c r="J28" s="6"/>
      <c r="K28" s="6"/>
      <c r="L28" s="6"/>
      <c r="M28" s="6"/>
      <c r="N28" s="6"/>
      <c r="O28" s="6"/>
    </row>
    <row r="29" spans="1:15" ht="15" customHeight="1" x14ac:dyDescent="0.25">
      <c r="A29" s="6" t="s">
        <v>42</v>
      </c>
      <c r="B29" s="6">
        <f>COUNTIFS('FY 2023 (Jan23-Dec23)'!K9:K412,"VP",'FY 2023 (Jan23-Dec23)'!M9:M412,"Finance")</f>
        <v>0</v>
      </c>
      <c r="C29" s="6">
        <f>COUNTIFS('FY 2024 (Jan24-Dec24)'!K9:K412,"VP",'FY 2024 (Jan24-Dec24)'!M9:M412,"Finance")</f>
        <v>0</v>
      </c>
      <c r="D29" s="6">
        <f>COUNTIFS('FY 2025 (Jan25-Dec25)'!K9:K412,"VP",'FY 2025 (Jan25-Dec25)'!M9:M412,"Finance")</f>
        <v>0</v>
      </c>
      <c r="E29" s="6">
        <f>COUNTIFS('FY 2026 (Jan26-Dec26)'!K9:K356,"VP",'FY 2026 (Jan26-Dec26)'!M9:M356,"Finance")</f>
        <v>1</v>
      </c>
      <c r="F29" s="6">
        <f>COUNTIFS('FY 2027 (Jan27-Dec27)'!K9:K412,"VP",'FY 2027 (Jan27-Dec27)'!M9:M412,"Finance")</f>
        <v>0</v>
      </c>
      <c r="G29" s="6"/>
      <c r="H29" s="6"/>
      <c r="I29" s="6"/>
      <c r="J29" s="6"/>
      <c r="K29" s="6"/>
      <c r="L29" s="6"/>
      <c r="M29" s="6"/>
      <c r="N29" s="6"/>
      <c r="O29" s="6"/>
    </row>
    <row r="30" spans="1:15" ht="15" customHeight="1" x14ac:dyDescent="0.25">
      <c r="A30" s="6" t="s">
        <v>44</v>
      </c>
      <c r="B30" s="6">
        <f>COUNTIFS('FY 2023 (Jan23-Dec23)'!K9:K412,"Director",'FY 2023 (Jan23-Dec23)'!M9:M412,"Operations")</f>
        <v>0</v>
      </c>
      <c r="C30" s="6">
        <f>COUNTIFS('FY 2024 (Jan24-Dec24)'!K9:K412,"Director",'FY 2024 (Jan24-Dec24)'!M9:M412,"Operations")</f>
        <v>0</v>
      </c>
      <c r="D30" s="6">
        <f>COUNTIFS('FY 2025 (Jan25-Dec25)'!K9:K412,"Director",'FY 2025 (Jan25-Dec25)'!M9:M412,"Operations")</f>
        <v>0</v>
      </c>
      <c r="E30" s="6">
        <f>COUNTIFS('FY 2026 (Jan26-Dec26)'!K9:K356,"Director",'FY 2026 (Jan26-Dec26)'!M9:M356,"Operations")</f>
        <v>0</v>
      </c>
      <c r="F30" s="6">
        <f>COUNTIFS('FY 2027 (Jan27-Dec27)'!K9:K412,"Director",'FY 2027 (Jan27-Dec27)'!M9:M412,"Operations")</f>
        <v>0</v>
      </c>
      <c r="G30" s="6"/>
      <c r="H30" s="6"/>
      <c r="I30" s="6"/>
      <c r="J30" s="6"/>
      <c r="K30" s="6"/>
      <c r="L30" s="6"/>
      <c r="M30" s="6"/>
      <c r="N30" s="6"/>
      <c r="O30" s="6"/>
    </row>
    <row r="31" spans="1:15" ht="15" customHeight="1" x14ac:dyDescent="0.25">
      <c r="A31" s="6" t="s">
        <v>46</v>
      </c>
      <c r="B31" s="6">
        <f>COUNTIFS('FY 2023 (Jan23-Dec23)'!K9:K412,"Director",'FY 2023 (Jan23-Dec23)'!M9:M412,"Children Services")</f>
        <v>0</v>
      </c>
      <c r="C31" s="6">
        <f>COUNTIFS('FY 2024 (Jan24-Dec24)'!K9:K412,"Director",'FY 2024 (Jan24-Dec24)'!M9:M412,"Children Services")</f>
        <v>1</v>
      </c>
      <c r="D31" s="6">
        <f>COUNTIFS('FY 2025 (Jan25-Dec25)'!K9:K412,"Director",'FY 2025 (Jan25-Dec25)'!M9:M412,"Children Services")</f>
        <v>1</v>
      </c>
      <c r="E31" s="6">
        <f>COUNTIFS('FY 2026 (Jan26-Dec26)'!K9:K356,"Director",'FY 2026 (Jan26-Dec26)'!M9:M356,"Children Services")</f>
        <v>0</v>
      </c>
      <c r="F31" s="6">
        <f>COUNTIFS('FY 2027 (Jan27-Dec27)'!K9:K412,"Director",'FY 2027 (Jan27-Dec27)'!M9:M412,"Children Services")</f>
        <v>0</v>
      </c>
      <c r="G31" s="6"/>
      <c r="H31" s="6"/>
      <c r="I31" s="6"/>
      <c r="J31" s="6"/>
      <c r="K31" s="6"/>
      <c r="L31" s="6"/>
      <c r="M31" s="6"/>
      <c r="N31" s="6"/>
      <c r="O31" s="6"/>
    </row>
    <row r="32" spans="1:15" ht="15" customHeight="1" x14ac:dyDescent="0.25">
      <c r="A32" s="6" t="s">
        <v>47</v>
      </c>
      <c r="B32" s="6">
        <f>COUNTIFS('FY 2023 (Jan23-Dec23)'!K9:K412,"Director",'FY 2023 (Jan23-Dec23)'!M9:M412,"Professional Services")</f>
        <v>0</v>
      </c>
      <c r="C32" s="6">
        <f>COUNTIFS('FY 2024 (Jan24-Dec24)'!K9:K412,"Director",'FY 2024 (Jan24-Dec24)'!M9:M412,"Professional Services")</f>
        <v>0</v>
      </c>
      <c r="D32" s="6">
        <f>COUNTIFS('FY 2025 (Jan25-Dec25)'!K9:K412,"Director",'FY 2025 (Jan25-Dec25)'!M9:M412,"Professional Services")</f>
        <v>1</v>
      </c>
      <c r="E32" s="6">
        <f>COUNTIFS('FY 2026 (Jan26-Dec26)'!K9:K356,"Director",'FY 2026 (Jan26-Dec26)'!M9:M356,"Professional Services")</f>
        <v>0</v>
      </c>
      <c r="F32" s="6">
        <f>COUNTIFS('FY 2027 (Jan27-Dec27)'!K9:K412,"Director",'FY 2027 (Jan27-Dec27)'!M9:M412,"Professional Services")</f>
        <v>0</v>
      </c>
      <c r="G32" s="6"/>
      <c r="H32" s="6"/>
      <c r="I32" s="6"/>
      <c r="J32" s="6"/>
      <c r="K32" s="6"/>
      <c r="L32" s="6"/>
      <c r="M32" s="6"/>
      <c r="N32" s="6"/>
      <c r="O32" s="6"/>
    </row>
    <row r="33" spans="1:15" ht="15" customHeight="1" x14ac:dyDescent="0.25">
      <c r="A33" s="6" t="s">
        <v>49</v>
      </c>
      <c r="B33" s="6">
        <f>COUNTIFS('FY 2023 (Jan23-Dec23)'!K9:K412,"Director",'FY 2023 (Jan23-Dec23)'!M9:M412,"Behavioral Health")</f>
        <v>0</v>
      </c>
      <c r="C33" s="6">
        <f>COUNTIFS('FY 2024 (Jan24-Dec24)'!K9:K412,"Director",'FY 2024 (Jan24-Dec24)'!M9:M412,"Behavioral Health")</f>
        <v>0</v>
      </c>
      <c r="D33" s="6">
        <f>COUNTIFS('FY 2025 (Jan25-Dec25)'!K9:K412,"Director",'FY 2025 (Jan25-Dec25)'!M9:M412,"Behavioral Health")</f>
        <v>0</v>
      </c>
      <c r="E33" s="6">
        <f>COUNTIFS('FY 2026 (Jan26-Dec26)'!K9:K356,"Director",'FY 2026 (Jan26-Dec26)'!M9:M356,"Behavioral Health")</f>
        <v>0</v>
      </c>
      <c r="F33" s="6">
        <f>COUNTIFS('FY 2027 (Jan27-Dec27)'!K9:K412,"Director",'FY 2027 (Jan27-Dec27)'!M9:M412,"Behavioral Health")</f>
        <v>0</v>
      </c>
      <c r="G33" s="6"/>
      <c r="H33" s="6"/>
      <c r="I33" s="6"/>
      <c r="J33" s="6"/>
      <c r="K33" s="6"/>
      <c r="L33" s="6"/>
      <c r="M33" s="6"/>
      <c r="N33" s="6"/>
      <c r="O33" s="6"/>
    </row>
    <row r="34" spans="1:15" ht="15" customHeight="1" x14ac:dyDescent="0.25">
      <c r="A34" s="6" t="s">
        <v>52</v>
      </c>
      <c r="B34" s="6">
        <f>COUNTIFS('FY 2023 (Jan23-Dec23)'!K9:K412,"Director",'FY 2023 (Jan23-Dec23)'!M9:M412,"Human Resources")</f>
        <v>0</v>
      </c>
      <c r="C34" s="6">
        <f>COUNTIFS('FY 2024 (Jan24-Dec24)'!K9:K412,"Director",'FY 2024 (Jan24-Dec24)'!M9:M412,"Human Resources")</f>
        <v>1</v>
      </c>
      <c r="D34" s="6">
        <f>COUNTIFS('FY 2025 (Jan25-Dec25)'!K9:K412,"Director",'FY 2025 (Jan25-Dec25)'!M9:M412,"Human Resources")</f>
        <v>0</v>
      </c>
      <c r="E34" s="6">
        <f>COUNTIFS('FY 2026 (Jan26-Dec26)'!K9:K356,"Director",'FY 2026 (Jan26-Dec26)'!M9:M356,"Human Resources")</f>
        <v>0</v>
      </c>
      <c r="F34" s="6">
        <f>COUNTIFS('FY 2027 (Jan27-Dec27)'!K9:K412,"Director",'FY 2027 (Jan27-Dec27)'!M9:M412,"Human Resources")</f>
        <v>0</v>
      </c>
      <c r="G34" s="6"/>
      <c r="H34" s="6"/>
      <c r="I34" s="6"/>
      <c r="J34" s="6"/>
      <c r="K34" s="6"/>
      <c r="L34" s="6"/>
      <c r="M34" s="6"/>
      <c r="N34" s="6"/>
      <c r="O34" s="6"/>
    </row>
    <row r="35" spans="1:15" ht="15" customHeight="1" x14ac:dyDescent="0.25">
      <c r="A35" s="6" t="s">
        <v>55</v>
      </c>
      <c r="B35" s="6">
        <f>COUNTIFS('FY 2023 (Jan23-Dec23)'!K9:K412,"Director",'FY 2023 (Jan23-Dec23)'!M9:M412,"Finance")</f>
        <v>0</v>
      </c>
      <c r="C35" s="6">
        <f>COUNTIFS('FY 2024 (Jan24-Dec24)'!K9:K412,"Director",'FY 2024 (Jan24-Dec24)'!M9:M412,"Finance")</f>
        <v>0</v>
      </c>
      <c r="D35" s="6">
        <f>COUNTIFS('FY 2025 (Jan25-Dec25)'!K9:K412,"Director",'FY 2025 (Jan25-Dec25)'!M9:M412,"Finance")</f>
        <v>0</v>
      </c>
      <c r="E35" s="6">
        <f>COUNTIFS('FY 2026 (Jan26-Dec26)'!K9:K356,"Director",'FY 2026 (Jan26-Dec26)'!M9:M356,"Finance")</f>
        <v>0</v>
      </c>
      <c r="F35" s="6">
        <f>COUNTIFS('FY 2027 (Jan27-Dec27)'!K9:K412,"Director",'FY 2027 (Jan27-Dec27)'!M9:M412,"Finance")</f>
        <v>0</v>
      </c>
      <c r="G35" s="6"/>
      <c r="H35" s="6"/>
      <c r="I35" s="6"/>
      <c r="J35" s="6"/>
      <c r="K35" s="6"/>
      <c r="L35" s="6"/>
      <c r="M35" s="6"/>
      <c r="N35" s="6"/>
      <c r="O35" s="6"/>
    </row>
    <row r="36" spans="1:15" ht="15" customHeight="1" x14ac:dyDescent="0.25">
      <c r="A36" s="6" t="s">
        <v>57</v>
      </c>
      <c r="B36" s="6">
        <f>COUNTIFS('FY 2023 (Jan23-Dec23)'!K9:K412,"Director",'FY 2023 (Jan23-Dec23)'!M9:M412,"Employment Services")</f>
        <v>0</v>
      </c>
      <c r="C36" s="6">
        <f>COUNTIFS('FY 2024 (Jan24-Dec24)'!K9:K412,"Director",'FY 2024 (Jan24-Dec24)'!M9:M412,"Employment Services")</f>
        <v>0</v>
      </c>
      <c r="D36" s="6">
        <f>COUNTIFS('FY 2025 (Jan25-Dec25)'!K9:K412,"Director",'FY 2025 (Jan25-Dec25)'!M9:M412,"Employment Services")</f>
        <v>0</v>
      </c>
      <c r="E36" s="6">
        <f>COUNTIFS('FY 2026 (Jan26-Dec26)'!K9:K356,"Director",'FY 2026 (Jan26-Dec26)'!M9:M356,"Employment Services")</f>
        <v>0</v>
      </c>
      <c r="F36" s="6">
        <f>COUNTIFS('FY 2027 (Jan27-Dec27)'!K9:K412,"Director",'FY 2027 (Jan27-Dec27)'!M9:M412,"Employment Services")</f>
        <v>0</v>
      </c>
      <c r="G36" s="6"/>
      <c r="H36" s="6"/>
      <c r="I36" s="6"/>
      <c r="J36" s="6"/>
      <c r="K36" s="6"/>
      <c r="L36" s="6"/>
      <c r="M36" s="6"/>
      <c r="N36" s="6"/>
      <c r="O36" s="6"/>
    </row>
    <row r="37" spans="1:15" ht="15" customHeight="1" x14ac:dyDescent="0.25">
      <c r="A37" s="6" t="s">
        <v>59</v>
      </c>
      <c r="B37" s="6">
        <f>COUNTIFS('FY 2023 (Jan23-Dec23)'!K9:K412,"Director",'FY 2023 (Jan23-Dec23)'!M9:M412,"Family Support")</f>
        <v>0</v>
      </c>
      <c r="C37" s="6">
        <f>COUNTIFS('FY 2024 (Jan24-Dec24)'!K9:K412,"Director",'FY 2024 (Jan24-Dec24)'!M9:M412,"Family Support")</f>
        <v>0</v>
      </c>
      <c r="D37" s="6">
        <f>COUNTIFS('FY 2025 (Jan25-Dec25)'!K9:K412,"Director",'FY 2025 (Jan25-Dec25)'!M9:M412,"Family Support")</f>
        <v>0</v>
      </c>
      <c r="E37" s="6">
        <f>COUNTIFS('FY 2026 (Jan26-Dec26)'!K9:K356,"Director",'FY 2026 (Jan26-Dec26)'!M9:M356,"Family Support")</f>
        <v>0</v>
      </c>
      <c r="F37" s="6">
        <f>COUNTIFS('FY 2027 (Jan27-Dec27)'!K9:K412,"Director",'FY 2027 (Jan27-Dec27)'!M9:M412,"Family Support")</f>
        <v>0</v>
      </c>
      <c r="G37" s="6"/>
      <c r="H37" s="6"/>
      <c r="I37" s="6"/>
      <c r="J37" s="6"/>
      <c r="K37" s="6"/>
      <c r="L37" s="6"/>
      <c r="M37" s="6"/>
      <c r="N37" s="6"/>
      <c r="O37" s="6"/>
    </row>
    <row r="38" spans="1:15" ht="15" customHeight="1" x14ac:dyDescent="0.25">
      <c r="A38" s="6" t="s">
        <v>61</v>
      </c>
      <c r="B38" s="6">
        <f>COUNTIFS('FY 2023 (Jan23-Dec23)'!K9:K412,"Director",'FY 2023 (Jan23-Dec23)'!M9:M412,"QA")</f>
        <v>0</v>
      </c>
      <c r="C38" s="6">
        <f>COUNTIFS('FY 2024 (Jan24-Dec24)'!K9:K412,"Director",'FY 2024 (Jan24-Dec24)'!M9:M412,"QA")</f>
        <v>0</v>
      </c>
      <c r="D38" s="6">
        <f>COUNTIFS('FY 2025 (Jan25-Dec25)'!K9:K412,"Director",'FY 2025 (Jan25-Dec25)'!M9:M412,"QA")</f>
        <v>0</v>
      </c>
      <c r="E38" s="6">
        <f>COUNTIFS('FY 2026 (Jan26-Dec26)'!K9:K356,"Director",'FY 2026 (Jan26-Dec26)'!M9:M356,"QA")</f>
        <v>0</v>
      </c>
      <c r="F38" s="6">
        <f>COUNTIFS('FY 2027 (Jan27-Dec27)'!K9:K412,"Director",'FY 2027 (Jan27-Dec27)'!M9:M412,"QA")</f>
        <v>0</v>
      </c>
      <c r="G38" s="6"/>
      <c r="H38" s="6"/>
      <c r="I38" s="6"/>
      <c r="J38" s="6"/>
      <c r="K38" s="6"/>
      <c r="L38" s="6"/>
      <c r="M38" s="6"/>
      <c r="N38" s="6"/>
      <c r="O38" s="6"/>
    </row>
    <row r="39" spans="1:15" ht="15" customHeight="1" x14ac:dyDescent="0.25">
      <c r="A39" s="6" t="s">
        <v>66</v>
      </c>
      <c r="B39" s="6">
        <f>COUNTIF('FY 2023 (Jan23-Dec23)'!K9:K412,"DSP")</f>
        <v>45</v>
      </c>
      <c r="C39" s="6">
        <f>COUNTIF('FY 2024 (Jan24-Dec24)'!K9:K412,"DSP")</f>
        <v>120</v>
      </c>
      <c r="D39" s="6">
        <f>COUNTIF('FY 2025 (Jan25-Dec25)'!K9:K412,"DSP")</f>
        <v>75</v>
      </c>
      <c r="E39" s="6">
        <f>COUNTIF('FY 2026 (Jan26-Dec26)'!K9:K356,"DSP")</f>
        <v>25</v>
      </c>
      <c r="F39" s="6">
        <f>COUNTIF('FY 2027 (Jan27-Dec27)'!K9:K412,"DSP")</f>
        <v>0</v>
      </c>
      <c r="G39" s="6"/>
      <c r="H39" s="6"/>
      <c r="I39" s="6"/>
      <c r="J39" s="6"/>
      <c r="K39" s="6"/>
      <c r="L39" s="6"/>
      <c r="M39" s="6"/>
      <c r="N39" s="6"/>
      <c r="O39" s="6"/>
    </row>
    <row r="40" spans="1:15" ht="15" customHeight="1" x14ac:dyDescent="0.25">
      <c r="A40" s="6" t="s">
        <v>68</v>
      </c>
      <c r="B40" s="6">
        <f>COUNTIF('FY 2023 (Jan23-Dec23)'!K9:K412,"HM")</f>
        <v>0</v>
      </c>
      <c r="C40" s="6">
        <f>COUNTIF('FY 2024 (Jan24-Dec24)'!K9:K412,"HM")</f>
        <v>8</v>
      </c>
      <c r="D40" s="6">
        <f>COUNTIF('FY 2025 (Jan25-Dec25)'!K9:K412,"HM")</f>
        <v>5</v>
      </c>
      <c r="E40" s="6">
        <f>COUNTIF('FY 2026 (Jan26-Dec26)'!K9:K356,"HM")</f>
        <v>3</v>
      </c>
      <c r="F40" s="6">
        <f>COUNTIF('FY 2027 (Jan27-Dec27)'!K9:K412,"HM")</f>
        <v>0</v>
      </c>
      <c r="G40" s="6"/>
      <c r="H40" s="6"/>
      <c r="I40" s="6"/>
      <c r="J40" s="6"/>
      <c r="K40" s="6"/>
      <c r="L40" s="6"/>
      <c r="M40" s="6"/>
      <c r="N40" s="6"/>
      <c r="O40" s="6"/>
    </row>
    <row r="41" spans="1:15" ht="15" customHeight="1" x14ac:dyDescent="0.25">
      <c r="A41" s="6" t="s">
        <v>71</v>
      </c>
      <c r="B41" s="6">
        <f>COUNTIF('FY 2023 (Jan23-Dec23)'!K9:K412,"RM")</f>
        <v>0</v>
      </c>
      <c r="C41" s="6">
        <f>COUNTIF('FY 2024 (Jan24-Dec24)'!K9:K412,"RM")</f>
        <v>3</v>
      </c>
      <c r="D41" s="6">
        <f>COUNTIF('FY 2025 (Jan25-Dec25)'!K9:K412,"RM")</f>
        <v>0</v>
      </c>
      <c r="E41" s="6">
        <f>COUNTIF('FY 2026 (Jan26-Dec26)'!K9:K356,"RM")</f>
        <v>0</v>
      </c>
      <c r="F41" s="6">
        <f>COUNTIF('FY 2027 (Jan27-Dec27)'!K9:K412,"RM")</f>
        <v>0</v>
      </c>
      <c r="G41" s="6"/>
      <c r="H41" s="6"/>
      <c r="I41" s="6"/>
      <c r="J41" s="6"/>
      <c r="K41" s="6"/>
      <c r="L41" s="6"/>
      <c r="M41" s="6"/>
      <c r="N41" s="6"/>
      <c r="O41" s="6"/>
    </row>
    <row r="42" spans="1:15" ht="15" customHeight="1" x14ac:dyDescent="0.25">
      <c r="A42" s="6" t="s">
        <v>74</v>
      </c>
      <c r="B42" s="6">
        <f>COUNTIF('FY 2023 (Jan23-Dec23)'!K9:K412,"CM")</f>
        <v>0</v>
      </c>
      <c r="C42" s="6">
        <f>COUNTIF('FY 2024 (Jan24-Dec24)'!K9:K412,"CM")</f>
        <v>1</v>
      </c>
      <c r="D42" s="6">
        <f>COUNTIF('FY 2025 (Jan25-Dec25)'!K9:K412,"CM")</f>
        <v>6</v>
      </c>
      <c r="E42" s="6">
        <f>COUNTIF('FY 2026 (Jan26-Dec26)'!K9:K356,"CM")</f>
        <v>1</v>
      </c>
      <c r="F42" s="6">
        <f>COUNTIF('FY 2027 (Jan27-Dec27)'!K9:K412,"CM")</f>
        <v>0</v>
      </c>
      <c r="G42" s="6"/>
      <c r="H42" s="6"/>
      <c r="I42" s="6"/>
      <c r="J42" s="6"/>
      <c r="K42" s="6"/>
      <c r="L42" s="6"/>
      <c r="M42" s="6"/>
      <c r="N42" s="6"/>
      <c r="O42" s="6"/>
    </row>
    <row r="43" spans="1:15" ht="15" customHeight="1" x14ac:dyDescent="0.25">
      <c r="A43" s="6" t="s">
        <v>76</v>
      </c>
      <c r="B43" s="6">
        <f>COUNTIF('FY 2023 (Jan23-Dec23)'!K9:K412,"EI")</f>
        <v>4</v>
      </c>
      <c r="C43" s="6">
        <f>COUNTIF('FY 2024 (Jan24-Dec24)'!K9:K412,"EI")</f>
        <v>5</v>
      </c>
      <c r="D43" s="6">
        <f>COUNTIF('FY 2025 (Jan25-Dec25)'!K9:K412,"EI")</f>
        <v>6</v>
      </c>
      <c r="E43" s="6">
        <f>COUNTIF('FY 2026 (Jan26-Dec26)'!K9:K356,"EI")</f>
        <v>0</v>
      </c>
      <c r="F43" s="6">
        <f>COUNTIF('FY 2027 (Jan27-Dec27)'!K9:K412,"EI")</f>
        <v>0</v>
      </c>
      <c r="G43" s="6"/>
      <c r="H43" s="6"/>
      <c r="I43" s="6"/>
      <c r="J43" s="6"/>
      <c r="K43" s="6"/>
      <c r="L43" s="6"/>
      <c r="M43" s="6"/>
      <c r="N43" s="6"/>
      <c r="O43" s="6"/>
    </row>
    <row r="44" spans="1:15" ht="15" customHeight="1" x14ac:dyDescent="0.25">
      <c r="A44" s="6" t="s">
        <v>78</v>
      </c>
      <c r="B44" s="6">
        <f>COUNTIF('FY 2023 (Jan23-Dec23)'!K9:K412,"Family Support")</f>
        <v>0</v>
      </c>
      <c r="C44" s="6">
        <f>COUNTIF('FY 2024 (Jan24-Dec24)'!K9:K412,"Family Support")</f>
        <v>1</v>
      </c>
      <c r="D44" s="6">
        <f>COUNTIF('FY 2025 (Jan25-Dec25)'!K9:K412,"Family Support")</f>
        <v>2</v>
      </c>
      <c r="E44" s="6">
        <f>COUNTIF('FY 2026 (Jan26-Dec26)'!K9:K356,"Family Support")</f>
        <v>0</v>
      </c>
      <c r="F44" s="6">
        <f>COUNTIF('FY 2027 (Jan27-Dec27)'!K9:K412,"Family Support")</f>
        <v>0</v>
      </c>
      <c r="G44" s="6"/>
      <c r="H44" s="6"/>
      <c r="I44" s="6"/>
      <c r="J44" s="6"/>
      <c r="K44" s="6"/>
      <c r="L44" s="6"/>
      <c r="M44" s="6"/>
      <c r="N44" s="6"/>
      <c r="O44" s="6"/>
    </row>
    <row r="45" spans="1:15" ht="15" customHeight="1" x14ac:dyDescent="0.25">
      <c r="A45" s="6" t="s">
        <v>80</v>
      </c>
      <c r="B45" s="6">
        <f>COUNTIF('FY 2023 (Jan23-Dec23)'!K9:K412,"Teacher")</f>
        <v>0</v>
      </c>
      <c r="C45" s="6">
        <f>COUNTIF('FY 2024 (Jan24-Dec24)'!K9:K412,"Teacher")</f>
        <v>3</v>
      </c>
      <c r="D45" s="6">
        <f>COUNTIF('FY 2025 (Jan25-Dec25)'!K9:K412,"Teacher")</f>
        <v>4</v>
      </c>
      <c r="E45" s="6">
        <f>COUNTIF('FY 2026 (Jan26-Dec26)'!K9:K356,"Teacher")</f>
        <v>0</v>
      </c>
      <c r="F45" s="6">
        <f>COUNTIF('FY 2027 (Jan27-Dec27)'!K9:K412,"Teacher")</f>
        <v>0</v>
      </c>
      <c r="G45" s="6"/>
      <c r="H45" s="6"/>
      <c r="I45" s="6"/>
      <c r="J45" s="6"/>
      <c r="K45" s="6"/>
      <c r="L45" s="6"/>
      <c r="M45" s="6"/>
      <c r="N45" s="6"/>
      <c r="O45" s="6"/>
    </row>
    <row r="46" spans="1:15" ht="15" customHeight="1" x14ac:dyDescent="0.25">
      <c r="A46" s="6" t="s">
        <v>81</v>
      </c>
      <c r="B46" s="6">
        <f>COUNTIF('FY 2023 (Jan23-Dec23)'!K9:K412,"Assistant Teacher")</f>
        <v>0</v>
      </c>
      <c r="C46" s="6">
        <f>COUNTIF('FY 2024 (Jan24-Dec24)'!K9:K412,"Assistant Teacher")</f>
        <v>3</v>
      </c>
      <c r="D46" s="6">
        <f>COUNTIF('FY 2025 (Jan25-Dec25)'!K9:K412,"Assistant Teacher")</f>
        <v>4</v>
      </c>
      <c r="E46" s="6">
        <f>COUNTIF('FY 2026 (Jan26-Dec26)'!K9:K356,"Assistant Teacher")</f>
        <v>0</v>
      </c>
      <c r="F46" s="6">
        <f>COUNTIF('FY 2027 (Jan27-Dec27)'!K9:K412,"Assistant Teacher")</f>
        <v>0</v>
      </c>
      <c r="G46" s="6"/>
      <c r="H46" s="6"/>
      <c r="I46" s="6"/>
      <c r="J46" s="6"/>
      <c r="K46" s="6"/>
      <c r="L46" s="6"/>
      <c r="M46" s="6"/>
      <c r="N46" s="6"/>
      <c r="O46" s="6"/>
    </row>
    <row r="47" spans="1:15" ht="15" customHeight="1" x14ac:dyDescent="0.25">
      <c r="A47" s="6" t="s">
        <v>83</v>
      </c>
      <c r="B47" s="6">
        <f>COUNTIF('FY 2023 (Jan23-Dec23)'!K9:K412,"Sub/Floater")</f>
        <v>5</v>
      </c>
      <c r="C47" s="6">
        <f>COUNTIF('FY 2024 (Jan24-Dec24)'!K9:K412,"Sub/Floater")</f>
        <v>1</v>
      </c>
      <c r="D47" s="6">
        <f>COUNTIF('FY 2025 (Jan25-Dec25)'!K9:K412,"Sub/Floater")</f>
        <v>14</v>
      </c>
      <c r="E47" s="6">
        <f>COUNTIF('FY 2026 (Jan26-Dec26)'!K9:K356,"Sub/Floater")</f>
        <v>1</v>
      </c>
      <c r="F47" s="6">
        <f>COUNTIF('FY 2027 (Jan27-Dec27)'!K9:K412,"Sub/Floater")</f>
        <v>0</v>
      </c>
      <c r="G47" s="6"/>
      <c r="H47" s="6"/>
      <c r="I47" s="6"/>
      <c r="J47" s="6"/>
      <c r="K47" s="6"/>
      <c r="L47" s="6"/>
      <c r="M47" s="6"/>
      <c r="N47" s="6"/>
      <c r="O47" s="6"/>
    </row>
    <row r="48" spans="1:15" ht="15" customHeight="1" x14ac:dyDescent="0.25">
      <c r="A48" s="6" t="s">
        <v>84</v>
      </c>
      <c r="B48" s="6">
        <f>COUNTIF('FY 2023 (Jan23-Dec23)'!K9:K412,"Job Coach/WI")</f>
        <v>0</v>
      </c>
      <c r="C48" s="6">
        <f>COUNTIF('FY 2024 (Jan24-Dec24)'!K9:K412,"Job Coach/WI")</f>
        <v>5</v>
      </c>
      <c r="D48" s="6">
        <f>COUNTIF('FY 2025 (Jan25-Dec25)'!K9:K412,"Job Coach/WI")</f>
        <v>2</v>
      </c>
      <c r="E48" s="6">
        <f>COUNTIF('FY 2026 (Jan26-Dec26)'!K9:K356,"Job Coach/WI")</f>
        <v>0</v>
      </c>
      <c r="F48" s="6">
        <f>COUNTIF('FY 2027 (Jan27-Dec27)'!K9:K412,"Job Coach/WI")</f>
        <v>0</v>
      </c>
      <c r="G48" s="6"/>
      <c r="H48" s="6"/>
      <c r="I48" s="6"/>
      <c r="J48" s="6"/>
      <c r="K48" s="6"/>
      <c r="L48" s="6"/>
      <c r="M48" s="6"/>
      <c r="N48" s="6"/>
      <c r="O48" s="6"/>
    </row>
    <row r="49" spans="1:15" ht="15" customHeight="1" x14ac:dyDescent="0.25">
      <c r="A49" s="6" t="s">
        <v>87</v>
      </c>
      <c r="B49" s="6">
        <f>COUNTIF('FY 2023 (Jan23-Dec23)'!K9:K412,"Finance")</f>
        <v>0</v>
      </c>
      <c r="C49" s="6">
        <f>COUNTIF('FY 2024 (Jan24-Dec24)'!K9:K412,"Finance")</f>
        <v>0</v>
      </c>
      <c r="D49" s="6">
        <f>COUNTIF('FY 2025 (Jan25-Dec25)'!K9:K412,"Finance")</f>
        <v>3</v>
      </c>
      <c r="E49" s="6">
        <f>COUNTIF('FY 2026 (Jan26-Dec26)'!K9:K356,"Finance")</f>
        <v>0</v>
      </c>
      <c r="F49" s="6">
        <f>COUNTIF('FY 2027 (Jan27-Dec27)'!K9:K412,"Finance")</f>
        <v>0</v>
      </c>
      <c r="G49" s="6"/>
      <c r="H49" s="6"/>
      <c r="I49" s="6"/>
      <c r="J49" s="6"/>
      <c r="K49" s="6"/>
      <c r="L49" s="6"/>
      <c r="M49" s="6"/>
      <c r="N49" s="6"/>
      <c r="O49" s="6"/>
    </row>
    <row r="50" spans="1:15" ht="15" customHeight="1" x14ac:dyDescent="0.25">
      <c r="A50" s="6" t="s">
        <v>89</v>
      </c>
      <c r="B50" s="6">
        <f>COUNTIF('FY 2023 (Jan23-Dec23)'!K9:K412,"HR")</f>
        <v>0</v>
      </c>
      <c r="C50" s="6">
        <f>COUNTIF('FY 2024 (Jan24-Dec24)'!K9:K412,"HR")</f>
        <v>0</v>
      </c>
      <c r="D50" s="6">
        <f>COUNTIF('FY 2025 (Jan25-Dec25)'!K9:K412,"HR")</f>
        <v>6</v>
      </c>
      <c r="E50" s="6">
        <f>COUNTIF('FY 2026 (Jan26-Dec26)'!K9:K356,"HR")</f>
        <v>0</v>
      </c>
      <c r="F50" s="6">
        <f>COUNTIF('FY 2027 (Jan27-Dec27)'!K9:K412,"HR")</f>
        <v>0</v>
      </c>
      <c r="G50" s="6"/>
      <c r="H50" s="6"/>
      <c r="I50" s="6"/>
      <c r="J50" s="6"/>
      <c r="K50" s="6"/>
      <c r="L50" s="6"/>
      <c r="M50" s="6"/>
      <c r="N50" s="6"/>
      <c r="O50" s="6"/>
    </row>
    <row r="51" spans="1:15" ht="15" customHeight="1" x14ac:dyDescent="0.25">
      <c r="A51" s="6" t="s">
        <v>91</v>
      </c>
      <c r="B51" s="6">
        <f>COUNTIF('FY 2023 (Jan23-Dec23)'!K9:K412,"QA")</f>
        <v>0</v>
      </c>
      <c r="C51" s="6">
        <f>COUNTIF('FY 2024 (Jan24-Dec24)'!K9:K412,"QA")</f>
        <v>0</v>
      </c>
      <c r="D51" s="6">
        <f>COUNTIF('FY 2025 (Jan25-Dec25)'!K9:K412,"QA")</f>
        <v>1</v>
      </c>
      <c r="E51" s="6">
        <f>COUNTIF('FY 2026 (Jan26-Dec26)'!K9:K356,"QA")</f>
        <v>1</v>
      </c>
      <c r="F51" s="6">
        <f>COUNTIF('FY 2027 (Jan27-Dec27)'!K9:K412,"QA")</f>
        <v>0</v>
      </c>
      <c r="G51" s="6"/>
      <c r="H51" s="6"/>
      <c r="I51" s="6"/>
      <c r="J51" s="6"/>
      <c r="K51" s="6"/>
      <c r="L51" s="6"/>
      <c r="M51" s="6"/>
      <c r="N51" s="6"/>
      <c r="O51" s="6"/>
    </row>
    <row r="52" spans="1:15" ht="15" customHeight="1" x14ac:dyDescent="0.25">
      <c r="A52" s="6" t="s">
        <v>70</v>
      </c>
      <c r="B52" s="6">
        <f>COUNTIF('FY 2023 (Jan23-Dec23)'!K9:K412,"Other")</f>
        <v>8</v>
      </c>
      <c r="C52" s="6">
        <f>COUNTIF('FY 2024 (Jan24-Dec24)'!K9:K412,"Other")</f>
        <v>6</v>
      </c>
      <c r="D52" s="6">
        <f>COUNTIF('FY 2025 (Jan25-Dec25)'!K9:K412,"Other")</f>
        <v>8</v>
      </c>
      <c r="E52" s="6">
        <f>COUNTIF('FY 2026 (Jan26-Dec26)'!K9:K356,"Other")</f>
        <v>2</v>
      </c>
      <c r="F52" s="6">
        <f>COUNTIF('FY 2027 (Jan27-Dec27)'!K9:K412,"Other")</f>
        <v>0</v>
      </c>
      <c r="G52" s="6"/>
      <c r="H52" s="6"/>
      <c r="I52" s="6"/>
      <c r="J52" s="6"/>
      <c r="K52" s="6"/>
      <c r="L52" s="6"/>
      <c r="M52" s="6"/>
      <c r="N52" s="6"/>
      <c r="O52" s="6"/>
    </row>
    <row r="53" spans="1:15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15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ht="15" customHeight="1" x14ac:dyDescent="0.25">
      <c r="A55" s="137" t="s">
        <v>50</v>
      </c>
      <c r="B55" s="137" t="s">
        <v>51</v>
      </c>
      <c r="C55" s="137" t="s">
        <v>103</v>
      </c>
      <c r="D55" s="137" t="s">
        <v>104</v>
      </c>
      <c r="E55" s="137" t="s">
        <v>105</v>
      </c>
      <c r="F55" s="137" t="s">
        <v>3</v>
      </c>
      <c r="G55" s="137" t="s">
        <v>106</v>
      </c>
      <c r="H55" s="6"/>
      <c r="I55" s="6"/>
      <c r="J55" s="6"/>
      <c r="K55" s="6"/>
      <c r="L55" s="6"/>
      <c r="M55" s="6"/>
      <c r="N55" s="6"/>
      <c r="O55" s="6"/>
    </row>
    <row r="56" spans="1:15" ht="15" customHeight="1" x14ac:dyDescent="0.25">
      <c r="A56" s="6" t="s">
        <v>53</v>
      </c>
      <c r="B56" s="6">
        <f>IFERROR(VLOOKUP(A56,Reference!$C$2:$D$14,2,FALSE),"Other")</f>
      </c>
      <c r="C56" s="6">
        <f>COUNTIF('FY 2023 (Jan23-Dec23)'!H9:H412,"Resignation")</f>
        <v>5</v>
      </c>
      <c r="D56" s="6">
        <f>COUNTIF('FY 2024 (Jan24-Dec24)'!H9:H412,"Resignation")</f>
        <v>3</v>
      </c>
      <c r="E56" s="6">
        <f>COUNTIF('FY 2025 (Jan25-Dec25)'!H9:H412,"Resignation")</f>
        <v>61</v>
      </c>
      <c r="F56" s="6">
        <f>COUNTIF('FY 2026 (Jan26-Dec26)'!H9:H356,"Resignation")</f>
        <v>15</v>
      </c>
      <c r="G56" s="6">
        <f>COUNTIF('FY 2027 (Jan27-Dec27)'!H9:H412,"Resignation")</f>
        <v>0</v>
      </c>
      <c r="H56" s="6"/>
      <c r="I56" s="6"/>
      <c r="J56" s="6"/>
      <c r="K56" s="6"/>
      <c r="L56" s="6"/>
      <c r="M56" s="6"/>
      <c r="N56" s="6"/>
      <c r="O56" s="6"/>
    </row>
    <row r="57" spans="1:15" ht="15" customHeight="1" x14ac:dyDescent="0.25">
      <c r="A57" s="6" t="s">
        <v>56</v>
      </c>
      <c r="B57" s="6">
        <f>IFERROR(VLOOKUP(A57,Reference!$C$2:$D$14,2,FALSE),"Other")</f>
      </c>
      <c r="C57" s="6">
        <f>COUNTIF('FY 2023 (Jan23-Dec23)'!H9:H412,"Better Opportunity")</f>
        <v>11</v>
      </c>
      <c r="D57" s="6">
        <f>COUNTIF('FY 2024 (Jan24-Dec24)'!H9:H412,"Better Opportunity")</f>
        <v>27</v>
      </c>
      <c r="E57" s="6">
        <f>COUNTIF('FY 2025 (Jan25-Dec25)'!H9:H412,"Better Opportunity")</f>
        <v>17</v>
      </c>
      <c r="F57" s="6">
        <f>COUNTIF('FY 2026 (Jan26-Dec26)'!H9:H356,"Better Opportunity")</f>
        <v>3</v>
      </c>
      <c r="G57" s="6">
        <f>COUNTIF('FY 2027 (Jan27-Dec27)'!H9:H412,"Better Opportunity")</f>
        <v>0</v>
      </c>
      <c r="H57" s="6"/>
      <c r="I57" s="6"/>
      <c r="J57" s="6"/>
      <c r="K57" s="6"/>
      <c r="L57" s="6"/>
      <c r="M57" s="6"/>
      <c r="N57" s="6"/>
      <c r="O57" s="6"/>
    </row>
    <row r="58" spans="1:15" ht="15" customHeight="1" x14ac:dyDescent="0.25">
      <c r="A58" s="6" t="s">
        <v>58</v>
      </c>
      <c r="B58" s="6">
        <f>IFERROR(VLOOKUP(A58,Reference!$C$2:$D$14,2,FALSE),"Other")</f>
      </c>
      <c r="C58" s="6">
        <f>COUNTIF('FY 2023 (Jan23-Dec23)'!H9:H412,"Personal Reasons")</f>
        <v>15</v>
      </c>
      <c r="D58" s="6">
        <f>COUNTIF('FY 2024 (Jan24-Dec24)'!H9:H412,"Personal Reasons")</f>
        <v>44</v>
      </c>
      <c r="E58" s="6">
        <f>COUNTIF('FY 2025 (Jan25-Dec25)'!H9:H412,"Personal Reasons")</f>
        <v>18</v>
      </c>
      <c r="F58" s="6">
        <f>COUNTIF('FY 2026 (Jan26-Dec26)'!H9:H356,"Personal Reasons")</f>
        <v>3</v>
      </c>
      <c r="G58" s="6">
        <f>COUNTIF('FY 2027 (Jan27-Dec27)'!H9:H412,"Personal Reasons")</f>
        <v>0</v>
      </c>
      <c r="H58" s="6"/>
      <c r="I58" s="6"/>
      <c r="J58" s="6"/>
      <c r="K58" s="6"/>
      <c r="L58" s="6"/>
      <c r="M58" s="6"/>
      <c r="N58" s="6"/>
      <c r="O58" s="6"/>
    </row>
    <row r="59" spans="1:15" ht="15" customHeight="1" x14ac:dyDescent="0.25">
      <c r="A59" s="6" t="s">
        <v>60</v>
      </c>
      <c r="B59" s="6">
        <f>IFERROR(VLOOKUP(A59,Reference!$C$2:$D$14,2,FALSE),"Other")</f>
      </c>
      <c r="C59" s="6">
        <f>COUNTIF('FY 2023 (Jan23-Dec23)'!H9:H412,"Relocation")</f>
        <v>3</v>
      </c>
      <c r="D59" s="6">
        <f>COUNTIF('FY 2024 (Jan24-Dec24)'!H9:H412,"Relocation")</f>
        <v>11</v>
      </c>
      <c r="E59" s="6">
        <f>COUNTIF('FY 2025 (Jan25-Dec25)'!H9:H412,"Relocation")</f>
        <v>2</v>
      </c>
      <c r="F59" s="6">
        <f>COUNTIF('FY 2026 (Jan26-Dec26)'!H9:H356,"Relocation")</f>
        <v>0</v>
      </c>
      <c r="G59" s="6">
        <f>COUNTIF('FY 2027 (Jan27-Dec27)'!H9:H412,"Relocation")</f>
        <v>0</v>
      </c>
      <c r="H59" s="6"/>
      <c r="I59" s="6"/>
      <c r="J59" s="6"/>
      <c r="K59" s="6"/>
      <c r="L59" s="6"/>
      <c r="M59" s="6"/>
      <c r="N59" s="6"/>
      <c r="O59" s="6"/>
    </row>
    <row r="60" spans="1:15" ht="15" customHeight="1" x14ac:dyDescent="0.25">
      <c r="A60" s="6" t="s">
        <v>62</v>
      </c>
      <c r="B60" s="6">
        <f>IFERROR(VLOOKUP(A60,Reference!$C$2:$D$14,2,FALSE),"Other")</f>
      </c>
      <c r="C60" s="6">
        <f>COUNTIF('FY 2023 (Jan23-Dec23)'!H9:H412,"Retirement")</f>
        <v>2</v>
      </c>
      <c r="D60" s="6">
        <f>COUNTIF('FY 2024 (Jan24-Dec24)'!H9:H412,"Retirement")</f>
        <v>2</v>
      </c>
      <c r="E60" s="6">
        <f>COUNTIF('FY 2025 (Jan25-Dec25)'!H9:H412,"Retirement")</f>
        <v>0</v>
      </c>
      <c r="F60" s="6">
        <f>COUNTIF('FY 2026 (Jan26-Dec26)'!H9:H356,"Retirement")</f>
        <v>0</v>
      </c>
      <c r="G60" s="6">
        <f>COUNTIF('FY 2027 (Jan27-Dec27)'!H9:H412,"Retirement")</f>
        <v>0</v>
      </c>
      <c r="H60" s="6"/>
      <c r="I60" s="6"/>
      <c r="J60" s="6"/>
      <c r="K60" s="6"/>
      <c r="L60" s="6"/>
      <c r="M60" s="6"/>
      <c r="N60" s="6"/>
      <c r="O60" s="6"/>
    </row>
    <row r="61" spans="1:15" ht="15" customHeight="1" x14ac:dyDescent="0.25">
      <c r="A61" s="6" t="s">
        <v>64</v>
      </c>
      <c r="B61" s="6">
        <f>IFERROR(VLOOKUP(A61,Reference!$C$2:$D$14,2,FALSE),"Other")</f>
      </c>
      <c r="C61" s="6">
        <f>COUNTIF('FY 2023 (Jan23-Dec23)'!H9:H412,"Termination")</f>
        <v>4</v>
      </c>
      <c r="D61" s="6">
        <f>COUNTIF('FY 2024 (Jan24-Dec24)'!H9:H412,"Termination")</f>
        <v>13</v>
      </c>
      <c r="E61" s="6">
        <f>COUNTIF('FY 2025 (Jan25-Dec25)'!H9:H412,"Termination")</f>
        <v>5</v>
      </c>
      <c r="F61" s="6">
        <f>COUNTIF('FY 2026 (Jan26-Dec26)'!H9:H356,"Termination")</f>
        <v>4</v>
      </c>
      <c r="G61" s="6">
        <f>COUNTIF('FY 2027 (Jan27-Dec27)'!H9:H412,"Termination")</f>
        <v>0</v>
      </c>
      <c r="H61" s="6"/>
      <c r="I61" s="6"/>
      <c r="J61" s="6"/>
      <c r="K61" s="6"/>
      <c r="L61" s="6"/>
      <c r="M61" s="6"/>
      <c r="N61" s="6"/>
      <c r="O61" s="6"/>
    </row>
    <row r="62" spans="1:15" ht="15" customHeight="1" x14ac:dyDescent="0.25">
      <c r="A62" s="6" t="s">
        <v>67</v>
      </c>
      <c r="B62" s="6">
        <f>IFERROR(VLOOKUP(A62,Reference!$C$2:$D$14,2,FALSE),"Other")</f>
      </c>
      <c r="C62" s="6">
        <f>COUNTIF('FY 2023 (Jan23-Dec23)'!H9:H412,"Layoff")</f>
        <v>0</v>
      </c>
      <c r="D62" s="6">
        <f>COUNTIF('FY 2024 (Jan24-Dec24)'!H9:H412,"Layoff")</f>
        <v>0</v>
      </c>
      <c r="E62" s="6">
        <f>COUNTIF('FY 2025 (Jan25-Dec25)'!H9:H412,"Layoff")</f>
        <v>0</v>
      </c>
      <c r="F62" s="6">
        <f>COUNTIF('FY 2026 (Jan26-Dec26)'!H9:H356,"Layoff")</f>
        <v>0</v>
      </c>
      <c r="G62" s="6">
        <f>COUNTIF('FY 2027 (Jan27-Dec27)'!H9:H412,"Layoff")</f>
        <v>0</v>
      </c>
      <c r="H62" s="6"/>
      <c r="I62" s="6"/>
      <c r="J62" s="6"/>
      <c r="K62" s="6"/>
      <c r="L62" s="6"/>
      <c r="M62" s="6"/>
      <c r="N62" s="6"/>
      <c r="O62" s="6"/>
    </row>
    <row r="63" spans="1:15" ht="15" customHeight="1" x14ac:dyDescent="0.25">
      <c r="A63" s="6" t="s">
        <v>69</v>
      </c>
      <c r="B63" s="6">
        <f>IFERROR(VLOOKUP(A63,Reference!$C$2:$D$14,2,FALSE),"Other")</f>
      </c>
      <c r="C63" s="6">
        <f>COUNTIF('FY 2023 (Jan23-Dec23)'!H9:H412,"Job Abandonment")</f>
        <v>17</v>
      </c>
      <c r="D63" s="6">
        <f>COUNTIF('FY 2024 (Jan24-Dec24)'!H9:H412,"Job Abandonment")</f>
        <v>24</v>
      </c>
      <c r="E63" s="6">
        <f>COUNTIF('FY 2025 (Jan25-Dec25)'!H9:H412,"Job Abandonment")</f>
        <v>23</v>
      </c>
      <c r="F63" s="6">
        <f>COUNTIF('FY 2026 (Jan26-Dec26)'!H9:H356,"Job Abandonment")</f>
        <v>1</v>
      </c>
      <c r="G63" s="6">
        <f>COUNTIF('FY 2027 (Jan27-Dec27)'!H9:H412,"Job Abandonment")</f>
        <v>0</v>
      </c>
      <c r="H63" s="6"/>
      <c r="I63" s="6"/>
      <c r="J63" s="6"/>
      <c r="K63" s="6"/>
      <c r="L63" s="6"/>
      <c r="M63" s="6"/>
      <c r="N63" s="6"/>
      <c r="O63" s="6"/>
    </row>
    <row r="64" spans="1:15" ht="15" customHeight="1" x14ac:dyDescent="0.25">
      <c r="A64" s="6" t="s">
        <v>72</v>
      </c>
      <c r="B64" s="6">
        <f>IFERROR(VLOOKUP(A64,Reference!$C$2:$D$14,2,FALSE),"Other")</f>
      </c>
      <c r="C64" s="6">
        <f>COUNTIF('FY 2023 (Jan23-Dec23)'!H9:H412,"End of Contract")</f>
        <v>0</v>
      </c>
      <c r="D64" s="6">
        <f>COUNTIF('FY 2024 (Jan24-Dec24)'!H9:H412,"End of Contract")</f>
        <v>0</v>
      </c>
      <c r="E64" s="6">
        <f>COUNTIF('FY 2025 (Jan25-Dec25)'!H9:H412,"End of Contract")</f>
        <v>1</v>
      </c>
      <c r="F64" s="6">
        <f>COUNTIF('FY 2026 (Jan26-Dec26)'!H9:H356,"End of Contract")</f>
        <v>0</v>
      </c>
      <c r="G64" s="6">
        <f>COUNTIF('FY 2027 (Jan27-Dec27)'!H9:H412,"End of Contract")</f>
        <v>0</v>
      </c>
      <c r="H64" s="6"/>
      <c r="I64" s="6"/>
      <c r="J64" s="6"/>
      <c r="K64" s="6"/>
      <c r="L64" s="6"/>
      <c r="M64" s="6"/>
      <c r="N64" s="6"/>
      <c r="O64" s="6"/>
    </row>
    <row r="65" spans="1:15" ht="15" customHeight="1" x14ac:dyDescent="0.25">
      <c r="A65" s="6" t="s">
        <v>70</v>
      </c>
      <c r="B65" s="6">
        <f>IFERROR(VLOOKUP(A65,Reference!$C$2:$D$14,2,FALSE),"Other")</f>
      </c>
      <c r="C65" s="6">
        <f>COUNTIF('FY 2023 (Jan23-Dec23)'!H9:H412,"Other")</f>
        <v>1</v>
      </c>
      <c r="D65" s="6">
        <f>COUNTIF('FY 2024 (Jan24-Dec24)'!H9:H412,"Other")</f>
        <v>28</v>
      </c>
      <c r="E65" s="6">
        <f>COUNTIF('FY 2025 (Jan25-Dec25)'!H9:H412,"Other")</f>
        <v>8</v>
      </c>
      <c r="F65" s="6">
        <f>COUNTIF('FY 2026 (Jan26-Dec26)'!H9:H356,"Other")</f>
        <v>2</v>
      </c>
      <c r="G65" s="6">
        <f>COUNTIF('FY 2027 (Jan27-Dec27)'!H9:H412,"Other")</f>
        <v>0</v>
      </c>
      <c r="H65" s="6"/>
      <c r="I65" s="6"/>
      <c r="J65" s="6"/>
      <c r="K65" s="6"/>
      <c r="L65" s="6"/>
      <c r="M65" s="6"/>
      <c r="N65" s="6"/>
      <c r="O65" s="6"/>
    </row>
    <row r="66" spans="1:15" ht="15" customHeight="1" x14ac:dyDescent="0.25">
      <c r="A66" s="6" t="s">
        <v>75</v>
      </c>
      <c r="B66" s="6">
        <f>IFERROR(VLOOKUP(A66,Reference!$C$2:$D$14,2,FALSE),"Other")</f>
      </c>
      <c r="C66" s="6">
        <f>COUNTIF('FY 2023 (Jan23-Dec23)'!H9:H412,"Performance Issues")</f>
        <v>3</v>
      </c>
      <c r="D66" s="6">
        <f>COUNTIF('FY 2024 (Jan24-Dec24)'!H9:H412,"Performance Issues")</f>
        <v>4</v>
      </c>
      <c r="E66" s="6">
        <f>COUNTIF('FY 2025 (Jan25-Dec25)'!H9:H412,"Performance Issues")</f>
        <v>2</v>
      </c>
      <c r="F66" s="6">
        <f>COUNTIF('FY 2026 (Jan26-Dec26)'!H9:H356,"Performance Issues")</f>
        <v>1</v>
      </c>
      <c r="G66" s="6">
        <f>COUNTIF('FY 2027 (Jan27-Dec27)'!H9:H412,"Performance Issues")</f>
        <v>0</v>
      </c>
      <c r="H66" s="6"/>
      <c r="I66" s="6"/>
      <c r="J66" s="6"/>
      <c r="K66" s="6"/>
      <c r="L66" s="6"/>
      <c r="M66" s="6"/>
      <c r="N66" s="6"/>
      <c r="O66" s="6"/>
    </row>
    <row r="67" spans="1:15" ht="15" customHeight="1" x14ac:dyDescent="0.25">
      <c r="A67" s="6" t="s">
        <v>77</v>
      </c>
      <c r="B67" s="6">
        <f>IFERROR(VLOOKUP(A67,Reference!$C$2:$D$14,2,FALSE),"Other")</f>
      </c>
      <c r="C67" s="6">
        <f>COUNTIF('FY 2023 (Jan23-Dec23)'!H9:H412,"Attendance Issues")</f>
        <v>1</v>
      </c>
      <c r="D67" s="6">
        <f>COUNTIF('FY 2024 (Jan24-Dec24)'!H9:H412,"Attendance Issues")</f>
        <v>1</v>
      </c>
      <c r="E67" s="6">
        <f>COUNTIF('FY 2025 (Jan25-Dec25)'!H9:H412,"Attendance Issues")</f>
        <v>1</v>
      </c>
      <c r="F67" s="6">
        <f>COUNTIF('FY 2026 (Jan26-Dec26)'!H9:H356,"Attendance Issues")</f>
        <v>1</v>
      </c>
      <c r="G67" s="6">
        <f>COUNTIF('FY 2027 (Jan27-Dec27)'!H9:H412,"Attendance Issues")</f>
        <v>0</v>
      </c>
      <c r="H67" s="6"/>
      <c r="I67" s="6"/>
      <c r="J67" s="6"/>
      <c r="K67" s="6"/>
      <c r="L67" s="6"/>
      <c r="M67" s="6"/>
      <c r="N67" s="6"/>
      <c r="O67" s="6"/>
    </row>
    <row r="68" spans="1:15" x14ac:dyDescent="0.25">
      <c r="A68" s="6" t="inlineStr">
        <is>
          <t xml:space="preserve">Resignation without Notice</t>
        </is>
      </c>
      <c r="B68" s="6">
        <f>IFERROR(VLOOKUP(A68,Reference!$C$2:$D$14,2,FALSE),"Other")</f>
      </c>
      <c r="C68" s="6">
        <f>COUNTIF('FY 2023 (Jan23-Dec23)'!H9:H412,"Resignation without Notice")</f>
      </c>
      <c r="D68" s="6">
        <f>COUNTIF('FY 2024 (Jan24-Dec24)'!H9:H412,"Resignation without Notice")</f>
      </c>
      <c r="E68" s="6">
        <f>COUNTIF('FY 2025 (Jan25-Dec25)'!H9:H412,"Resignation without Notice")</f>
      </c>
      <c r="F68" s="6">
        <f>COUNTIF('FY 2026 (Jan26-Dec26)'!H9:H412,"Resignation without Notice")</f>
      </c>
      <c r="G68" s="6">
        <f>COUNTIF('FY 2027 (Jan27-Dec27)'!H9:H412,"Resignation without Notice")</f>
      </c>
      <c r="H68" s="6"/>
      <c r="I68" s="6"/>
      <c r="J68" s="6"/>
      <c r="K68" s="6"/>
      <c r="L68" s="6"/>
      <c r="M68" s="6"/>
      <c r="N68" s="6"/>
      <c r="O68" s="6"/>
    </row>
    <row r="69" spans="1:15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5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1:1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ht="15" customHeight="1" x14ac:dyDescent="0.25">
      <c r="A75" s="137" t="s">
        <v>999</v>
      </c>
      <c r="B75" s="137" t="s">
        <v>97</v>
      </c>
      <c r="C75" s="137" t="s">
        <v>98</v>
      </c>
      <c r="D75" s="137" t="s">
        <v>18</v>
      </c>
      <c r="E75" s="137" t="s">
        <v>99</v>
      </c>
      <c r="F75" s="137" t="s">
        <v>54</v>
      </c>
      <c r="G75" s="137" t="s">
        <v>65</v>
      </c>
      <c r="H75" s="137" t="s">
        <v>101</v>
      </c>
      <c r="I75" s="137" t="s">
        <v>102</v>
      </c>
      <c r="J75" s="6"/>
      <c r="K75" s="6"/>
      <c r="L75" s="6"/>
      <c r="M75" s="6"/>
      <c r="N75" s="6"/>
      <c r="O75" s="6"/>
    </row>
    <row r="76" spans="1:15" ht="15" customHeight="1" x14ac:dyDescent="0.25">
      <c r="A76" s="6" t="s">
        <v>103</v>
      </c>
      <c r="B76" s="6">
        <f t="shared" ref="B76:G80" si="0">B2</f>
        <v>339</v>
      </c>
      <c r="C76" s="6">
        <f t="shared" si="0"/>
        <v>62</v>
      </c>
      <c r="D76" s="6">
        <f t="shared" si="0"/>
        <v>0.18289085545722714</v>
      </c>
      <c r="E76" s="6">
        <f t="shared" si="0"/>
        <v>10.333333333333334</v>
      </c>
      <c r="F76" s="6">
        <f t="shared" si="0"/>
        <v>36</v>
      </c>
      <c r="G76" s="6">
        <f t="shared" si="0"/>
        <v>4</v>
      </c>
      <c r="H76" s="6">
        <f>I2</f>
        <v>0.58064516129032262</v>
      </c>
      <c r="I76" s="6" t="s">
        <v>110</v>
      </c>
      <c r="J76" s="6"/>
      <c r="K76" s="6"/>
      <c r="L76" s="6"/>
      <c r="M76" s="6"/>
      <c r="N76" s="6"/>
      <c r="O76" s="6"/>
    </row>
    <row r="77" spans="1:15" ht="15" customHeight="1" x14ac:dyDescent="0.25">
      <c r="A77" s="6" t="s">
        <v>104</v>
      </c>
      <c r="B77" s="6">
        <f t="shared" si="0"/>
        <v>339</v>
      </c>
      <c r="C77" s="6">
        <f t="shared" si="0"/>
        <v>158</v>
      </c>
      <c r="D77" s="6">
        <f t="shared" si="0"/>
        <v>0.46607669616519176</v>
      </c>
      <c r="E77" s="6">
        <f t="shared" si="0"/>
        <v>13.166666666666666</v>
      </c>
      <c r="F77" s="6">
        <f t="shared" si="0"/>
        <v>87</v>
      </c>
      <c r="G77" s="6">
        <f t="shared" si="0"/>
        <v>13</v>
      </c>
      <c r="H77" s="6">
        <f>I3</f>
        <v>0.55063291139240511</v>
      </c>
      <c r="I77" s="6">
        <f>D3-D2</f>
        <v>0.2831858407079646</v>
      </c>
      <c r="J77" s="6"/>
      <c r="K77" s="6"/>
      <c r="L77" s="6"/>
      <c r="M77" s="6"/>
      <c r="N77" s="6"/>
      <c r="O77" s="6"/>
    </row>
    <row r="78" spans="1:15" ht="15" customHeight="1" x14ac:dyDescent="0.25">
      <c r="A78" s="6" t="s">
        <v>105</v>
      </c>
      <c r="B78" s="6">
        <f t="shared" si="0"/>
        <v>346</v>
      </c>
      <c r="C78" s="6">
        <f t="shared" si="0"/>
        <v>138</v>
      </c>
      <c r="D78" s="6">
        <f t="shared" si="0"/>
        <v>0.39884393063583817</v>
      </c>
      <c r="E78" s="6">
        <f t="shared" si="0"/>
        <v>11.5</v>
      </c>
      <c r="F78" s="6">
        <f t="shared" si="0"/>
        <v>98</v>
      </c>
      <c r="G78" s="6">
        <f t="shared" si="0"/>
        <v>5</v>
      </c>
      <c r="H78" s="6">
        <f>I4</f>
        <v>0.71014492753623193</v>
      </c>
      <c r="I78" s="6">
        <f>D4-D3</f>
        <v>-6.7232765529353589E-2</v>
      </c>
      <c r="J78" s="6"/>
      <c r="K78" s="6"/>
      <c r="L78" s="6"/>
      <c r="M78" s="6"/>
      <c r="N78" s="6"/>
      <c r="O78" s="6"/>
    </row>
    <row r="79" spans="1:15" ht="15" customHeight="1" x14ac:dyDescent="0.25">
      <c r="A79" s="6" t="s">
        <v>3</v>
      </c>
      <c r="B79" s="6">
        <f t="shared" si="0"/>
        <v>366</v>
      </c>
      <c r="C79" s="6">
        <f t="shared" si="0"/>
        <v>35</v>
      </c>
      <c r="D79" s="6">
        <f t="shared" si="0"/>
        <v>9.5628415300546443E-2</v>
      </c>
      <c r="E79" s="6">
        <f t="shared" si="0"/>
        <v>8.75</v>
      </c>
      <c r="F79" s="6">
        <f t="shared" si="0"/>
        <v>21</v>
      </c>
      <c r="G79" s="6">
        <f t="shared" si="0"/>
        <v>4</v>
      </c>
      <c r="H79" s="6">
        <f>I5</f>
        <v>0.6</v>
      </c>
      <c r="I79" s="6">
        <f>D5-D4</f>
        <v>-0.30321551533529173</v>
      </c>
      <c r="J79" s="6"/>
      <c r="K79" s="6"/>
      <c r="L79" s="6"/>
      <c r="M79" s="6"/>
      <c r="N79" s="6"/>
      <c r="O79" s="6"/>
    </row>
    <row r="80" spans="1:15" ht="15" customHeight="1" x14ac:dyDescent="0.25">
      <c r="A80" s="6" t="s">
        <v>106</v>
      </c>
      <c r="B80" s="6">
        <f t="shared" si="0"/>
        <v>364</v>
      </c>
      <c r="C80" s="6">
        <f t="shared" si="0"/>
        <v>0</v>
      </c>
      <c r="D80" s="6">
        <f t="shared" si="0"/>
        <v>0</v>
      </c>
      <c r="E80" s="6">
        <f t="shared" si="0"/>
        <v>0</v>
      </c>
      <c r="F80" s="6">
        <f t="shared" si="0"/>
        <v>0</v>
      </c>
      <c r="G80" s="6">
        <f t="shared" si="0"/>
        <v>0</v>
      </c>
      <c r="H80" s="6">
        <f>I6</f>
        <v>0</v>
      </c>
      <c r="I80" s="6">
        <f>D6-D5</f>
        <v>-9.5628415300546443E-2</v>
      </c>
      <c r="J80" s="6"/>
      <c r="K80" s="6"/>
      <c r="L80" s="6"/>
      <c r="M80" s="6"/>
      <c r="N80" s="6"/>
      <c r="O80" s="6"/>
    </row>
    <row r="81" spans="1:15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1:1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1:15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ht="27.75" customHeight="1" x14ac:dyDescent="0.25">
      <c r="A85" s="157" t="s">
        <v>1002</v>
      </c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6"/>
    </row>
    <row r="86" spans="1:15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ht="21.75" customHeight="1" x14ac:dyDescent="0.25">
      <c r="A87" s="82" t="s">
        <v>1003</v>
      </c>
      <c r="B87" s="82" t="s">
        <v>35</v>
      </c>
      <c r="C87" s="82" t="s">
        <v>37</v>
      </c>
      <c r="D87" s="82" t="s">
        <v>39</v>
      </c>
      <c r="E87" s="82" t="s">
        <v>41</v>
      </c>
      <c r="F87" s="82" t="s">
        <v>43</v>
      </c>
      <c r="G87" s="82" t="s">
        <v>45</v>
      </c>
      <c r="H87" s="82" t="s">
        <v>23</v>
      </c>
      <c r="I87" s="82" t="s">
        <v>25</v>
      </c>
      <c r="J87" s="82" t="s">
        <v>27</v>
      </c>
      <c r="K87" s="82" t="s">
        <v>29</v>
      </c>
      <c r="L87" s="82" t="s">
        <v>31</v>
      </c>
      <c r="M87" s="82" t="s">
        <v>33</v>
      </c>
      <c r="N87" s="82" t="s">
        <v>135</v>
      </c>
      <c r="O87" s="6"/>
    </row>
    <row r="88" spans="1:15" ht="15" customHeight="1" x14ac:dyDescent="0.25">
      <c r="A88" s="83" t="s">
        <v>109</v>
      </c>
      <c r="B88" s="90">
        <v>10</v>
      </c>
      <c r="C88" s="90">
        <v>9</v>
      </c>
      <c r="D88" s="90">
        <v>12</v>
      </c>
      <c r="E88" s="90">
        <v>12</v>
      </c>
      <c r="F88" s="90">
        <v>10</v>
      </c>
      <c r="G88" s="90">
        <v>9</v>
      </c>
      <c r="H88" s="90">
        <v>24</v>
      </c>
      <c r="I88" s="90">
        <v>11</v>
      </c>
      <c r="J88" s="90">
        <v>14</v>
      </c>
      <c r="K88" s="90">
        <v>13</v>
      </c>
      <c r="L88" s="90">
        <v>17</v>
      </c>
      <c r="M88" s="90">
        <v>12</v>
      </c>
      <c r="N88" s="138">
        <f>SUM(B88:M88)</f>
        <v>153</v>
      </c>
      <c r="O88" s="6"/>
    </row>
    <row r="89" spans="1:15" ht="15" customHeight="1" x14ac:dyDescent="0.25">
      <c r="A89" s="86" t="s">
        <v>6</v>
      </c>
      <c r="B89" s="87">
        <v>13</v>
      </c>
      <c r="C89" s="87">
        <v>16</v>
      </c>
      <c r="D89" s="87">
        <v>8</v>
      </c>
      <c r="E89" s="87">
        <v>7</v>
      </c>
      <c r="F89" s="87">
        <v>14</v>
      </c>
      <c r="G89" s="87">
        <v>9</v>
      </c>
      <c r="H89" s="87">
        <v>14</v>
      </c>
      <c r="I89" s="87">
        <v>13</v>
      </c>
      <c r="J89" s="87">
        <v>12</v>
      </c>
      <c r="K89" s="87">
        <v>7</v>
      </c>
      <c r="L89" s="87">
        <v>18</v>
      </c>
      <c r="M89" s="87">
        <v>5</v>
      </c>
      <c r="N89" s="139">
        <f>SUM(B89:M89)</f>
        <v>136</v>
      </c>
      <c r="O89" s="6"/>
    </row>
    <row r="90" spans="1:15" ht="15" customHeight="1" x14ac:dyDescent="0.25">
      <c r="A90" s="83" t="s">
        <v>111</v>
      </c>
      <c r="B90" s="90">
        <v>16</v>
      </c>
      <c r="C90" s="90">
        <v>14</v>
      </c>
      <c r="D90" s="90">
        <v>12</v>
      </c>
      <c r="E90" s="90">
        <v>13</v>
      </c>
      <c r="F90" s="90">
        <v>9</v>
      </c>
      <c r="G90" s="90">
        <v>5</v>
      </c>
      <c r="H90" s="90">
        <v>8</v>
      </c>
      <c r="I90" s="90">
        <v>10</v>
      </c>
      <c r="J90" s="90">
        <v>10</v>
      </c>
      <c r="K90" s="90">
        <v>2</v>
      </c>
      <c r="L90" s="90">
        <v>0</v>
      </c>
      <c r="M90" s="90">
        <v>0</v>
      </c>
      <c r="N90" s="138">
        <f>SUM(B90:M90)</f>
        <v>99</v>
      </c>
      <c r="O90" s="6"/>
    </row>
    <row r="91" spans="1:15" ht="15" customHeight="1" x14ac:dyDescent="0.25">
      <c r="A91" s="86" t="s">
        <v>112</v>
      </c>
      <c r="B91" s="87">
        <v>0</v>
      </c>
      <c r="C91" s="87">
        <v>0</v>
      </c>
      <c r="D91" s="87">
        <v>0</v>
      </c>
      <c r="E91" s="87">
        <v>0</v>
      </c>
      <c r="F91" s="87">
        <v>0</v>
      </c>
      <c r="G91" s="87">
        <v>0</v>
      </c>
      <c r="H91" s="87">
        <v>0</v>
      </c>
      <c r="I91" s="87">
        <v>0</v>
      </c>
      <c r="J91" s="87">
        <v>0</v>
      </c>
      <c r="K91" s="87">
        <v>0</v>
      </c>
      <c r="L91" s="87">
        <v>0</v>
      </c>
      <c r="M91" s="87">
        <v>0</v>
      </c>
      <c r="N91" s="139">
        <f>SUM(B91:M91)</f>
        <v>0</v>
      </c>
      <c r="O91" s="6"/>
    </row>
    <row r="92" spans="1:15" ht="15" customHeight="1" x14ac:dyDescent="0.25">
      <c r="A92" s="140" t="s">
        <v>1004</v>
      </c>
      <c r="B92" s="141">
        <f t="shared" ref="B92:N92" si="1">AVERAGE(B88:B91)</f>
        <v>9.75</v>
      </c>
      <c r="C92" s="141">
        <f t="shared" si="1"/>
        <v>9.75</v>
      </c>
      <c r="D92" s="141">
        <f t="shared" si="1"/>
        <v>8</v>
      </c>
      <c r="E92" s="141">
        <f t="shared" si="1"/>
        <v>8</v>
      </c>
      <c r="F92" s="141">
        <f t="shared" si="1"/>
        <v>8.25</v>
      </c>
      <c r="G92" s="141">
        <f t="shared" si="1"/>
        <v>5.75</v>
      </c>
      <c r="H92" s="141">
        <f t="shared" si="1"/>
        <v>11.5</v>
      </c>
      <c r="I92" s="141">
        <f t="shared" si="1"/>
        <v>8.5</v>
      </c>
      <c r="J92" s="141">
        <f t="shared" si="1"/>
        <v>9</v>
      </c>
      <c r="K92" s="141">
        <f t="shared" si="1"/>
        <v>5.5</v>
      </c>
      <c r="L92" s="141">
        <f t="shared" si="1"/>
        <v>8.75</v>
      </c>
      <c r="M92" s="141">
        <f t="shared" si="1"/>
        <v>4.25</v>
      </c>
      <c r="N92" s="141">
        <f t="shared" si="1"/>
        <v>97</v>
      </c>
      <c r="O92" s="6"/>
    </row>
    <row r="93" spans="1:15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1:1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ht="27.75" customHeight="1" x14ac:dyDescent="0.25">
      <c r="A95" s="157" t="s">
        <v>1005</v>
      </c>
      <c r="B95" s="157"/>
      <c r="C95" s="157"/>
      <c r="D95" s="157"/>
      <c r="E95" s="157"/>
      <c r="F95" s="157"/>
      <c r="G95" s="157"/>
      <c r="H95" s="157"/>
      <c r="I95" s="157"/>
      <c r="J95" s="6"/>
      <c r="K95" s="6"/>
      <c r="L95" s="6"/>
      <c r="M95" s="6"/>
      <c r="N95" s="6"/>
      <c r="O95" s="6"/>
    </row>
    <row r="96" spans="1:15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ht="21.75" customHeight="1" x14ac:dyDescent="0.25">
      <c r="A97" s="82" t="s">
        <v>999</v>
      </c>
      <c r="B97" s="82" t="s">
        <v>97</v>
      </c>
      <c r="C97" s="82" t="s">
        <v>98</v>
      </c>
      <c r="D97" s="82" t="s">
        <v>18</v>
      </c>
      <c r="E97" s="82" t="s">
        <v>99</v>
      </c>
      <c r="F97" s="82" t="s">
        <v>100</v>
      </c>
      <c r="G97" s="82" t="s">
        <v>1006</v>
      </c>
      <c r="H97" s="82" t="s">
        <v>101</v>
      </c>
      <c r="I97" s="82" t="s">
        <v>102</v>
      </c>
      <c r="J97" s="6"/>
      <c r="K97" s="6"/>
      <c r="L97" s="6"/>
      <c r="M97" s="6"/>
      <c r="N97" s="6"/>
      <c r="O97" s="6"/>
    </row>
    <row r="98" spans="1:15" ht="15" customHeight="1" x14ac:dyDescent="0.25">
      <c r="A98" s="83" t="s">
        <v>104</v>
      </c>
      <c r="B98" s="90">
        <v>339</v>
      </c>
      <c r="C98" s="90">
        <v>153</v>
      </c>
      <c r="D98" s="84">
        <v>0.45132743362831901</v>
      </c>
      <c r="E98" s="91">
        <v>12.75</v>
      </c>
      <c r="F98" s="90">
        <v>83</v>
      </c>
      <c r="G98" s="90">
        <v>13</v>
      </c>
      <c r="H98" s="84">
        <v>0.54248366013071903</v>
      </c>
      <c r="I98" s="90" t="s">
        <v>110</v>
      </c>
      <c r="J98" s="6"/>
      <c r="K98" s="6"/>
      <c r="L98" s="6"/>
      <c r="M98" s="6"/>
      <c r="N98" s="6"/>
      <c r="O98" s="6"/>
    </row>
    <row r="99" spans="1:15" ht="15" customHeight="1" x14ac:dyDescent="0.25">
      <c r="A99" s="86" t="s">
        <v>105</v>
      </c>
      <c r="B99" s="87">
        <v>339</v>
      </c>
      <c r="C99" s="87">
        <v>136</v>
      </c>
      <c r="D99" s="142">
        <v>0.40117994100295001</v>
      </c>
      <c r="E99" s="88">
        <v>11.3333333333333</v>
      </c>
      <c r="F99" s="87">
        <v>81</v>
      </c>
      <c r="G99" s="87">
        <v>9</v>
      </c>
      <c r="H99" s="142">
        <v>0.59558823529411797</v>
      </c>
      <c r="I99" s="142">
        <v>-5.0147492625368703E-2</v>
      </c>
      <c r="J99" s="6"/>
      <c r="K99" s="6"/>
      <c r="L99" s="6"/>
      <c r="M99" s="6"/>
      <c r="N99" s="6"/>
      <c r="O99" s="6"/>
    </row>
    <row r="100" spans="1:15" ht="15" customHeight="1" x14ac:dyDescent="0.25">
      <c r="A100" s="83" t="s">
        <v>3</v>
      </c>
      <c r="B100" s="90">
        <v>346</v>
      </c>
      <c r="C100" s="90">
        <v>99</v>
      </c>
      <c r="D100" s="84">
        <v>0.28612716763005802</v>
      </c>
      <c r="E100" s="91">
        <v>8.25</v>
      </c>
      <c r="F100" s="90">
        <v>78</v>
      </c>
      <c r="G100" s="90">
        <v>4</v>
      </c>
      <c r="H100" s="84">
        <v>0.78787878787878796</v>
      </c>
      <c r="I100" s="84">
        <v>-0.11505277337289201</v>
      </c>
      <c r="J100" s="6"/>
      <c r="K100" s="6"/>
      <c r="L100" s="6"/>
      <c r="M100" s="6"/>
      <c r="N100" s="6"/>
      <c r="O100" s="6"/>
    </row>
    <row r="101" spans="1:15" ht="15" customHeight="1" x14ac:dyDescent="0.25">
      <c r="A101" s="86" t="s">
        <v>106</v>
      </c>
      <c r="B101" s="87">
        <v>364</v>
      </c>
      <c r="C101" s="87">
        <v>0</v>
      </c>
      <c r="D101" s="142">
        <v>0</v>
      </c>
      <c r="E101" s="88">
        <v>0</v>
      </c>
      <c r="F101" s="87">
        <v>0</v>
      </c>
      <c r="G101" s="87">
        <v>0</v>
      </c>
      <c r="H101" s="142">
        <v>0</v>
      </c>
      <c r="I101" s="142">
        <v>-0.28612716763005802</v>
      </c>
      <c r="J101" s="6"/>
      <c r="K101" s="6"/>
      <c r="L101" s="6"/>
      <c r="M101" s="6"/>
      <c r="N101" s="6"/>
      <c r="O101" s="6"/>
    </row>
    <row r="102" spans="1:15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1:15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1:15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1:15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1:15" ht="15" customHeight="1" x14ac:dyDescent="0.25">
      <c r="A110" s="143" t="s">
        <v>1003</v>
      </c>
      <c r="B110" s="143" t="s">
        <v>97</v>
      </c>
      <c r="C110" s="143" t="s">
        <v>98</v>
      </c>
      <c r="D110" s="143" t="s">
        <v>18</v>
      </c>
      <c r="E110" s="143" t="s">
        <v>99</v>
      </c>
      <c r="F110" s="143" t="s">
        <v>54</v>
      </c>
      <c r="G110" s="143" t="s">
        <v>65</v>
      </c>
      <c r="H110" s="143" t="s">
        <v>70</v>
      </c>
      <c r="I110" s="143" t="s">
        <v>101</v>
      </c>
      <c r="J110" s="143" t="s">
        <v>1000</v>
      </c>
      <c r="K110" s="6"/>
      <c r="L110" s="6"/>
      <c r="M110" s="6"/>
      <c r="N110" s="6"/>
      <c r="O110" s="6"/>
    </row>
    <row r="111" spans="1:15" ht="15" customHeight="1" x14ac:dyDescent="0.25">
      <c r="A111" s="6" t="s">
        <v>109</v>
      </c>
      <c r="B111" s="6">
        <v>339</v>
      </c>
      <c r="C111" s="6">
        <v>153</v>
      </c>
      <c r="D111" s="6">
        <v>0.45132743362831901</v>
      </c>
      <c r="E111" s="6">
        <v>12.75</v>
      </c>
      <c r="F111" s="6">
        <v>83</v>
      </c>
      <c r="G111" s="6">
        <v>13</v>
      </c>
      <c r="H111" s="6">
        <v>57</v>
      </c>
      <c r="I111" s="6">
        <v>0.54248366013071903</v>
      </c>
      <c r="J111" s="6">
        <v>0.394736842105263</v>
      </c>
      <c r="K111" s="6"/>
      <c r="L111" s="6"/>
      <c r="M111" s="6"/>
      <c r="N111" s="6"/>
      <c r="O111" s="6"/>
    </row>
    <row r="112" spans="1:15" ht="15" customHeight="1" x14ac:dyDescent="0.25">
      <c r="A112" s="6" t="s">
        <v>6</v>
      </c>
      <c r="B112" s="6">
        <v>339</v>
      </c>
      <c r="C112" s="6">
        <v>136</v>
      </c>
      <c r="D112" s="6">
        <v>0.40117994100295001</v>
      </c>
      <c r="E112" s="6">
        <v>11.3333333333333</v>
      </c>
      <c r="F112" s="6">
        <v>81</v>
      </c>
      <c r="G112" s="6">
        <v>9</v>
      </c>
      <c r="H112" s="6">
        <v>46</v>
      </c>
      <c r="I112" s="6">
        <v>0.59558823529411797</v>
      </c>
      <c r="J112" s="6">
        <v>0.34074074074074101</v>
      </c>
      <c r="K112" s="6"/>
      <c r="L112" s="6"/>
      <c r="M112" s="6"/>
      <c r="N112" s="6"/>
      <c r="O112" s="6"/>
    </row>
    <row r="113" spans="1:15" ht="15" customHeight="1" x14ac:dyDescent="0.25">
      <c r="A113" s="6" t="s">
        <v>111</v>
      </c>
      <c r="B113" s="6">
        <v>346</v>
      </c>
      <c r="C113" s="6">
        <v>99</v>
      </c>
      <c r="D113" s="6">
        <v>0.28612716763005802</v>
      </c>
      <c r="E113" s="6">
        <v>8.25</v>
      </c>
      <c r="F113" s="6">
        <v>78</v>
      </c>
      <c r="G113" s="6">
        <v>4</v>
      </c>
      <c r="H113" s="6">
        <v>17</v>
      </c>
      <c r="I113" s="6">
        <v>0.78787878787878796</v>
      </c>
      <c r="J113" s="6">
        <v>0.30612244897959201</v>
      </c>
      <c r="K113" s="6"/>
      <c r="L113" s="6"/>
      <c r="M113" s="6"/>
      <c r="N113" s="6"/>
      <c r="O113" s="6"/>
    </row>
    <row r="114" spans="1:15" ht="15" customHeight="1" x14ac:dyDescent="0.25">
      <c r="A114" s="6" t="s">
        <v>112</v>
      </c>
      <c r="B114" s="6">
        <v>364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/>
      <c r="L114" s="6"/>
      <c r="M114" s="6"/>
      <c r="N114" s="6"/>
      <c r="O114" s="6"/>
    </row>
    <row r="115" spans="1:15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ht="15" customHeight="1" x14ac:dyDescent="0.25">
      <c r="A117" s="143" t="s">
        <v>50</v>
      </c>
      <c r="B117" s="143" t="s">
        <v>51</v>
      </c>
      <c r="C117" s="143" t="s">
        <v>109</v>
      </c>
      <c r="D117" s="143" t="s">
        <v>6</v>
      </c>
      <c r="E117" s="143" t="s">
        <v>111</v>
      </c>
      <c r="F117" s="143" t="s">
        <v>112</v>
      </c>
      <c r="G117" s="6"/>
      <c r="H117" s="6"/>
      <c r="I117" s="6"/>
      <c r="J117" s="6"/>
      <c r="K117" s="6"/>
      <c r="L117" s="6"/>
      <c r="M117" s="6"/>
      <c r="N117" s="6"/>
      <c r="O117" s="6"/>
    </row>
    <row r="118" spans="1:15" ht="15" customHeight="1" x14ac:dyDescent="0.25">
      <c r="A118" s="6" t="s">
        <v>53</v>
      </c>
      <c r="B118" s="6" t="s">
        <v>54</v>
      </c>
      <c r="C118" s="6">
        <v>6</v>
      </c>
      <c r="D118" s="6">
        <v>13</v>
      </c>
      <c r="E118" s="6">
        <v>63</v>
      </c>
      <c r="F118" s="6">
        <v>0</v>
      </c>
      <c r="G118" s="6"/>
      <c r="H118" s="6"/>
      <c r="I118" s="6"/>
      <c r="J118" s="6"/>
      <c r="K118" s="6"/>
      <c r="L118" s="6"/>
      <c r="M118" s="6"/>
      <c r="N118" s="6"/>
      <c r="O118" s="6"/>
    </row>
    <row r="119" spans="1:15" ht="15" customHeight="1" x14ac:dyDescent="0.25">
      <c r="A119" s="6" t="s">
        <v>56</v>
      </c>
      <c r="B119" s="6" t="s">
        <v>54</v>
      </c>
      <c r="C119" s="6">
        <v>26</v>
      </c>
      <c r="D119" s="6">
        <v>27</v>
      </c>
      <c r="E119" s="6">
        <v>6</v>
      </c>
      <c r="F119" s="6">
        <v>0</v>
      </c>
      <c r="G119" s="6"/>
      <c r="H119" s="6"/>
      <c r="I119" s="6"/>
      <c r="J119" s="6"/>
      <c r="K119" s="6"/>
      <c r="L119" s="6"/>
      <c r="M119" s="6"/>
      <c r="N119" s="6"/>
      <c r="O119" s="6"/>
    </row>
    <row r="120" spans="1:15" ht="15" customHeight="1" x14ac:dyDescent="0.25">
      <c r="A120" s="6" t="s">
        <v>58</v>
      </c>
      <c r="B120" s="6" t="s">
        <v>54</v>
      </c>
      <c r="C120" s="6">
        <v>37</v>
      </c>
      <c r="D120" s="6">
        <v>36</v>
      </c>
      <c r="E120" s="6">
        <v>7</v>
      </c>
      <c r="F120" s="6">
        <v>0</v>
      </c>
      <c r="G120" s="6"/>
      <c r="H120" s="6"/>
      <c r="I120" s="6"/>
      <c r="J120" s="6"/>
      <c r="K120" s="6"/>
      <c r="L120" s="6"/>
      <c r="M120" s="6"/>
      <c r="N120" s="6"/>
      <c r="O120" s="6"/>
    </row>
    <row r="121" spans="1:15" ht="15" customHeight="1" x14ac:dyDescent="0.25">
      <c r="A121" s="6" t="s">
        <v>60</v>
      </c>
      <c r="B121" s="6" t="s">
        <v>54</v>
      </c>
      <c r="C121" s="6">
        <v>11</v>
      </c>
      <c r="D121" s="6">
        <v>4</v>
      </c>
      <c r="E121" s="6">
        <v>1</v>
      </c>
      <c r="F121" s="6">
        <v>0</v>
      </c>
      <c r="G121" s="6"/>
      <c r="H121" s="6"/>
      <c r="I121" s="6"/>
      <c r="J121" s="6"/>
      <c r="K121" s="6"/>
      <c r="L121" s="6"/>
      <c r="M121" s="6"/>
      <c r="N121" s="6"/>
      <c r="O121" s="6"/>
    </row>
    <row r="122" spans="1:15" ht="15" customHeight="1" x14ac:dyDescent="0.25">
      <c r="A122" s="6" t="s">
        <v>62</v>
      </c>
      <c r="B122" s="6" t="s">
        <v>54</v>
      </c>
      <c r="C122" s="6">
        <v>3</v>
      </c>
      <c r="D122" s="6">
        <v>1</v>
      </c>
      <c r="E122" s="6">
        <v>0</v>
      </c>
      <c r="F122" s="6">
        <v>0</v>
      </c>
      <c r="G122" s="6"/>
      <c r="H122" s="6"/>
      <c r="I122" s="6"/>
      <c r="J122" s="6"/>
      <c r="K122" s="6"/>
      <c r="L122" s="6"/>
      <c r="M122" s="6"/>
      <c r="N122" s="6"/>
      <c r="O122" s="6"/>
    </row>
    <row r="123" spans="1:15" ht="15" customHeight="1" x14ac:dyDescent="0.25">
      <c r="A123" s="6" t="s">
        <v>64</v>
      </c>
      <c r="B123" s="6" t="s">
        <v>65</v>
      </c>
      <c r="C123" s="6">
        <v>13</v>
      </c>
      <c r="D123" s="6">
        <v>9</v>
      </c>
      <c r="E123" s="6">
        <v>4</v>
      </c>
      <c r="F123" s="6">
        <v>0</v>
      </c>
      <c r="G123" s="6"/>
      <c r="H123" s="6"/>
      <c r="I123" s="6"/>
      <c r="J123" s="6"/>
      <c r="K123" s="6"/>
      <c r="L123" s="6"/>
      <c r="M123" s="6"/>
      <c r="N123" s="6"/>
      <c r="O123" s="6"/>
    </row>
    <row r="124" spans="1:15" ht="15" customHeight="1" x14ac:dyDescent="0.25">
      <c r="A124" s="6" t="s">
        <v>67</v>
      </c>
      <c r="B124" s="6" t="s">
        <v>65</v>
      </c>
      <c r="C124" s="6">
        <v>0</v>
      </c>
      <c r="D124" s="6">
        <v>0</v>
      </c>
      <c r="E124" s="6">
        <v>0</v>
      </c>
      <c r="F124" s="6">
        <v>0</v>
      </c>
      <c r="G124" s="6"/>
      <c r="H124" s="6"/>
      <c r="I124" s="6"/>
      <c r="J124" s="6"/>
      <c r="K124" s="6"/>
      <c r="L124" s="6"/>
      <c r="M124" s="6"/>
      <c r="N124" s="6"/>
      <c r="O124" s="6"/>
    </row>
    <row r="125" spans="1:15" ht="15" customHeight="1" x14ac:dyDescent="0.25">
      <c r="A125" s="6" t="s">
        <v>69</v>
      </c>
      <c r="B125" s="6" t="s">
        <v>70</v>
      </c>
      <c r="C125" s="6">
        <v>30</v>
      </c>
      <c r="D125" s="6">
        <v>27</v>
      </c>
      <c r="E125" s="6">
        <v>8</v>
      </c>
      <c r="F125" s="6">
        <v>0</v>
      </c>
      <c r="G125" s="6"/>
      <c r="H125" s="6"/>
      <c r="I125" s="6"/>
      <c r="J125" s="6"/>
      <c r="K125" s="6"/>
      <c r="L125" s="6"/>
      <c r="M125" s="6"/>
      <c r="N125" s="6"/>
      <c r="O125" s="6"/>
    </row>
    <row r="126" spans="1:15" ht="15" customHeight="1" x14ac:dyDescent="0.25">
      <c r="A126" s="6" t="s">
        <v>72</v>
      </c>
      <c r="B126" s="6" t="s">
        <v>70</v>
      </c>
      <c r="C126" s="6">
        <v>0</v>
      </c>
      <c r="D126" s="6">
        <v>0</v>
      </c>
      <c r="E126" s="6">
        <v>1</v>
      </c>
      <c r="F126" s="6">
        <v>0</v>
      </c>
      <c r="G126" s="6"/>
      <c r="H126" s="6"/>
      <c r="I126" s="6"/>
      <c r="J126" s="6"/>
      <c r="K126" s="6"/>
      <c r="L126" s="6"/>
      <c r="M126" s="6"/>
      <c r="N126" s="6"/>
      <c r="O126" s="6"/>
    </row>
    <row r="127" spans="1:15" ht="15" customHeight="1" x14ac:dyDescent="0.25">
      <c r="A127" s="6" t="s">
        <v>70</v>
      </c>
      <c r="B127" s="6" t="s">
        <v>70</v>
      </c>
      <c r="C127" s="6">
        <v>18</v>
      </c>
      <c r="D127" s="6">
        <v>16</v>
      </c>
      <c r="E127" s="6">
        <v>6</v>
      </c>
      <c r="F127" s="6">
        <v>0</v>
      </c>
      <c r="G127" s="6"/>
      <c r="H127" s="6"/>
      <c r="I127" s="6"/>
      <c r="J127" s="6"/>
      <c r="K127" s="6"/>
      <c r="L127" s="6"/>
      <c r="M127" s="6"/>
      <c r="N127" s="6"/>
      <c r="O127" s="6"/>
    </row>
    <row r="128" spans="1:15" ht="15" customHeight="1" x14ac:dyDescent="0.25">
      <c r="A128" s="6" t="s">
        <v>75</v>
      </c>
      <c r="B128" s="6" t="s">
        <v>70</v>
      </c>
      <c r="C128" s="6">
        <v>7</v>
      </c>
      <c r="D128" s="6">
        <v>2</v>
      </c>
      <c r="E128" s="6">
        <v>1</v>
      </c>
      <c r="F128" s="6">
        <v>0</v>
      </c>
      <c r="G128" s="6"/>
      <c r="H128" s="6"/>
      <c r="I128" s="6"/>
      <c r="J128" s="6"/>
      <c r="K128" s="6"/>
      <c r="L128" s="6"/>
      <c r="M128" s="6"/>
      <c r="N128" s="6"/>
      <c r="O128" s="6"/>
    </row>
    <row r="129" spans="1:15" ht="15" customHeight="1" x14ac:dyDescent="0.25">
      <c r="A129" s="6" t="s">
        <v>77</v>
      </c>
      <c r="B129" s="6" t="s">
        <v>70</v>
      </c>
      <c r="C129" s="6">
        <v>2</v>
      </c>
      <c r="D129" s="6">
        <v>1</v>
      </c>
      <c r="E129" s="6">
        <v>1</v>
      </c>
      <c r="F129" s="6">
        <v>0</v>
      </c>
      <c r="G129" s="6"/>
      <c r="H129" s="6"/>
      <c r="I129" s="6"/>
      <c r="J129" s="6"/>
      <c r="K129" s="6"/>
      <c r="L129" s="6"/>
      <c r="M129" s="6"/>
      <c r="N129" s="6"/>
      <c r="O129" s="6"/>
    </row>
    <row r="130" spans="1:15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ht="15" customHeight="1" x14ac:dyDescent="0.25">
      <c r="A135" s="144" t="s">
        <v>134</v>
      </c>
      <c r="B135" s="144" t="s">
        <v>109</v>
      </c>
      <c r="C135" s="144" t="s">
        <v>6</v>
      </c>
      <c r="D135" s="144" t="s">
        <v>111</v>
      </c>
      <c r="E135" s="144" t="s">
        <v>112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 ht="15" customHeight="1" x14ac:dyDescent="0.25">
      <c r="A136" s="6" t="s">
        <v>26</v>
      </c>
      <c r="B136" s="6">
        <v>0</v>
      </c>
      <c r="C136" s="6">
        <v>0</v>
      </c>
      <c r="D136" s="6">
        <v>0</v>
      </c>
      <c r="E136" s="6">
        <v>0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ht="15" customHeight="1" x14ac:dyDescent="0.25">
      <c r="A137" s="6" t="s">
        <v>28</v>
      </c>
      <c r="B137" s="6">
        <v>0</v>
      </c>
      <c r="C137" s="6">
        <v>0</v>
      </c>
      <c r="D137" s="6">
        <v>0</v>
      </c>
      <c r="E137" s="6">
        <v>0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 ht="15" customHeight="1" x14ac:dyDescent="0.25">
      <c r="A138" s="6" t="s">
        <v>30</v>
      </c>
      <c r="B138" s="6">
        <v>0</v>
      </c>
      <c r="C138" s="6">
        <v>0</v>
      </c>
      <c r="D138" s="6">
        <v>0</v>
      </c>
      <c r="E138" s="6">
        <v>0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ht="15" customHeight="1" x14ac:dyDescent="0.25">
      <c r="A139" s="6" t="s">
        <v>32</v>
      </c>
      <c r="B139" s="6">
        <v>0</v>
      </c>
      <c r="C139" s="6">
        <v>0</v>
      </c>
      <c r="D139" s="6">
        <v>0</v>
      </c>
      <c r="E139" s="6">
        <v>0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 ht="15" customHeight="1" x14ac:dyDescent="0.25">
      <c r="A140" s="6" t="s">
        <v>34</v>
      </c>
      <c r="B140" s="6">
        <v>0</v>
      </c>
      <c r="C140" s="6">
        <v>0</v>
      </c>
      <c r="D140" s="6">
        <v>0</v>
      </c>
      <c r="E140" s="6">
        <v>0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ht="15" customHeight="1" x14ac:dyDescent="0.25">
      <c r="A141" s="6" t="s">
        <v>36</v>
      </c>
      <c r="B141" s="6">
        <v>0</v>
      </c>
      <c r="C141" s="6">
        <v>0</v>
      </c>
      <c r="D141" s="6">
        <v>0</v>
      </c>
      <c r="E141" s="6">
        <v>0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1:15" ht="15" customHeight="1" x14ac:dyDescent="0.25">
      <c r="A142" s="6" t="s">
        <v>38</v>
      </c>
      <c r="B142" s="6">
        <v>0</v>
      </c>
      <c r="C142" s="6">
        <v>0</v>
      </c>
      <c r="D142" s="6">
        <v>0</v>
      </c>
      <c r="E142" s="6">
        <v>0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ht="15" customHeight="1" x14ac:dyDescent="0.25">
      <c r="A143" s="6" t="s">
        <v>40</v>
      </c>
      <c r="B143" s="6">
        <v>0</v>
      </c>
      <c r="C143" s="6">
        <v>0</v>
      </c>
      <c r="D143" s="6">
        <v>0</v>
      </c>
      <c r="E143" s="6">
        <v>0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5" ht="15" customHeight="1" x14ac:dyDescent="0.25">
      <c r="A144" s="6" t="s">
        <v>42</v>
      </c>
      <c r="B144" s="6">
        <v>0</v>
      </c>
      <c r="C144" s="6">
        <v>0</v>
      </c>
      <c r="D144" s="6">
        <v>1</v>
      </c>
      <c r="E144" s="6">
        <v>0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ht="15" customHeight="1" x14ac:dyDescent="0.25">
      <c r="A145" s="6" t="s">
        <v>44</v>
      </c>
      <c r="B145" s="6">
        <v>0</v>
      </c>
      <c r="C145" s="6">
        <v>0</v>
      </c>
      <c r="D145" s="6">
        <v>0</v>
      </c>
      <c r="E145" s="6">
        <v>0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 ht="15" customHeight="1" x14ac:dyDescent="0.25">
      <c r="A146" s="6" t="s">
        <v>46</v>
      </c>
      <c r="B146" s="6">
        <v>1</v>
      </c>
      <c r="C146" s="6">
        <v>0</v>
      </c>
      <c r="D146" s="6">
        <v>1</v>
      </c>
      <c r="E146" s="6">
        <v>0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ht="15" customHeight="1" x14ac:dyDescent="0.25">
      <c r="A147" s="6" t="s">
        <v>47</v>
      </c>
      <c r="B147" s="6">
        <v>0</v>
      </c>
      <c r="C147" s="6">
        <v>0</v>
      </c>
      <c r="D147" s="6">
        <v>1</v>
      </c>
      <c r="E147" s="6">
        <v>0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 ht="15" customHeight="1" x14ac:dyDescent="0.25">
      <c r="A148" s="6" t="s">
        <v>49</v>
      </c>
      <c r="B148" s="6">
        <v>0</v>
      </c>
      <c r="C148" s="6">
        <v>0</v>
      </c>
      <c r="D148" s="6">
        <v>0</v>
      </c>
      <c r="E148" s="6">
        <v>0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ht="15" customHeight="1" x14ac:dyDescent="0.25">
      <c r="A149" s="6" t="s">
        <v>52</v>
      </c>
      <c r="B149" s="6">
        <v>1</v>
      </c>
      <c r="C149" s="6">
        <v>0</v>
      </c>
      <c r="D149" s="6">
        <v>0</v>
      </c>
      <c r="E149" s="6">
        <v>0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 ht="15" customHeight="1" x14ac:dyDescent="0.25">
      <c r="A150" s="6" t="s">
        <v>55</v>
      </c>
      <c r="B150" s="6">
        <v>0</v>
      </c>
      <c r="C150" s="6">
        <v>0</v>
      </c>
      <c r="D150" s="6">
        <v>0</v>
      </c>
      <c r="E150" s="6">
        <v>0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ht="15" customHeight="1" x14ac:dyDescent="0.25">
      <c r="A151" s="6" t="s">
        <v>57</v>
      </c>
      <c r="B151" s="6">
        <v>0</v>
      </c>
      <c r="C151" s="6">
        <v>0</v>
      </c>
      <c r="D151" s="6">
        <v>0</v>
      </c>
      <c r="E151" s="6">
        <v>0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1:15" ht="15" customHeight="1" x14ac:dyDescent="0.25">
      <c r="A152" s="6" t="s">
        <v>59</v>
      </c>
      <c r="B152" s="6">
        <v>0</v>
      </c>
      <c r="C152" s="6">
        <v>0</v>
      </c>
      <c r="D152" s="6">
        <v>0</v>
      </c>
      <c r="E152" s="6">
        <v>0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 ht="15" customHeight="1" x14ac:dyDescent="0.25">
      <c r="A153" s="6" t="s">
        <v>61</v>
      </c>
      <c r="B153" s="6">
        <v>0</v>
      </c>
      <c r="C153" s="6">
        <v>0</v>
      </c>
      <c r="D153" s="6">
        <v>0</v>
      </c>
      <c r="E153" s="6">
        <v>0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1:15" ht="15" customHeight="1" x14ac:dyDescent="0.25">
      <c r="A154" s="6" t="s">
        <v>66</v>
      </c>
      <c r="B154" s="6">
        <v>111</v>
      </c>
      <c r="C154" s="6">
        <v>97</v>
      </c>
      <c r="D154" s="6">
        <v>52</v>
      </c>
      <c r="E154" s="6">
        <v>0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ht="15" customHeight="1" x14ac:dyDescent="0.25">
      <c r="A155" s="144" t="s">
        <v>68</v>
      </c>
      <c r="B155" s="144">
        <v>3</v>
      </c>
      <c r="C155" s="144">
        <v>5</v>
      </c>
      <c r="D155" s="144">
        <v>8</v>
      </c>
      <c r="E155" s="144">
        <v>0</v>
      </c>
      <c r="F155" s="144"/>
      <c r="G155" s="6"/>
      <c r="H155" s="6"/>
      <c r="I155" s="6"/>
      <c r="J155" s="6"/>
      <c r="K155" s="6"/>
      <c r="L155" s="6"/>
      <c r="M155" s="6"/>
      <c r="N155" s="6"/>
      <c r="O155" s="6"/>
    </row>
    <row r="156" spans="1:15" ht="15" customHeight="1" x14ac:dyDescent="0.25">
      <c r="A156" s="6" t="s">
        <v>71</v>
      </c>
      <c r="B156" s="6">
        <v>1</v>
      </c>
      <c r="C156" s="6">
        <v>2</v>
      </c>
      <c r="D156" s="6">
        <v>0</v>
      </c>
      <c r="E156" s="6">
        <v>0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ht="15" customHeight="1" x14ac:dyDescent="0.25">
      <c r="A157" s="6" t="s">
        <v>74</v>
      </c>
      <c r="B157" s="6">
        <v>1</v>
      </c>
      <c r="C157" s="6">
        <v>1</v>
      </c>
      <c r="D157" s="6">
        <v>6</v>
      </c>
      <c r="E157" s="6">
        <v>0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1:15" ht="15" customHeight="1" x14ac:dyDescent="0.25">
      <c r="A158" s="6" t="s">
        <v>76</v>
      </c>
      <c r="B158" s="6">
        <v>7</v>
      </c>
      <c r="C158" s="6">
        <v>5</v>
      </c>
      <c r="D158" s="6">
        <v>3</v>
      </c>
      <c r="E158" s="6">
        <v>0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ht="15" customHeight="1" x14ac:dyDescent="0.25">
      <c r="A159" s="6" t="s">
        <v>78</v>
      </c>
      <c r="B159" s="6">
        <v>1</v>
      </c>
      <c r="C159" s="6">
        <v>1</v>
      </c>
      <c r="D159" s="6">
        <v>1</v>
      </c>
      <c r="E159" s="6">
        <v>0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1:15" ht="15" customHeight="1" x14ac:dyDescent="0.25">
      <c r="A160" s="6" t="s">
        <v>80</v>
      </c>
      <c r="B160" s="6">
        <v>1</v>
      </c>
      <c r="C160" s="6">
        <v>4</v>
      </c>
      <c r="D160" s="6">
        <v>2</v>
      </c>
      <c r="E160" s="6">
        <v>0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ht="15" customHeight="1" x14ac:dyDescent="0.25">
      <c r="A161" s="6" t="s">
        <v>81</v>
      </c>
      <c r="B161" s="6">
        <v>2</v>
      </c>
      <c r="C161" s="6">
        <v>1</v>
      </c>
      <c r="D161" s="6">
        <v>4</v>
      </c>
      <c r="E161" s="6">
        <v>0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 ht="15" customHeight="1" x14ac:dyDescent="0.25">
      <c r="A162" s="6" t="s">
        <v>83</v>
      </c>
      <c r="B162" s="6">
        <v>6</v>
      </c>
      <c r="C162" s="6">
        <v>7</v>
      </c>
      <c r="D162" s="6">
        <v>7</v>
      </c>
      <c r="E162" s="6">
        <v>0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ht="15" customHeight="1" x14ac:dyDescent="0.25">
      <c r="A163" s="6" t="s">
        <v>84</v>
      </c>
      <c r="B163" s="6">
        <v>4</v>
      </c>
      <c r="C163" s="6">
        <v>3</v>
      </c>
      <c r="D163" s="6">
        <v>0</v>
      </c>
      <c r="E163" s="6">
        <v>0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 ht="15" customHeight="1" x14ac:dyDescent="0.25">
      <c r="A164" s="6" t="s">
        <v>87</v>
      </c>
      <c r="B164" s="6">
        <v>0</v>
      </c>
      <c r="C164" s="6">
        <v>1</v>
      </c>
      <c r="D164" s="6">
        <v>3</v>
      </c>
      <c r="E164" s="6">
        <v>0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ht="15" customHeight="1" x14ac:dyDescent="0.25">
      <c r="A165" s="6" t="s">
        <v>89</v>
      </c>
      <c r="B165" s="6">
        <v>0</v>
      </c>
      <c r="C165" s="6">
        <v>3</v>
      </c>
      <c r="D165" s="6">
        <v>3</v>
      </c>
      <c r="E165" s="6">
        <v>0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 ht="15" customHeight="1" x14ac:dyDescent="0.25">
      <c r="A166" s="6" t="s">
        <v>91</v>
      </c>
      <c r="B166" s="6">
        <v>0</v>
      </c>
      <c r="C166" s="6">
        <v>0</v>
      </c>
      <c r="D166" s="6">
        <v>3</v>
      </c>
      <c r="E166" s="6">
        <v>0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ht="15" customHeight="1" x14ac:dyDescent="0.25">
      <c r="A167" s="6" t="s">
        <v>70</v>
      </c>
      <c r="B167" s="6">
        <v>14</v>
      </c>
      <c r="C167" s="6">
        <v>6</v>
      </c>
      <c r="D167" s="6">
        <v>4</v>
      </c>
      <c r="E167" s="6">
        <v>0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1:15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1:15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ht="15" customHeight="1" x14ac:dyDescent="0.25">
      <c r="A175" s="144" t="s">
        <v>50</v>
      </c>
      <c r="B175" s="144" t="s">
        <v>51</v>
      </c>
      <c r="C175" s="144" t="s">
        <v>109</v>
      </c>
      <c r="D175" s="144" t="s">
        <v>6</v>
      </c>
      <c r="E175" s="144" t="s">
        <v>111</v>
      </c>
      <c r="F175" s="144" t="s">
        <v>112</v>
      </c>
      <c r="G175" s="6"/>
      <c r="H175" s="6"/>
      <c r="I175" s="6"/>
      <c r="J175" s="6"/>
      <c r="K175" s="6"/>
      <c r="L175" s="6"/>
      <c r="M175" s="6"/>
      <c r="N175" s="6"/>
      <c r="O175" s="6"/>
    </row>
    <row r="176" spans="1:15" ht="15" customHeight="1" x14ac:dyDescent="0.25">
      <c r="A176" s="6" t="s">
        <v>53</v>
      </c>
      <c r="B176" s="6" t="s">
        <v>54</v>
      </c>
      <c r="C176" s="6">
        <v>6</v>
      </c>
      <c r="D176" s="6">
        <v>13</v>
      </c>
      <c r="E176" s="6">
        <v>64</v>
      </c>
      <c r="F176" s="6">
        <v>0</v>
      </c>
      <c r="G176" s="6"/>
      <c r="H176" s="6"/>
      <c r="I176" s="6"/>
      <c r="J176" s="6"/>
      <c r="K176" s="6"/>
      <c r="L176" s="6"/>
      <c r="M176" s="6"/>
      <c r="N176" s="6"/>
      <c r="O176" s="6"/>
    </row>
    <row r="177" spans="1:15" ht="15" customHeight="1" x14ac:dyDescent="0.25">
      <c r="A177" s="6" t="s">
        <v>56</v>
      </c>
      <c r="B177" s="6" t="s">
        <v>54</v>
      </c>
      <c r="C177" s="6">
        <v>26</v>
      </c>
      <c r="D177" s="6">
        <v>27</v>
      </c>
      <c r="E177" s="6">
        <v>6</v>
      </c>
      <c r="F177" s="6">
        <v>0</v>
      </c>
      <c r="G177" s="6"/>
      <c r="H177" s="6"/>
      <c r="I177" s="6"/>
      <c r="J177" s="6"/>
      <c r="K177" s="6"/>
      <c r="L177" s="6"/>
      <c r="M177" s="6"/>
      <c r="N177" s="6"/>
      <c r="O177" s="6"/>
    </row>
    <row r="178" spans="1:15" ht="15" customHeight="1" x14ac:dyDescent="0.25">
      <c r="A178" s="6" t="s">
        <v>58</v>
      </c>
      <c r="B178" s="6" t="s">
        <v>54</v>
      </c>
      <c r="C178" s="6">
        <v>37</v>
      </c>
      <c r="D178" s="6">
        <v>36</v>
      </c>
      <c r="E178" s="6">
        <v>7</v>
      </c>
      <c r="F178" s="6">
        <v>0</v>
      </c>
      <c r="G178" s="6"/>
      <c r="H178" s="6"/>
      <c r="I178" s="6"/>
      <c r="J178" s="6"/>
      <c r="K178" s="6"/>
      <c r="L178" s="6"/>
      <c r="M178" s="6"/>
      <c r="N178" s="6"/>
      <c r="O178" s="6"/>
    </row>
    <row r="179" spans="1:15" ht="15" customHeight="1" x14ac:dyDescent="0.25">
      <c r="A179" s="6" t="s">
        <v>60</v>
      </c>
      <c r="B179" s="6" t="s">
        <v>54</v>
      </c>
      <c r="C179" s="6">
        <v>11</v>
      </c>
      <c r="D179" s="6">
        <v>4</v>
      </c>
      <c r="E179" s="6">
        <v>1</v>
      </c>
      <c r="F179" s="6">
        <v>0</v>
      </c>
      <c r="G179" s="6"/>
      <c r="H179" s="6"/>
      <c r="I179" s="6"/>
      <c r="J179" s="6"/>
      <c r="K179" s="6"/>
      <c r="L179" s="6"/>
      <c r="M179" s="6"/>
      <c r="N179" s="6"/>
      <c r="O179" s="6"/>
    </row>
    <row r="180" spans="1:15" ht="15" customHeight="1" x14ac:dyDescent="0.25">
      <c r="A180" s="6" t="s">
        <v>62</v>
      </c>
      <c r="B180" s="6" t="s">
        <v>54</v>
      </c>
      <c r="C180" s="6">
        <v>3</v>
      </c>
      <c r="D180" s="6">
        <v>1</v>
      </c>
      <c r="E180" s="6">
        <v>0</v>
      </c>
      <c r="F180" s="6">
        <v>0</v>
      </c>
      <c r="G180" s="6"/>
      <c r="H180" s="6"/>
      <c r="I180" s="6"/>
      <c r="J180" s="6"/>
      <c r="K180" s="6"/>
      <c r="L180" s="6"/>
      <c r="M180" s="6"/>
      <c r="N180" s="6"/>
      <c r="O180" s="6"/>
    </row>
    <row r="181" spans="1:15" ht="15" customHeight="1" x14ac:dyDescent="0.25">
      <c r="A181" s="6" t="s">
        <v>64</v>
      </c>
      <c r="B181" s="6" t="s">
        <v>65</v>
      </c>
      <c r="C181" s="6">
        <v>13</v>
      </c>
      <c r="D181" s="6">
        <v>9</v>
      </c>
      <c r="E181" s="6">
        <v>4</v>
      </c>
      <c r="F181" s="6">
        <v>0</v>
      </c>
      <c r="G181" s="6"/>
      <c r="H181" s="6"/>
      <c r="I181" s="6"/>
      <c r="J181" s="6"/>
      <c r="K181" s="6"/>
      <c r="L181" s="6"/>
      <c r="M181" s="6"/>
      <c r="N181" s="6"/>
      <c r="O181" s="6"/>
    </row>
    <row r="182" spans="1:15" ht="15" customHeight="1" x14ac:dyDescent="0.25">
      <c r="A182" s="6" t="s">
        <v>67</v>
      </c>
      <c r="B182" s="6" t="s">
        <v>65</v>
      </c>
      <c r="C182" s="6">
        <v>0</v>
      </c>
      <c r="D182" s="6">
        <v>0</v>
      </c>
      <c r="E182" s="6">
        <v>0</v>
      </c>
      <c r="F182" s="6">
        <v>0</v>
      </c>
      <c r="G182" s="6"/>
      <c r="H182" s="6"/>
      <c r="I182" s="6"/>
      <c r="J182" s="6"/>
      <c r="K182" s="6"/>
      <c r="L182" s="6"/>
      <c r="M182" s="6"/>
      <c r="N182" s="6"/>
      <c r="O182" s="6"/>
    </row>
    <row r="183" spans="1:15" ht="15" customHeight="1" x14ac:dyDescent="0.25">
      <c r="A183" s="6" t="s">
        <v>69</v>
      </c>
      <c r="B183" s="6" t="s">
        <v>70</v>
      </c>
      <c r="C183" s="6">
        <v>30</v>
      </c>
      <c r="D183" s="6">
        <v>27</v>
      </c>
      <c r="E183" s="6">
        <v>8</v>
      </c>
      <c r="F183" s="6">
        <v>0</v>
      </c>
      <c r="G183" s="6"/>
      <c r="H183" s="6"/>
      <c r="I183" s="6"/>
      <c r="J183" s="6"/>
      <c r="K183" s="6"/>
      <c r="L183" s="6"/>
      <c r="M183" s="6"/>
      <c r="N183" s="6"/>
      <c r="O183" s="6"/>
    </row>
    <row r="184" spans="1:15" ht="15" customHeight="1" x14ac:dyDescent="0.25">
      <c r="A184" s="6" t="s">
        <v>72</v>
      </c>
      <c r="B184" s="6" t="s">
        <v>70</v>
      </c>
      <c r="C184" s="6">
        <v>0</v>
      </c>
      <c r="D184" s="6">
        <v>0</v>
      </c>
      <c r="E184" s="6">
        <v>1</v>
      </c>
      <c r="F184" s="6">
        <v>0</v>
      </c>
      <c r="G184" s="6"/>
      <c r="H184" s="6"/>
      <c r="I184" s="6"/>
      <c r="J184" s="6"/>
      <c r="K184" s="6"/>
      <c r="L184" s="6"/>
      <c r="M184" s="6"/>
      <c r="N184" s="6"/>
      <c r="O184" s="6"/>
    </row>
    <row r="185" spans="1:15" ht="15" customHeight="1" x14ac:dyDescent="0.25">
      <c r="A185" s="6" t="s">
        <v>70</v>
      </c>
      <c r="B185" s="6" t="s">
        <v>70</v>
      </c>
      <c r="C185" s="6">
        <v>18</v>
      </c>
      <c r="D185" s="6">
        <v>16</v>
      </c>
      <c r="E185" s="6">
        <v>6</v>
      </c>
      <c r="F185" s="6">
        <v>0</v>
      </c>
      <c r="G185" s="6"/>
      <c r="H185" s="6"/>
      <c r="I185" s="6"/>
      <c r="J185" s="6"/>
      <c r="K185" s="6"/>
      <c r="L185" s="6"/>
      <c r="M185" s="6"/>
      <c r="N185" s="6"/>
      <c r="O185" s="6"/>
    </row>
    <row r="186" spans="1:15" ht="15" customHeight="1" x14ac:dyDescent="0.25">
      <c r="A186" s="6" t="s">
        <v>75</v>
      </c>
      <c r="B186" s="6" t="s">
        <v>70</v>
      </c>
      <c r="C186" s="6">
        <v>7</v>
      </c>
      <c r="D186" s="6">
        <v>2</v>
      </c>
      <c r="E186" s="6">
        <v>1</v>
      </c>
      <c r="F186" s="6">
        <v>0</v>
      </c>
      <c r="G186" s="6"/>
      <c r="H186" s="6"/>
      <c r="I186" s="6"/>
      <c r="J186" s="6"/>
      <c r="K186" s="6"/>
      <c r="L186" s="6"/>
      <c r="M186" s="6"/>
      <c r="N186" s="6"/>
      <c r="O186" s="6"/>
    </row>
    <row r="187" spans="1:15" ht="15" customHeight="1" x14ac:dyDescent="0.25">
      <c r="A187" s="6" t="s">
        <v>77</v>
      </c>
      <c r="B187" s="6" t="s">
        <v>70</v>
      </c>
      <c r="C187" s="6">
        <v>2</v>
      </c>
      <c r="D187" s="6">
        <v>1</v>
      </c>
      <c r="E187" s="6">
        <v>1</v>
      </c>
      <c r="F187" s="6">
        <v>0</v>
      </c>
      <c r="G187" s="6"/>
      <c r="H187" s="6"/>
      <c r="I187" s="6"/>
      <c r="J187" s="6"/>
      <c r="K187" s="6"/>
      <c r="L187" s="6"/>
      <c r="M187" s="6"/>
      <c r="N187" s="6"/>
      <c r="O187" s="6"/>
    </row>
  </sheetData>
  <mergeCells count="2">
    <mergeCell ref="A85:N85"/>
    <mergeCell ref="A95:I9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5A5A6"/>
  </sheetPr>
  <dimension ref="A1:L175"/>
  <sheetViews>
    <sheetView topLeftCell="A151" zoomScaleNormal="100" workbookViewId="0"/>
  </sheetViews>
  <sheetFormatPr defaultColWidth="8.7109375" defaultRowHeight="15" x14ac:dyDescent="0.25"/>
  <cols>
    <col min="1" max="1" width="26" customWidth="1"/>
    <col min="3" max="3" width="26" customWidth="1"/>
    <col min="5" max="5" width="26" customWidth="1"/>
    <col min="7" max="7" width="26" customWidth="1"/>
    <col min="9" max="10" width="28" customWidth="1"/>
    <col min="12" max="12" width="26" customWidth="1"/>
  </cols>
  <sheetData>
    <row r="1" spans="1:12" ht="15" customHeight="1" x14ac:dyDescent="0.25">
      <c r="A1" s="145" t="s">
        <v>1007</v>
      </c>
      <c r="B1" s="145" t="inlineStr">
        <is>
          <t xml:space="preserve">Rehire Eligibility</t>
        </is>
      </c>
      <c r="C1" s="145" t="s">
        <v>1008</v>
      </c>
      <c r="D1" s="145" t="inlineStr">
        <is>
          <t xml:space="preserve">Reason Category</t>
        </is>
      </c>
      <c r="E1" s="145" t="s">
        <v>1009</v>
      </c>
      <c r="F1" s="6"/>
      <c r="G1" s="145" t="s">
        <v>156</v>
      </c>
      <c r="H1" s="145" t="inlineStr">
        <is>
          <t xml:space="preserve">Status Meaning</t>
        </is>
      </c>
      <c r="I1" s="145" t="s">
        <v>1010</v>
      </c>
      <c r="J1" s="145" t="s">
        <v>162</v>
      </c>
      <c r="K1" s="6"/>
      <c r="L1" s="145" t="s">
        <v>1011</v>
      </c>
      <c r="N1" t="inlineStr" s="145">
        <is>
          <t xml:space="preserve">FY</t>
        </is>
      </c>
      <c r="O1" t="inlineStr" s="145">
        <is>
          <t xml:space="preserve">Active Emp (FY start)</t>
        </is>
      </c>
    </row>
    <row r="2" spans="1:12" ht="15" customHeight="1" x14ac:dyDescent="0.25">
      <c r="A2" s="80" t="s">
        <v>26</v>
      </c>
      <c r="B2" s="80" t="inlineStr">
        <is>
          <t xml:space="preserve">Yes</t>
        </is>
      </c>
      <c r="C2" s="80" t="s">
        <v>77</v>
      </c>
      <c r="D2" s="80" t="inlineStr">
        <is>
          <t xml:space="preserve">Involuntary</t>
        </is>
      </c>
      <c r="E2" s="80" t="s">
        <v>248</v>
      </c>
      <c r="F2" s="6"/>
      <c r="G2" s="80" t="s">
        <v>191</v>
      </c>
      <c r="H2" s="80" t="inlineStr">
        <is>
          <t xml:space="preserve">Uneligible for rehire</t>
        </is>
      </c>
      <c r="I2" s="80" t="s">
        <v>1012</v>
      </c>
      <c r="J2" s="80" t="s">
        <v>259</v>
      </c>
      <c r="K2" s="6"/>
      <c r="L2" s="80" t="s">
        <v>1013</v>
      </c>
      <c r="N2" t="inlineStr" s="80">
        <is>
          <t xml:space="preserve">FY 2023</t>
        </is>
      </c>
      <c r="O2" s="80">
        <v>339</v>
      </c>
    </row>
    <row r="3" spans="1:12" ht="15" customHeight="1" x14ac:dyDescent="0.25">
      <c r="A3" s="77" t="s">
        <v>226</v>
      </c>
      <c r="B3" s="77" t="inlineStr">
        <is>
          <t xml:space="preserve">No</t>
        </is>
      </c>
      <c r="C3" s="77" t="s">
        <v>56</v>
      </c>
      <c r="D3" s="77" t="inlineStr">
        <is>
          <t xml:space="preserve">Voluntary</t>
        </is>
      </c>
      <c r="E3" s="77" t="s">
        <v>983</v>
      </c>
      <c r="F3" s="6"/>
      <c r="G3" s="77" t="s">
        <v>180</v>
      </c>
      <c r="H3" s="77" t="inlineStr">
        <is>
          <t xml:space="preserve">Discharged / terminated</t>
        </is>
      </c>
      <c r="I3" s="77" t="s">
        <v>259</v>
      </c>
      <c r="J3" s="77" t="s">
        <v>259</v>
      </c>
      <c r="K3" s="6"/>
      <c r="L3" s="77" t="s">
        <v>1014</v>
      </c>
      <c r="N3" t="inlineStr" s="80">
        <is>
          <t xml:space="preserve">FY 2024</t>
        </is>
      </c>
      <c r="O3" s="80">
        <v>339</v>
      </c>
    </row>
    <row r="4" spans="1:12" ht="15" customHeight="1" x14ac:dyDescent="0.25">
      <c r="A4" s="80" t="s">
        <v>483</v>
      </c>
      <c r="B4" s="6"/>
      <c r="C4" s="80" t="s">
        <v>72</v>
      </c>
      <c r="D4" s="80" t="inlineStr">
        <is>
          <t xml:space="preserve">Other</t>
        </is>
      </c>
      <c r="E4" s="80" t="s">
        <v>1015</v>
      </c>
      <c r="F4" s="6"/>
      <c r="G4" s="6"/>
      <c r="H4" s="6"/>
      <c r="I4" s="80" t="s">
        <v>330</v>
      </c>
      <c r="J4" s="80" t="s">
        <v>259</v>
      </c>
      <c r="K4" s="6"/>
      <c r="L4" s="80" t="s">
        <v>481</v>
      </c>
      <c r="N4" t="inlineStr" s="80">
        <is>
          <t xml:space="preserve">FY 2025</t>
        </is>
      </c>
      <c r="O4" s="80">
        <v>346</v>
      </c>
    </row>
    <row r="5" spans="1:12" ht="15" customHeight="1" x14ac:dyDescent="0.25">
      <c r="A5" s="77" t="s">
        <v>66</v>
      </c>
      <c r="B5" s="6"/>
      <c r="C5" s="77" t="s">
        <v>69</v>
      </c>
      <c r="D5" s="77" t="inlineStr">
        <is>
          <t xml:space="preserve">Involuntary</t>
        </is>
      </c>
      <c r="E5" s="77" t="s">
        <v>211</v>
      </c>
      <c r="F5" s="6"/>
      <c r="G5" s="6"/>
      <c r="H5" s="6"/>
      <c r="I5" s="77" t="s">
        <v>934</v>
      </c>
      <c r="J5" s="77" t="s">
        <v>259</v>
      </c>
      <c r="K5" s="6"/>
      <c r="L5" s="77" t="s">
        <v>259</v>
      </c>
      <c r="N5" t="inlineStr" s="80">
        <is>
          <t xml:space="preserve">FY 2026</t>
        </is>
      </c>
      <c r="O5" s="80">
        <v>366</v>
      </c>
    </row>
    <row r="6" spans="1:12" ht="15" customHeight="1" x14ac:dyDescent="0.25">
      <c r="A6" s="80" t="s">
        <v>68</v>
      </c>
      <c r="B6" s="6"/>
      <c r="C6" s="80" t="s">
        <v>67</v>
      </c>
      <c r="D6" s="80" t="inlineStr">
        <is>
          <t xml:space="preserve">Involuntary</t>
        </is>
      </c>
      <c r="E6" s="80" t="s">
        <v>234</v>
      </c>
      <c r="F6" s="6"/>
      <c r="G6" s="6"/>
      <c r="H6" s="6"/>
      <c r="I6" s="80" t="s">
        <v>76</v>
      </c>
      <c r="J6" s="80" t="s">
        <v>1014</v>
      </c>
      <c r="K6" s="6"/>
      <c r="L6" s="80" t="s">
        <v>406</v>
      </c>
      <c r="N6" t="inlineStr" s="80">
        <is>
          <t xml:space="preserve">FY 2027</t>
        </is>
      </c>
      <c r="O6" s="80">
        <v>364</v>
      </c>
    </row>
    <row r="7" spans="1:12" ht="15" customHeight="1" x14ac:dyDescent="0.25">
      <c r="A7" s="77" t="s">
        <v>71</v>
      </c>
      <c r="B7" s="6"/>
      <c r="C7" s="77" t="s">
        <v>70</v>
      </c>
      <c r="D7" s="77" t="inlineStr">
        <is>
          <t xml:space="preserve">Other</t>
        </is>
      </c>
      <c r="E7" s="77" t="s">
        <v>371</v>
      </c>
      <c r="F7" s="6"/>
      <c r="G7" s="6"/>
      <c r="H7" s="6"/>
      <c r="I7" s="77" t="s">
        <v>403</v>
      </c>
      <c r="J7" s="77" t="s">
        <v>1014</v>
      </c>
      <c r="K7" s="6"/>
      <c r="L7" s="77" t="s">
        <v>87</v>
      </c>
    </row>
    <row r="8" spans="1:12" ht="15" customHeight="1" x14ac:dyDescent="0.25">
      <c r="A8" s="80" t="s">
        <v>74</v>
      </c>
      <c r="B8" s="6"/>
      <c r="C8" s="80" t="s">
        <v>75</v>
      </c>
      <c r="D8" s="80" t="inlineStr">
        <is>
          <t xml:space="preserve">Involuntary</t>
        </is>
      </c>
      <c r="E8" s="80" t="s">
        <v>1016</v>
      </c>
      <c r="F8" s="6"/>
      <c r="G8" s="6"/>
      <c r="H8" s="6"/>
      <c r="I8" s="80" t="s">
        <v>1017</v>
      </c>
      <c r="J8" s="80" t="s">
        <v>1014</v>
      </c>
      <c r="K8" s="6"/>
      <c r="L8" s="80" t="s">
        <v>660</v>
      </c>
    </row>
    <row r="9" spans="1:12" ht="15" customHeight="1" x14ac:dyDescent="0.25">
      <c r="A9" s="77" t="s">
        <v>76</v>
      </c>
      <c r="B9" s="6"/>
      <c r="C9" s="77" t="s">
        <v>58</v>
      </c>
      <c r="D9" s="77" t="inlineStr">
        <is>
          <t xml:space="preserve">Voluntary</t>
        </is>
      </c>
      <c r="E9" s="77" t="s">
        <v>1018</v>
      </c>
      <c r="F9" s="6"/>
      <c r="G9" s="6"/>
      <c r="H9" s="6"/>
      <c r="I9" s="77" t="s">
        <v>473</v>
      </c>
      <c r="J9" s="77" t="s">
        <v>1014</v>
      </c>
      <c r="K9" s="6"/>
      <c r="L9" s="77" t="s">
        <v>78</v>
      </c>
    </row>
    <row r="10" spans="1:12" ht="15" customHeight="1" x14ac:dyDescent="0.25">
      <c r="A10" s="80" t="s">
        <v>83</v>
      </c>
      <c r="B10" s="6"/>
      <c r="C10" s="80" t="s">
        <v>60</v>
      </c>
      <c r="D10" s="80" t="inlineStr">
        <is>
          <t xml:space="preserve">Voluntary</t>
        </is>
      </c>
      <c r="E10" s="80" t="s">
        <v>208</v>
      </c>
      <c r="F10" s="6"/>
      <c r="G10" s="6"/>
      <c r="H10" s="6"/>
      <c r="I10" s="80" t="s">
        <v>285</v>
      </c>
      <c r="J10" s="80" t="s">
        <v>1014</v>
      </c>
      <c r="K10" s="6"/>
      <c r="L10" s="80" t="s">
        <v>91</v>
      </c>
    </row>
    <row r="11" spans="1:12" ht="15" customHeight="1" x14ac:dyDescent="0.25">
      <c r="A11" s="77" t="s">
        <v>87</v>
      </c>
      <c r="B11" s="6"/>
      <c r="C11" s="77" t="s">
        <v>53</v>
      </c>
      <c r="D11" s="77" t="inlineStr">
        <is>
          <t xml:space="preserve">Voluntary</t>
        </is>
      </c>
      <c r="E11" s="77" t="s">
        <v>1019</v>
      </c>
      <c r="F11" s="6"/>
      <c r="G11" s="6"/>
      <c r="H11" s="6"/>
      <c r="I11" s="77" t="s">
        <v>445</v>
      </c>
      <c r="J11" s="77" t="s">
        <v>1014</v>
      </c>
      <c r="K11" s="6"/>
      <c r="L11" s="6"/>
    </row>
    <row r="12" spans="1:12" ht="15" customHeight="1" x14ac:dyDescent="0.25">
      <c r="A12" s="80" t="s">
        <v>78</v>
      </c>
      <c r="B12" s="6"/>
      <c r="C12" s="80" t="s">
        <v>62</v>
      </c>
      <c r="D12" s="80" t="inlineStr">
        <is>
          <t xml:space="preserve">Voluntary</t>
        </is>
      </c>
      <c r="E12" s="80" t="s">
        <v>1020</v>
      </c>
      <c r="F12" s="6"/>
      <c r="G12" s="6"/>
      <c r="H12" s="6"/>
      <c r="I12" s="80" t="s">
        <v>1021</v>
      </c>
      <c r="J12" s="80" t="s">
        <v>1014</v>
      </c>
      <c r="K12" s="6"/>
      <c r="L12" s="6"/>
    </row>
    <row r="13" spans="1:12" ht="15" customHeight="1" x14ac:dyDescent="0.25">
      <c r="A13" s="77" t="s">
        <v>80</v>
      </c>
      <c r="B13" s="6"/>
      <c r="C13" s="77" t="s">
        <v>64</v>
      </c>
      <c r="D13" s="77" t="inlineStr">
        <is>
          <t xml:space="preserve">Involuntary</t>
        </is>
      </c>
      <c r="E13" s="77" t="s">
        <v>1022</v>
      </c>
      <c r="F13" s="6"/>
      <c r="G13" s="6"/>
      <c r="H13" s="6"/>
      <c r="I13" s="77" t="s">
        <v>303</v>
      </c>
      <c r="J13" s="77" t="s">
        <v>1014</v>
      </c>
      <c r="K13" s="6"/>
      <c r="L13" s="6"/>
    </row>
    <row r="14" spans="1:12" ht="15" customHeight="1" x14ac:dyDescent="0.25">
      <c r="A14" s="80" t="s">
        <v>81</v>
      </c>
      <c r="B14" s="6"/>
      <c r="C14" s="77" t="inlineStr">
        <is>
          <t xml:space="preserve">Resignation without Notice</t>
        </is>
      </c>
      <c r="D14" s="77" t="inlineStr">
        <is>
          <t xml:space="preserve">Voluntary</t>
        </is>
      </c>
      <c r="E14" s="80" t="s">
        <v>218</v>
      </c>
      <c r="F14" s="6"/>
      <c r="G14" s="6"/>
      <c r="H14" s="6"/>
      <c r="I14" s="80" t="s">
        <v>1023</v>
      </c>
      <c r="J14" s="80" t="s">
        <v>1014</v>
      </c>
      <c r="K14" s="6"/>
      <c r="L14" s="6"/>
    </row>
    <row r="15" spans="1:12" ht="15" customHeight="1" x14ac:dyDescent="0.25">
      <c r="A15" s="77" t="s">
        <v>84</v>
      </c>
      <c r="B15" s="6"/>
      <c r="C15" s="6"/>
      <c r="D15" s="6"/>
      <c r="E15" s="77" t="s">
        <v>475</v>
      </c>
      <c r="F15" s="6"/>
      <c r="G15" s="6"/>
      <c r="H15" s="6"/>
      <c r="I15" s="77" t="s">
        <v>660</v>
      </c>
      <c r="J15" s="77" t="s">
        <v>660</v>
      </c>
      <c r="K15" s="6"/>
      <c r="L15" s="6"/>
    </row>
    <row r="16" spans="1:12" ht="15" customHeight="1" x14ac:dyDescent="0.25">
      <c r="A16" s="80" t="s">
        <v>89</v>
      </c>
      <c r="B16" s="6"/>
      <c r="C16" s="6"/>
      <c r="D16" s="6"/>
      <c r="E16" s="80" t="s">
        <v>1024</v>
      </c>
      <c r="F16" s="6"/>
      <c r="G16" s="6"/>
      <c r="H16" s="6"/>
      <c r="I16" s="80" t="s">
        <v>973</v>
      </c>
      <c r="J16" s="80" t="s">
        <v>660</v>
      </c>
      <c r="K16" s="6"/>
      <c r="L16" s="6"/>
    </row>
    <row r="17" spans="1:12" ht="15" customHeight="1" x14ac:dyDescent="0.25">
      <c r="A17" s="77" t="s">
        <v>91</v>
      </c>
      <c r="B17" s="6"/>
      <c r="C17" s="6"/>
      <c r="D17" s="6"/>
      <c r="E17" s="77" t="s">
        <v>1025</v>
      </c>
      <c r="F17" s="6"/>
      <c r="G17" s="6"/>
      <c r="H17" s="6"/>
      <c r="I17" s="77" t="s">
        <v>1026</v>
      </c>
      <c r="J17" s="77" t="s">
        <v>660</v>
      </c>
      <c r="K17" s="6"/>
      <c r="L17" s="6"/>
    </row>
    <row r="18" spans="1:12" ht="15" customHeight="1" x14ac:dyDescent="0.25">
      <c r="A18" s="80" t="s">
        <v>70</v>
      </c>
      <c r="B18" s="6"/>
      <c r="C18" s="6"/>
      <c r="D18" s="6"/>
      <c r="E18" s="80" t="s">
        <v>1027</v>
      </c>
      <c r="F18" s="6"/>
      <c r="G18" s="6"/>
      <c r="H18" s="6"/>
      <c r="I18" s="80" t="s">
        <v>547</v>
      </c>
      <c r="J18" s="80" t="s">
        <v>660</v>
      </c>
      <c r="K18" s="6"/>
      <c r="L18" s="6"/>
    </row>
    <row r="19" spans="1:12" ht="15" customHeight="1" x14ac:dyDescent="0.25">
      <c r="A19" s="6"/>
      <c r="B19" s="6"/>
      <c r="C19" s="6"/>
      <c r="D19" s="6"/>
      <c r="E19" s="77" t="s">
        <v>744</v>
      </c>
      <c r="F19" s="6"/>
      <c r="G19" s="6"/>
      <c r="H19" s="6"/>
      <c r="I19" s="77" t="s">
        <v>738</v>
      </c>
      <c r="J19" s="77" t="s">
        <v>660</v>
      </c>
      <c r="K19" s="6"/>
      <c r="L19" s="6"/>
    </row>
    <row r="20" spans="1:12" ht="15" customHeight="1" x14ac:dyDescent="0.25">
      <c r="A20" s="6"/>
      <c r="B20" s="6"/>
      <c r="C20" s="6"/>
      <c r="D20" s="6"/>
      <c r="E20" s="80" t="s">
        <v>1028</v>
      </c>
      <c r="F20" s="6"/>
      <c r="G20" s="6"/>
      <c r="H20" s="6"/>
      <c r="I20" s="80" t="s">
        <v>388</v>
      </c>
      <c r="J20" s="80" t="s">
        <v>660</v>
      </c>
      <c r="K20" s="6"/>
      <c r="L20" s="6"/>
    </row>
    <row r="21" spans="1:12" ht="15" customHeight="1" x14ac:dyDescent="0.25">
      <c r="A21" s="6"/>
      <c r="B21" s="6"/>
      <c r="C21" s="6"/>
      <c r="D21" s="6"/>
      <c r="E21" s="77" t="s">
        <v>533</v>
      </c>
      <c r="F21" s="6"/>
      <c r="G21" s="6"/>
      <c r="H21" s="6"/>
      <c r="I21" s="77" t="s">
        <v>78</v>
      </c>
      <c r="J21" s="77" t="s">
        <v>78</v>
      </c>
      <c r="K21" s="6"/>
      <c r="L21" s="6"/>
    </row>
    <row r="22" spans="1:12" ht="15" customHeight="1" x14ac:dyDescent="0.25">
      <c r="A22" s="6"/>
      <c r="B22" s="6"/>
      <c r="C22" s="6"/>
      <c r="D22" s="6"/>
      <c r="E22" s="80" t="s">
        <v>600</v>
      </c>
      <c r="F22" s="6"/>
      <c r="G22" s="6"/>
      <c r="H22" s="6"/>
      <c r="I22" s="80" t="s">
        <v>87</v>
      </c>
      <c r="J22" s="80" t="s">
        <v>87</v>
      </c>
      <c r="K22" s="6"/>
      <c r="L22" s="6"/>
    </row>
    <row r="23" spans="1:12" ht="15" customHeight="1" x14ac:dyDescent="0.25">
      <c r="A23" s="6"/>
      <c r="B23" s="6"/>
      <c r="C23" s="6"/>
      <c r="D23" s="6"/>
      <c r="E23" s="77" t="s">
        <v>1029</v>
      </c>
      <c r="F23" s="6"/>
      <c r="G23" s="6"/>
      <c r="H23" s="6"/>
      <c r="I23" s="77" t="s">
        <v>89</v>
      </c>
      <c r="J23" s="77" t="s">
        <v>406</v>
      </c>
      <c r="K23" s="6"/>
      <c r="L23" s="6"/>
    </row>
    <row r="24" spans="1:12" ht="15" customHeight="1" x14ac:dyDescent="0.25">
      <c r="A24" s="6"/>
      <c r="B24" s="6"/>
      <c r="C24" s="6"/>
      <c r="D24" s="6"/>
      <c r="E24" s="80" t="s">
        <v>199</v>
      </c>
      <c r="F24" s="6"/>
      <c r="G24" s="6"/>
      <c r="H24" s="6"/>
      <c r="I24" s="80" t="s">
        <v>406</v>
      </c>
      <c r="J24" s="80" t="s">
        <v>406</v>
      </c>
      <c r="K24" s="6"/>
      <c r="L24" s="6"/>
    </row>
    <row r="25" spans="1:12" ht="15" customHeight="1" x14ac:dyDescent="0.25">
      <c r="A25" s="6"/>
      <c r="B25" s="6"/>
      <c r="C25" s="6"/>
      <c r="D25" s="6"/>
      <c r="E25" s="77" t="s">
        <v>1030</v>
      </c>
      <c r="F25" s="6"/>
      <c r="G25" s="6"/>
      <c r="H25" s="6"/>
      <c r="I25" s="77" t="s">
        <v>248</v>
      </c>
      <c r="J25" s="77" t="s">
        <v>1013</v>
      </c>
      <c r="K25" s="6"/>
      <c r="L25" s="6"/>
    </row>
    <row r="26" spans="1:12" ht="15" customHeight="1" x14ac:dyDescent="0.25">
      <c r="A26" s="6"/>
      <c r="B26" s="6"/>
      <c r="C26" s="6"/>
      <c r="D26" s="6"/>
      <c r="E26" s="80" t="s">
        <v>223</v>
      </c>
      <c r="F26" s="6"/>
      <c r="G26" s="6"/>
      <c r="H26" s="6"/>
      <c r="I26" s="80" t="s">
        <v>580</v>
      </c>
      <c r="J26" s="80" t="s">
        <v>1013</v>
      </c>
      <c r="K26" s="6"/>
      <c r="L26" s="6"/>
    </row>
    <row r="27" spans="1:12" ht="15" customHeight="1" x14ac:dyDescent="0.25">
      <c r="A27" s="6"/>
      <c r="B27" s="6"/>
      <c r="C27" s="6"/>
      <c r="D27" s="6"/>
      <c r="E27" s="77" t="s">
        <v>196</v>
      </c>
      <c r="F27" s="6"/>
      <c r="G27" s="6"/>
      <c r="H27" s="6"/>
      <c r="I27" s="77" t="s">
        <v>983</v>
      </c>
      <c r="J27" s="77" t="s">
        <v>1013</v>
      </c>
      <c r="K27" s="6"/>
      <c r="L27" s="6"/>
    </row>
    <row r="28" spans="1:12" ht="15" customHeight="1" x14ac:dyDescent="0.25">
      <c r="A28" s="6"/>
      <c r="B28" s="6"/>
      <c r="C28" s="6"/>
      <c r="D28" s="6"/>
      <c r="E28" s="80" t="s">
        <v>927</v>
      </c>
      <c r="F28" s="6"/>
      <c r="G28" s="6"/>
      <c r="H28" s="6"/>
      <c r="I28" s="80" t="s">
        <v>1015</v>
      </c>
      <c r="J28" s="80" t="s">
        <v>1013</v>
      </c>
      <c r="K28" s="6"/>
      <c r="L28" s="6"/>
    </row>
    <row r="29" spans="1:12" ht="15" customHeight="1" x14ac:dyDescent="0.25">
      <c r="A29" s="6"/>
      <c r="B29" s="6"/>
      <c r="C29" s="6"/>
      <c r="D29" s="6"/>
      <c r="E29" s="77" t="s">
        <v>1031</v>
      </c>
      <c r="F29" s="6"/>
      <c r="G29" s="6"/>
      <c r="H29" s="6"/>
      <c r="I29" s="77" t="s">
        <v>211</v>
      </c>
      <c r="J29" s="77" t="s">
        <v>1013</v>
      </c>
      <c r="K29" s="6"/>
      <c r="L29" s="6"/>
    </row>
    <row r="30" spans="1:12" ht="15" customHeight="1" x14ac:dyDescent="0.25">
      <c r="A30" s="6"/>
      <c r="B30" s="6"/>
      <c r="C30" s="6"/>
      <c r="D30" s="6"/>
      <c r="E30" s="80" t="s">
        <v>1032</v>
      </c>
      <c r="F30" s="6"/>
      <c r="G30" s="6"/>
      <c r="H30" s="6"/>
      <c r="I30" s="80" t="s">
        <v>234</v>
      </c>
      <c r="J30" s="80" t="s">
        <v>1013</v>
      </c>
      <c r="K30" s="6"/>
      <c r="L30" s="6"/>
    </row>
    <row r="31" spans="1:12" ht="15" customHeight="1" x14ac:dyDescent="0.25">
      <c r="A31" s="6"/>
      <c r="B31" s="6"/>
      <c r="C31" s="6"/>
      <c r="D31" s="6"/>
      <c r="E31" s="77" t="s">
        <v>1033</v>
      </c>
      <c r="F31" s="6"/>
      <c r="G31" s="6"/>
      <c r="H31" s="6"/>
      <c r="I31" s="77" t="s">
        <v>371</v>
      </c>
      <c r="J31" s="77" t="s">
        <v>1013</v>
      </c>
      <c r="K31" s="6"/>
      <c r="L31" s="6"/>
    </row>
    <row r="32" spans="1:12" ht="15" customHeight="1" x14ac:dyDescent="0.25">
      <c r="A32" s="6"/>
      <c r="B32" s="6"/>
      <c r="C32" s="6"/>
      <c r="D32" s="6"/>
      <c r="E32" s="80" t="s">
        <v>1034</v>
      </c>
      <c r="F32" s="6"/>
      <c r="G32" s="6"/>
      <c r="H32" s="6"/>
      <c r="I32" s="80" t="s">
        <v>986</v>
      </c>
      <c r="J32" s="80" t="s">
        <v>1013</v>
      </c>
      <c r="K32" s="6"/>
      <c r="L32" s="6"/>
    </row>
    <row r="33" spans="1:12" ht="15" customHeight="1" x14ac:dyDescent="0.25">
      <c r="A33" s="6"/>
      <c r="B33" s="6"/>
      <c r="C33" s="6"/>
      <c r="D33" s="6"/>
      <c r="E33" s="77" t="s">
        <v>1035</v>
      </c>
      <c r="F33" s="6"/>
      <c r="G33" s="6"/>
      <c r="H33" s="6"/>
      <c r="I33" s="77" t="s">
        <v>1016</v>
      </c>
      <c r="J33" s="77" t="s">
        <v>1013</v>
      </c>
      <c r="K33" s="6"/>
      <c r="L33" s="6"/>
    </row>
    <row r="34" spans="1:12" ht="15" customHeight="1" x14ac:dyDescent="0.25">
      <c r="A34" s="6"/>
      <c r="B34" s="6"/>
      <c r="C34" s="6"/>
      <c r="D34" s="6"/>
      <c r="E34" s="80" t="s">
        <v>1036</v>
      </c>
      <c r="F34" s="6"/>
      <c r="G34" s="6"/>
      <c r="H34" s="6"/>
      <c r="I34" s="80" t="s">
        <v>321</v>
      </c>
      <c r="J34" s="80" t="s">
        <v>1013</v>
      </c>
      <c r="K34" s="6"/>
      <c r="L34" s="6"/>
    </row>
    <row r="35" spans="1:12" ht="15" customHeight="1" x14ac:dyDescent="0.25">
      <c r="A35" s="6"/>
      <c r="B35" s="6"/>
      <c r="C35" s="6"/>
      <c r="D35" s="6"/>
      <c r="E35" s="77" t="s">
        <v>1037</v>
      </c>
      <c r="F35" s="6"/>
      <c r="G35" s="6"/>
      <c r="H35" s="6"/>
      <c r="I35" s="77" t="s">
        <v>1018</v>
      </c>
      <c r="J35" s="77" t="s">
        <v>1013</v>
      </c>
      <c r="K35" s="6"/>
      <c r="L35" s="6"/>
    </row>
    <row r="36" spans="1:12" ht="15" customHeight="1" x14ac:dyDescent="0.25">
      <c r="A36" s="6"/>
      <c r="B36" s="6"/>
      <c r="C36" s="6"/>
      <c r="D36" s="6"/>
      <c r="E36" s="80" t="s">
        <v>1038</v>
      </c>
      <c r="F36" s="6"/>
      <c r="G36" s="6"/>
      <c r="H36" s="6"/>
      <c r="I36" s="80" t="s">
        <v>208</v>
      </c>
      <c r="J36" s="80" t="s">
        <v>1013</v>
      </c>
      <c r="K36" s="6"/>
      <c r="L36" s="6"/>
    </row>
    <row r="37" spans="1:12" ht="15" customHeight="1" x14ac:dyDescent="0.25">
      <c r="A37" s="6"/>
      <c r="B37" s="6"/>
      <c r="C37" s="6"/>
      <c r="D37" s="6"/>
      <c r="E37" s="77" t="s">
        <v>1039</v>
      </c>
      <c r="F37" s="6"/>
      <c r="G37" s="6"/>
      <c r="H37" s="6"/>
      <c r="I37" s="77" t="s">
        <v>201</v>
      </c>
      <c r="J37" s="77" t="s">
        <v>1013</v>
      </c>
      <c r="K37" s="6"/>
      <c r="L37" s="6"/>
    </row>
    <row r="38" spans="1:12" ht="15" customHeight="1" x14ac:dyDescent="0.25">
      <c r="A38" s="6"/>
      <c r="B38" s="6"/>
      <c r="C38" s="6"/>
      <c r="D38" s="6"/>
      <c r="E38" s="80" t="s">
        <v>214</v>
      </c>
      <c r="F38" s="6"/>
      <c r="G38" s="6"/>
      <c r="H38" s="6"/>
      <c r="I38" s="80" t="s">
        <v>1019</v>
      </c>
      <c r="J38" s="80" t="s">
        <v>1013</v>
      </c>
      <c r="K38" s="6"/>
      <c r="L38" s="6"/>
    </row>
    <row r="39" spans="1:12" ht="15" customHeight="1" x14ac:dyDescent="0.25">
      <c r="A39" s="6"/>
      <c r="B39" s="6"/>
      <c r="C39" s="6"/>
      <c r="D39" s="6"/>
      <c r="E39" s="77" t="s">
        <v>1040</v>
      </c>
      <c r="F39" s="6"/>
      <c r="G39" s="6"/>
      <c r="H39" s="6"/>
      <c r="I39" s="77" t="s">
        <v>1020</v>
      </c>
      <c r="J39" s="77" t="s">
        <v>1013</v>
      </c>
      <c r="K39" s="6"/>
      <c r="L39" s="6"/>
    </row>
    <row r="40" spans="1:12" ht="15" customHeight="1" x14ac:dyDescent="0.25">
      <c r="A40" s="6"/>
      <c r="B40" s="6"/>
      <c r="C40" s="6"/>
      <c r="D40" s="6"/>
      <c r="E40" s="80" t="s">
        <v>1041</v>
      </c>
      <c r="F40" s="6"/>
      <c r="G40" s="6"/>
      <c r="H40" s="6"/>
      <c r="I40" s="80" t="s">
        <v>1022</v>
      </c>
      <c r="J40" s="80" t="s">
        <v>1013</v>
      </c>
      <c r="K40" s="6"/>
      <c r="L40" s="6"/>
    </row>
    <row r="41" spans="1:12" ht="15" customHeight="1" x14ac:dyDescent="0.25">
      <c r="A41" s="6"/>
      <c r="B41" s="6"/>
      <c r="C41" s="6"/>
      <c r="D41" s="6"/>
      <c r="E41" s="77" t="s">
        <v>241</v>
      </c>
      <c r="F41" s="6"/>
      <c r="G41" s="6"/>
      <c r="H41" s="6"/>
      <c r="I41" s="77" t="s">
        <v>218</v>
      </c>
      <c r="J41" s="77" t="s">
        <v>1013</v>
      </c>
      <c r="K41" s="6"/>
      <c r="L41" s="6"/>
    </row>
    <row r="42" spans="1:12" ht="15" customHeight="1" x14ac:dyDescent="0.25">
      <c r="A42" s="6"/>
      <c r="B42" s="6"/>
      <c r="C42" s="6"/>
      <c r="D42" s="6"/>
      <c r="E42" s="80" t="s">
        <v>656</v>
      </c>
      <c r="F42" s="6"/>
      <c r="G42" s="6"/>
      <c r="H42" s="6"/>
      <c r="I42" s="80" t="s">
        <v>475</v>
      </c>
      <c r="J42" s="80" t="s">
        <v>1013</v>
      </c>
      <c r="K42" s="6"/>
      <c r="L42" s="6"/>
    </row>
    <row r="43" spans="1:12" ht="15" customHeight="1" x14ac:dyDescent="0.25">
      <c r="A43" s="6"/>
      <c r="B43" s="6"/>
      <c r="C43" s="6"/>
      <c r="D43" s="6"/>
      <c r="E43" s="77" t="s">
        <v>1042</v>
      </c>
      <c r="F43" s="6"/>
      <c r="G43" s="6"/>
      <c r="H43" s="6"/>
      <c r="I43" s="77" t="s">
        <v>1024</v>
      </c>
      <c r="J43" s="77" t="s">
        <v>1013</v>
      </c>
      <c r="K43" s="6"/>
      <c r="L43" s="6"/>
    </row>
    <row r="44" spans="1:12" ht="15" customHeight="1" x14ac:dyDescent="0.25">
      <c r="A44" s="6"/>
      <c r="B44" s="6"/>
      <c r="C44" s="6"/>
      <c r="D44" s="6"/>
      <c r="E44" s="80" t="s">
        <v>1012</v>
      </c>
      <c r="F44" s="6"/>
      <c r="G44" s="6"/>
      <c r="H44" s="6"/>
      <c r="I44" s="80" t="s">
        <v>730</v>
      </c>
      <c r="J44" s="80" t="s">
        <v>1013</v>
      </c>
      <c r="K44" s="6"/>
      <c r="L44" s="6"/>
    </row>
    <row r="45" spans="1:12" ht="15" customHeight="1" x14ac:dyDescent="0.25">
      <c r="A45" s="6"/>
      <c r="B45" s="6"/>
      <c r="C45" s="6"/>
      <c r="D45" s="6"/>
      <c r="E45" s="77" t="s">
        <v>259</v>
      </c>
      <c r="F45" s="6"/>
      <c r="G45" s="6"/>
      <c r="H45" s="6"/>
      <c r="I45" s="77" t="s">
        <v>995</v>
      </c>
      <c r="J45" s="77" t="s">
        <v>1013</v>
      </c>
      <c r="K45" s="6"/>
      <c r="L45" s="6"/>
    </row>
    <row r="46" spans="1:12" ht="15" customHeight="1" x14ac:dyDescent="0.25">
      <c r="A46" s="6"/>
      <c r="B46" s="6"/>
      <c r="C46" s="6"/>
      <c r="D46" s="6"/>
      <c r="E46" s="80" t="s">
        <v>1021</v>
      </c>
      <c r="F46" s="6"/>
      <c r="G46" s="6"/>
      <c r="H46" s="6"/>
      <c r="I46" s="80" t="s">
        <v>1025</v>
      </c>
      <c r="J46" s="80" t="s">
        <v>1013</v>
      </c>
      <c r="K46" s="6"/>
      <c r="L46" s="6"/>
    </row>
    <row r="47" spans="1:12" ht="15" customHeight="1" x14ac:dyDescent="0.25">
      <c r="A47" s="6"/>
      <c r="B47" s="6"/>
      <c r="C47" s="6"/>
      <c r="D47" s="6"/>
      <c r="E47" s="77" t="s">
        <v>473</v>
      </c>
      <c r="F47" s="6"/>
      <c r="G47" s="6"/>
      <c r="H47" s="6"/>
      <c r="I47" s="77" t="s">
        <v>936</v>
      </c>
      <c r="J47" s="77" t="s">
        <v>1013</v>
      </c>
      <c r="K47" s="6"/>
      <c r="L47" s="6"/>
    </row>
    <row r="48" spans="1:12" ht="15" customHeight="1" x14ac:dyDescent="0.25">
      <c r="A48" s="6"/>
      <c r="B48" s="6"/>
      <c r="C48" s="6"/>
      <c r="D48" s="6"/>
      <c r="E48" s="80" t="s">
        <v>660</v>
      </c>
      <c r="F48" s="6"/>
      <c r="G48" s="6"/>
      <c r="H48" s="6"/>
      <c r="I48" s="80" t="s">
        <v>1027</v>
      </c>
      <c r="J48" s="80" t="s">
        <v>1013</v>
      </c>
      <c r="K48" s="6"/>
      <c r="L48" s="6"/>
    </row>
    <row r="49" spans="1:12" ht="15" customHeight="1" x14ac:dyDescent="0.25">
      <c r="A49" s="6"/>
      <c r="B49" s="6"/>
      <c r="C49" s="6"/>
      <c r="D49" s="6"/>
      <c r="E49" s="77" t="s">
        <v>78</v>
      </c>
      <c r="F49" s="6"/>
      <c r="G49" s="6"/>
      <c r="H49" s="6"/>
      <c r="I49" s="77" t="s">
        <v>613</v>
      </c>
      <c r="J49" s="77" t="s">
        <v>1013</v>
      </c>
      <c r="K49" s="6"/>
      <c r="L49" s="6"/>
    </row>
    <row r="50" spans="1:12" ht="15" customHeight="1" x14ac:dyDescent="0.25">
      <c r="A50" s="6"/>
      <c r="B50" s="6"/>
      <c r="C50" s="6"/>
      <c r="D50" s="6"/>
      <c r="E50" s="80" t="s">
        <v>380</v>
      </c>
      <c r="F50" s="6"/>
      <c r="G50" s="6"/>
      <c r="H50" s="6"/>
      <c r="I50" s="80" t="s">
        <v>967</v>
      </c>
      <c r="J50" s="80" t="s">
        <v>1013</v>
      </c>
      <c r="K50" s="6"/>
      <c r="L50" s="6"/>
    </row>
    <row r="51" spans="1:12" ht="15" customHeight="1" x14ac:dyDescent="0.25">
      <c r="A51" s="6"/>
      <c r="B51" s="6"/>
      <c r="C51" s="6"/>
      <c r="D51" s="6"/>
      <c r="E51" s="77" t="s">
        <v>355</v>
      </c>
      <c r="F51" s="6"/>
      <c r="G51" s="6"/>
      <c r="H51" s="6"/>
      <c r="I51" s="77" t="s">
        <v>744</v>
      </c>
      <c r="J51" s="77" t="s">
        <v>1013</v>
      </c>
      <c r="K51" s="6"/>
      <c r="L51" s="6"/>
    </row>
    <row r="52" spans="1:12" ht="15" customHeight="1" x14ac:dyDescent="0.25">
      <c r="A52" s="6"/>
      <c r="B52" s="6"/>
      <c r="C52" s="6"/>
      <c r="D52" s="6"/>
      <c r="E52" s="80" t="s">
        <v>1023</v>
      </c>
      <c r="F52" s="6"/>
      <c r="G52" s="6"/>
      <c r="H52" s="6"/>
      <c r="I52" s="80" t="s">
        <v>1028</v>
      </c>
      <c r="J52" s="80" t="s">
        <v>1013</v>
      </c>
      <c r="K52" s="6"/>
      <c r="L52" s="6"/>
    </row>
    <row r="53" spans="1:12" ht="15" customHeight="1" x14ac:dyDescent="0.25">
      <c r="A53" s="6"/>
      <c r="B53" s="6"/>
      <c r="C53" s="6"/>
      <c r="D53" s="6"/>
      <c r="E53" s="77" t="s">
        <v>181</v>
      </c>
      <c r="F53" s="6"/>
      <c r="G53" s="6"/>
      <c r="H53" s="6"/>
      <c r="I53" s="77" t="s">
        <v>533</v>
      </c>
      <c r="J53" s="77" t="s">
        <v>1013</v>
      </c>
      <c r="K53" s="6"/>
      <c r="L53" s="6"/>
    </row>
    <row r="54" spans="1:12" ht="15" customHeight="1" x14ac:dyDescent="0.25">
      <c r="A54" s="6"/>
      <c r="B54" s="6"/>
      <c r="C54" s="6"/>
      <c r="D54" s="6"/>
      <c r="E54" s="80" t="s">
        <v>351</v>
      </c>
      <c r="F54" s="6"/>
      <c r="G54" s="6"/>
      <c r="H54" s="6"/>
      <c r="I54" s="80" t="s">
        <v>628</v>
      </c>
      <c r="J54" s="80" t="s">
        <v>1013</v>
      </c>
      <c r="K54" s="6"/>
      <c r="L54" s="6"/>
    </row>
    <row r="55" spans="1:12" ht="15" customHeight="1" x14ac:dyDescent="0.25">
      <c r="A55" s="6"/>
      <c r="B55" s="6"/>
      <c r="C55" s="6"/>
      <c r="D55" s="6"/>
      <c r="E55" s="77" t="s">
        <v>1026</v>
      </c>
      <c r="F55" s="6"/>
      <c r="G55" s="6"/>
      <c r="H55" s="6"/>
      <c r="I55" s="77" t="s">
        <v>600</v>
      </c>
      <c r="J55" s="77" t="s">
        <v>1013</v>
      </c>
      <c r="K55" s="6"/>
      <c r="L55" s="6"/>
    </row>
    <row r="56" spans="1:12" ht="15" customHeight="1" x14ac:dyDescent="0.25">
      <c r="A56" s="6"/>
      <c r="B56" s="6"/>
      <c r="C56" s="6"/>
      <c r="D56" s="6"/>
      <c r="E56" s="80" t="s">
        <v>70</v>
      </c>
      <c r="F56" s="6"/>
      <c r="G56" s="6"/>
      <c r="H56" s="6"/>
      <c r="I56" s="80" t="s">
        <v>1029</v>
      </c>
      <c r="J56" s="80" t="s">
        <v>1013</v>
      </c>
      <c r="K56" s="6"/>
      <c r="L56" s="6"/>
    </row>
    <row r="57" spans="1:12" ht="15" customHeight="1" x14ac:dyDescent="0.25">
      <c r="A57" s="6"/>
      <c r="B57" s="6"/>
      <c r="C57" s="6"/>
      <c r="D57" s="6"/>
      <c r="E57" s="77" t="s">
        <v>426</v>
      </c>
      <c r="F57" s="6"/>
      <c r="G57" s="6"/>
      <c r="H57" s="6"/>
      <c r="I57" s="77" t="s">
        <v>199</v>
      </c>
      <c r="J57" s="77" t="s">
        <v>1013</v>
      </c>
      <c r="K57" s="6"/>
      <c r="L57" s="6"/>
    </row>
    <row r="58" spans="1:12" ht="15" customHeight="1" x14ac:dyDescent="0.25">
      <c r="A58" s="6"/>
      <c r="B58" s="6"/>
      <c r="C58" s="6"/>
      <c r="D58" s="6"/>
      <c r="E58" s="80" t="s">
        <v>253</v>
      </c>
      <c r="F58" s="6"/>
      <c r="G58" s="6"/>
      <c r="H58" s="6"/>
      <c r="I58" s="80" t="s">
        <v>979</v>
      </c>
      <c r="J58" s="80" t="s">
        <v>1013</v>
      </c>
      <c r="K58" s="6"/>
      <c r="L58" s="6"/>
    </row>
    <row r="59" spans="1:12" ht="15" customHeight="1" x14ac:dyDescent="0.25">
      <c r="A59" s="6"/>
      <c r="B59" s="6"/>
      <c r="C59" s="6"/>
      <c r="D59" s="6"/>
      <c r="E59" s="77" t="s">
        <v>1043</v>
      </c>
      <c r="F59" s="6"/>
      <c r="G59" s="6"/>
      <c r="H59" s="6"/>
      <c r="I59" s="77" t="s">
        <v>883</v>
      </c>
      <c r="J59" s="77" t="s">
        <v>1013</v>
      </c>
      <c r="K59" s="6"/>
      <c r="L59" s="6"/>
    </row>
    <row r="60" spans="1:12" ht="15" customHeight="1" x14ac:dyDescent="0.25">
      <c r="A60" s="6"/>
      <c r="B60" s="6"/>
      <c r="C60" s="6"/>
      <c r="D60" s="6"/>
      <c r="E60" s="80" t="s">
        <v>246</v>
      </c>
      <c r="F60" s="6"/>
      <c r="G60" s="6"/>
      <c r="H60" s="6"/>
      <c r="I60" s="80" t="s">
        <v>818</v>
      </c>
      <c r="J60" s="80" t="s">
        <v>1013</v>
      </c>
      <c r="K60" s="6"/>
      <c r="L60" s="6"/>
    </row>
    <row r="61" spans="1:12" ht="15" customHeight="1" x14ac:dyDescent="0.25">
      <c r="A61" s="6"/>
      <c r="B61" s="6"/>
      <c r="C61" s="6"/>
      <c r="D61" s="6"/>
      <c r="E61" s="77" t="s">
        <v>192</v>
      </c>
      <c r="F61" s="6"/>
      <c r="G61" s="6"/>
      <c r="H61" s="6"/>
      <c r="I61" s="77" t="s">
        <v>637</v>
      </c>
      <c r="J61" s="77" t="s">
        <v>1013</v>
      </c>
      <c r="K61" s="6"/>
      <c r="L61" s="6"/>
    </row>
    <row r="62" spans="1:12" ht="15" customHeight="1" x14ac:dyDescent="0.25">
      <c r="A62" s="6"/>
      <c r="B62" s="6"/>
      <c r="C62" s="6"/>
      <c r="D62" s="6"/>
      <c r="E62" s="80" t="s">
        <v>481</v>
      </c>
      <c r="F62" s="6"/>
      <c r="G62" s="6"/>
      <c r="H62" s="6"/>
      <c r="I62" s="80" t="s">
        <v>1044</v>
      </c>
      <c r="J62" s="80" t="s">
        <v>1013</v>
      </c>
      <c r="K62" s="6"/>
      <c r="L62" s="6"/>
    </row>
    <row r="63" spans="1:12" ht="15" customHeight="1" x14ac:dyDescent="0.25">
      <c r="A63" s="6"/>
      <c r="B63" s="6"/>
      <c r="C63" s="6"/>
      <c r="D63" s="6"/>
      <c r="E63" s="77" t="s">
        <v>1045</v>
      </c>
      <c r="F63" s="6"/>
      <c r="G63" s="6"/>
      <c r="H63" s="6"/>
      <c r="I63" s="77" t="s">
        <v>1030</v>
      </c>
      <c r="J63" s="77" t="s">
        <v>1013</v>
      </c>
      <c r="K63" s="6"/>
      <c r="L63" s="6"/>
    </row>
    <row r="64" spans="1:12" ht="15" customHeight="1" x14ac:dyDescent="0.25">
      <c r="A64" s="6"/>
      <c r="B64" s="6"/>
      <c r="C64" s="6"/>
      <c r="D64" s="6"/>
      <c r="E64" s="80" t="s">
        <v>185</v>
      </c>
      <c r="F64" s="6"/>
      <c r="G64" s="6"/>
      <c r="H64" s="6"/>
      <c r="I64" s="80" t="s">
        <v>850</v>
      </c>
      <c r="J64" s="80" t="s">
        <v>1013</v>
      </c>
      <c r="K64" s="6"/>
      <c r="L64" s="6"/>
    </row>
    <row r="65" spans="1:12" ht="15" customHeight="1" x14ac:dyDescent="0.25">
      <c r="A65" s="6"/>
      <c r="B65" s="6"/>
      <c r="C65" s="6"/>
      <c r="D65" s="6"/>
      <c r="E65" s="6"/>
      <c r="F65" s="6"/>
      <c r="G65" s="6"/>
      <c r="H65" s="6"/>
      <c r="I65" s="77" t="s">
        <v>223</v>
      </c>
      <c r="J65" s="77" t="s">
        <v>1013</v>
      </c>
      <c r="K65" s="6"/>
      <c r="L65" s="6"/>
    </row>
    <row r="66" spans="1:12" ht="15" customHeight="1" x14ac:dyDescent="0.25">
      <c r="A66" s="6"/>
      <c r="B66" s="6"/>
      <c r="C66" s="6"/>
      <c r="D66" s="6"/>
      <c r="E66" s="6"/>
      <c r="F66" s="6"/>
      <c r="G66" s="6"/>
      <c r="H66" s="6"/>
      <c r="I66" s="80" t="s">
        <v>196</v>
      </c>
      <c r="J66" s="80" t="s">
        <v>1013</v>
      </c>
      <c r="K66" s="6"/>
      <c r="L66" s="6"/>
    </row>
    <row r="67" spans="1:12" ht="15" customHeight="1" x14ac:dyDescent="0.25">
      <c r="A67" s="6"/>
      <c r="B67" s="6"/>
      <c r="C67" s="6"/>
      <c r="D67" s="6"/>
      <c r="E67" s="6"/>
      <c r="F67" s="6"/>
      <c r="G67" s="6"/>
      <c r="H67" s="6"/>
      <c r="I67" s="77" t="s">
        <v>927</v>
      </c>
      <c r="J67" s="77" t="s">
        <v>1013</v>
      </c>
      <c r="K67" s="6"/>
      <c r="L67" s="6"/>
    </row>
    <row r="68" spans="1:12" ht="15" customHeight="1" x14ac:dyDescent="0.25">
      <c r="A68" s="6"/>
      <c r="B68" s="6"/>
      <c r="C68" s="6"/>
      <c r="D68" s="6"/>
      <c r="E68" s="6"/>
      <c r="F68" s="6"/>
      <c r="G68" s="6"/>
      <c r="H68" s="6"/>
      <c r="I68" s="80" t="s">
        <v>1031</v>
      </c>
      <c r="J68" s="80" t="s">
        <v>1013</v>
      </c>
      <c r="K68" s="6"/>
      <c r="L68" s="6"/>
    </row>
    <row r="69" spans="1:12" ht="15" customHeight="1" x14ac:dyDescent="0.25">
      <c r="A69" s="6"/>
      <c r="B69" s="6"/>
      <c r="C69" s="6"/>
      <c r="D69" s="6"/>
      <c r="E69" s="6"/>
      <c r="F69" s="6"/>
      <c r="G69" s="6"/>
      <c r="H69" s="6"/>
      <c r="I69" s="77" t="s">
        <v>1032</v>
      </c>
      <c r="J69" s="77" t="s">
        <v>1013</v>
      </c>
      <c r="K69" s="6"/>
      <c r="L69" s="6"/>
    </row>
    <row r="70" spans="1:12" ht="15" customHeight="1" x14ac:dyDescent="0.25">
      <c r="A70" s="6"/>
      <c r="B70" s="6"/>
      <c r="C70" s="6"/>
      <c r="D70" s="6"/>
      <c r="E70" s="6"/>
      <c r="F70" s="6"/>
      <c r="G70" s="6"/>
      <c r="H70" s="6"/>
      <c r="I70" s="80" t="s">
        <v>557</v>
      </c>
      <c r="J70" s="80" t="s">
        <v>1013</v>
      </c>
      <c r="K70" s="6"/>
      <c r="L70" s="6"/>
    </row>
    <row r="71" spans="1:12" ht="15" customHeight="1" x14ac:dyDescent="0.25">
      <c r="A71" s="6"/>
      <c r="B71" s="6"/>
      <c r="C71" s="6"/>
      <c r="D71" s="6"/>
      <c r="E71" s="6"/>
      <c r="F71" s="6"/>
      <c r="G71" s="6"/>
      <c r="H71" s="6"/>
      <c r="I71" s="77" t="s">
        <v>1033</v>
      </c>
      <c r="J71" s="77" t="s">
        <v>1013</v>
      </c>
      <c r="K71" s="6"/>
      <c r="L71" s="6"/>
    </row>
    <row r="72" spans="1:12" ht="15" customHeight="1" x14ac:dyDescent="0.25">
      <c r="A72" s="6"/>
      <c r="B72" s="6"/>
      <c r="C72" s="6"/>
      <c r="D72" s="6"/>
      <c r="E72" s="6"/>
      <c r="F72" s="6"/>
      <c r="G72" s="6"/>
      <c r="H72" s="6"/>
      <c r="I72" s="80" t="s">
        <v>250</v>
      </c>
      <c r="J72" s="80" t="s">
        <v>1013</v>
      </c>
      <c r="K72" s="6"/>
      <c r="L72" s="6"/>
    </row>
    <row r="73" spans="1:12" ht="15" customHeight="1" x14ac:dyDescent="0.25">
      <c r="A73" s="6"/>
      <c r="B73" s="6"/>
      <c r="C73" s="6"/>
      <c r="D73" s="6"/>
      <c r="E73" s="6"/>
      <c r="F73" s="6"/>
      <c r="G73" s="6"/>
      <c r="H73" s="6"/>
      <c r="I73" s="77" t="s">
        <v>1034</v>
      </c>
      <c r="J73" s="77" t="s">
        <v>1013</v>
      </c>
      <c r="K73" s="6"/>
      <c r="L73" s="6"/>
    </row>
    <row r="74" spans="1:12" ht="15" customHeight="1" x14ac:dyDescent="0.25">
      <c r="A74" s="6"/>
      <c r="B74" s="6"/>
      <c r="C74" s="6"/>
      <c r="D74" s="6"/>
      <c r="E74" s="6"/>
      <c r="F74" s="6"/>
      <c r="G74" s="6"/>
      <c r="H74" s="6"/>
      <c r="I74" s="80" t="s">
        <v>822</v>
      </c>
      <c r="J74" s="80" t="s">
        <v>1013</v>
      </c>
      <c r="K74" s="6"/>
      <c r="L74" s="6"/>
    </row>
    <row r="75" spans="1:12" ht="15" customHeight="1" x14ac:dyDescent="0.25">
      <c r="A75" s="6"/>
      <c r="B75" s="6"/>
      <c r="C75" s="6"/>
      <c r="D75" s="6"/>
      <c r="E75" s="6"/>
      <c r="F75" s="6"/>
      <c r="G75" s="6"/>
      <c r="H75" s="6"/>
      <c r="I75" s="77" t="s">
        <v>585</v>
      </c>
      <c r="J75" s="77" t="s">
        <v>1013</v>
      </c>
      <c r="K75" s="6"/>
      <c r="L75" s="6"/>
    </row>
    <row r="76" spans="1:12" ht="15" customHeight="1" x14ac:dyDescent="0.25">
      <c r="A76" s="6"/>
      <c r="B76" s="6"/>
      <c r="C76" s="6"/>
      <c r="D76" s="6"/>
      <c r="E76" s="6"/>
      <c r="F76" s="6"/>
      <c r="G76" s="6"/>
      <c r="H76" s="6"/>
      <c r="I76" s="80" t="s">
        <v>1035</v>
      </c>
      <c r="J76" s="80" t="s">
        <v>1013</v>
      </c>
      <c r="K76" s="6"/>
      <c r="L76" s="6"/>
    </row>
    <row r="77" spans="1:12" ht="15" customHeight="1" x14ac:dyDescent="0.25">
      <c r="A77" s="6"/>
      <c r="B77" s="6"/>
      <c r="C77" s="6"/>
      <c r="D77" s="6"/>
      <c r="E77" s="6"/>
      <c r="F77" s="6"/>
      <c r="G77" s="6"/>
      <c r="H77" s="6"/>
      <c r="I77" s="77" t="s">
        <v>1046</v>
      </c>
      <c r="J77" s="77" t="s">
        <v>1013</v>
      </c>
      <c r="K77" s="6"/>
      <c r="L77" s="6"/>
    </row>
    <row r="78" spans="1:12" ht="15" customHeight="1" x14ac:dyDescent="0.25">
      <c r="A78" s="6"/>
      <c r="B78" s="6"/>
      <c r="C78" s="6"/>
      <c r="D78" s="6"/>
      <c r="E78" s="6"/>
      <c r="F78" s="6"/>
      <c r="G78" s="6"/>
      <c r="H78" s="6"/>
      <c r="I78" s="80" t="s">
        <v>1036</v>
      </c>
      <c r="J78" s="80" t="s">
        <v>1013</v>
      </c>
      <c r="K78" s="6"/>
      <c r="L78" s="6"/>
    </row>
    <row r="79" spans="1:12" ht="15" customHeight="1" x14ac:dyDescent="0.25">
      <c r="A79" s="6"/>
      <c r="B79" s="6"/>
      <c r="C79" s="6"/>
      <c r="D79" s="6"/>
      <c r="E79" s="6"/>
      <c r="F79" s="6"/>
      <c r="G79" s="6"/>
      <c r="H79" s="6"/>
      <c r="I79" s="77" t="s">
        <v>1037</v>
      </c>
      <c r="J79" s="77" t="s">
        <v>1013</v>
      </c>
      <c r="K79" s="6"/>
      <c r="L79" s="6"/>
    </row>
    <row r="80" spans="1:12" ht="15" customHeight="1" x14ac:dyDescent="0.25">
      <c r="A80" s="6"/>
      <c r="B80" s="6"/>
      <c r="C80" s="6"/>
      <c r="D80" s="6"/>
      <c r="E80" s="6"/>
      <c r="F80" s="6"/>
      <c r="G80" s="6"/>
      <c r="H80" s="6"/>
      <c r="I80" s="80" t="s">
        <v>1038</v>
      </c>
      <c r="J80" s="80" t="s">
        <v>1013</v>
      </c>
      <c r="K80" s="6"/>
      <c r="L80" s="6"/>
    </row>
    <row r="81" spans="1:12" ht="15" customHeight="1" x14ac:dyDescent="0.25">
      <c r="A81" s="6"/>
      <c r="B81" s="6"/>
      <c r="C81" s="6"/>
      <c r="D81" s="6"/>
      <c r="E81" s="6"/>
      <c r="F81" s="6"/>
      <c r="G81" s="6"/>
      <c r="H81" s="6"/>
      <c r="I81" s="77" t="s">
        <v>719</v>
      </c>
      <c r="J81" s="77" t="s">
        <v>1013</v>
      </c>
      <c r="K81" s="6"/>
      <c r="L81" s="6"/>
    </row>
    <row r="82" spans="1:12" ht="15" customHeight="1" x14ac:dyDescent="0.25">
      <c r="A82" s="6"/>
      <c r="B82" s="6"/>
      <c r="C82" s="6"/>
      <c r="D82" s="6"/>
      <c r="E82" s="6"/>
      <c r="F82" s="6"/>
      <c r="G82" s="6"/>
      <c r="H82" s="6"/>
      <c r="I82" s="80" t="s">
        <v>1039</v>
      </c>
      <c r="J82" s="80" t="s">
        <v>1013</v>
      </c>
      <c r="K82" s="6"/>
      <c r="L82" s="6"/>
    </row>
    <row r="83" spans="1:12" ht="15" customHeight="1" x14ac:dyDescent="0.25">
      <c r="A83" s="6"/>
      <c r="B83" s="6"/>
      <c r="C83" s="6"/>
      <c r="D83" s="6"/>
      <c r="E83" s="6"/>
      <c r="F83" s="6"/>
      <c r="G83" s="6"/>
      <c r="H83" s="6"/>
      <c r="I83" s="77" t="s">
        <v>863</v>
      </c>
      <c r="J83" s="77" t="s">
        <v>1013</v>
      </c>
      <c r="K83" s="6"/>
      <c r="L83" s="6"/>
    </row>
    <row r="84" spans="1:12" ht="15" customHeight="1" x14ac:dyDescent="0.25">
      <c r="A84" s="6"/>
      <c r="B84" s="6"/>
      <c r="C84" s="6"/>
      <c r="D84" s="6"/>
      <c r="E84" s="6"/>
      <c r="F84" s="6"/>
      <c r="G84" s="6"/>
      <c r="H84" s="6"/>
      <c r="I84" s="80" t="s">
        <v>214</v>
      </c>
      <c r="J84" s="80" t="s">
        <v>1013</v>
      </c>
      <c r="K84" s="6"/>
      <c r="L84" s="6"/>
    </row>
    <row r="85" spans="1:12" ht="15" customHeight="1" x14ac:dyDescent="0.25">
      <c r="A85" s="6"/>
      <c r="B85" s="6"/>
      <c r="C85" s="6"/>
      <c r="D85" s="6"/>
      <c r="E85" s="6"/>
      <c r="F85" s="6"/>
      <c r="G85" s="6"/>
      <c r="H85" s="6"/>
      <c r="I85" s="77" t="s">
        <v>1040</v>
      </c>
      <c r="J85" s="77" t="s">
        <v>1013</v>
      </c>
      <c r="K85" s="6"/>
      <c r="L85" s="6"/>
    </row>
    <row r="86" spans="1:12" ht="15" customHeight="1" x14ac:dyDescent="0.25">
      <c r="A86" s="6"/>
      <c r="B86" s="6"/>
      <c r="C86" s="6"/>
      <c r="D86" s="6"/>
      <c r="E86" s="6"/>
      <c r="F86" s="6"/>
      <c r="G86" s="6"/>
      <c r="H86" s="6"/>
      <c r="I86" s="80" t="s">
        <v>711</v>
      </c>
      <c r="J86" s="80" t="s">
        <v>1013</v>
      </c>
      <c r="K86" s="6"/>
      <c r="L86" s="6"/>
    </row>
    <row r="87" spans="1:12" ht="15" customHeight="1" x14ac:dyDescent="0.25">
      <c r="A87" s="6"/>
      <c r="B87" s="6"/>
      <c r="C87" s="6"/>
      <c r="D87" s="6"/>
      <c r="E87" s="6"/>
      <c r="F87" s="6"/>
      <c r="G87" s="6"/>
      <c r="H87" s="6"/>
      <c r="I87" s="77" t="s">
        <v>622</v>
      </c>
      <c r="J87" s="77" t="s">
        <v>1013</v>
      </c>
      <c r="K87" s="6"/>
      <c r="L87" s="6"/>
    </row>
    <row r="88" spans="1:12" ht="15" customHeight="1" x14ac:dyDescent="0.25">
      <c r="A88" s="6"/>
      <c r="B88" s="6"/>
      <c r="C88" s="6"/>
      <c r="D88" s="6"/>
      <c r="E88" s="6"/>
      <c r="F88" s="6"/>
      <c r="G88" s="6"/>
      <c r="H88" s="6"/>
      <c r="I88" s="80" t="s">
        <v>281</v>
      </c>
      <c r="J88" s="80" t="s">
        <v>1013</v>
      </c>
      <c r="K88" s="6"/>
      <c r="L88" s="6"/>
    </row>
    <row r="89" spans="1:12" ht="15" customHeight="1" x14ac:dyDescent="0.25">
      <c r="A89" s="6"/>
      <c r="B89" s="6"/>
      <c r="C89" s="6"/>
      <c r="D89" s="6"/>
      <c r="E89" s="6"/>
      <c r="F89" s="6"/>
      <c r="G89" s="6"/>
      <c r="H89" s="6"/>
      <c r="I89" s="77" t="s">
        <v>461</v>
      </c>
      <c r="J89" s="77" t="s">
        <v>1013</v>
      </c>
      <c r="K89" s="6"/>
      <c r="L89" s="6"/>
    </row>
    <row r="90" spans="1:12" ht="15" customHeight="1" x14ac:dyDescent="0.25">
      <c r="A90" s="6"/>
      <c r="B90" s="6"/>
      <c r="C90" s="6"/>
      <c r="D90" s="6"/>
      <c r="E90" s="6"/>
      <c r="F90" s="6"/>
      <c r="G90" s="6"/>
      <c r="H90" s="6"/>
      <c r="I90" s="80" t="s">
        <v>572</v>
      </c>
      <c r="J90" s="80" t="s">
        <v>1013</v>
      </c>
      <c r="K90" s="6"/>
      <c r="L90" s="6"/>
    </row>
    <row r="91" spans="1:12" ht="15" customHeight="1" x14ac:dyDescent="0.25">
      <c r="A91" s="6"/>
      <c r="B91" s="6"/>
      <c r="C91" s="6"/>
      <c r="D91" s="6"/>
      <c r="E91" s="6"/>
      <c r="F91" s="6"/>
      <c r="G91" s="6"/>
      <c r="H91" s="6"/>
      <c r="I91" s="77" t="s">
        <v>1041</v>
      </c>
      <c r="J91" s="77" t="s">
        <v>1013</v>
      </c>
      <c r="K91" s="6"/>
      <c r="L91" s="6"/>
    </row>
    <row r="92" spans="1:12" ht="15" customHeight="1" x14ac:dyDescent="0.25">
      <c r="A92" s="6"/>
      <c r="B92" s="6"/>
      <c r="C92" s="6"/>
      <c r="D92" s="6"/>
      <c r="E92" s="6"/>
      <c r="F92" s="6"/>
      <c r="G92" s="6"/>
      <c r="H92" s="6"/>
      <c r="I92" s="80" t="s">
        <v>241</v>
      </c>
      <c r="J92" s="80" t="s">
        <v>1013</v>
      </c>
      <c r="K92" s="6"/>
      <c r="L92" s="6"/>
    </row>
    <row r="93" spans="1:12" ht="15" customHeight="1" x14ac:dyDescent="0.25">
      <c r="A93" s="6"/>
      <c r="B93" s="6"/>
      <c r="C93" s="6"/>
      <c r="D93" s="6"/>
      <c r="E93" s="6"/>
      <c r="F93" s="6"/>
      <c r="G93" s="6"/>
      <c r="H93" s="6"/>
      <c r="I93" s="77" t="s">
        <v>550</v>
      </c>
      <c r="J93" s="77" t="s">
        <v>1013</v>
      </c>
      <c r="K93" s="6"/>
      <c r="L93" s="6"/>
    </row>
    <row r="94" spans="1:12" ht="15" customHeight="1" x14ac:dyDescent="0.25">
      <c r="A94" s="6"/>
      <c r="B94" s="6"/>
      <c r="C94" s="6"/>
      <c r="D94" s="6"/>
      <c r="E94" s="6"/>
      <c r="F94" s="6"/>
      <c r="G94" s="6"/>
      <c r="H94" s="6"/>
      <c r="I94" s="80" t="s">
        <v>914</v>
      </c>
      <c r="J94" s="80" t="s">
        <v>1013</v>
      </c>
      <c r="K94" s="6"/>
      <c r="L94" s="6"/>
    </row>
    <row r="95" spans="1:12" ht="15" customHeight="1" x14ac:dyDescent="0.25">
      <c r="A95" s="6"/>
      <c r="B95" s="6"/>
      <c r="C95" s="6"/>
      <c r="D95" s="6"/>
      <c r="E95" s="6"/>
      <c r="F95" s="6"/>
      <c r="G95" s="6"/>
      <c r="H95" s="6"/>
      <c r="I95" s="77" t="s">
        <v>750</v>
      </c>
      <c r="J95" s="77" t="s">
        <v>1013</v>
      </c>
      <c r="K95" s="6"/>
      <c r="L95" s="6"/>
    </row>
    <row r="96" spans="1:12" ht="15" customHeight="1" x14ac:dyDescent="0.25">
      <c r="A96" s="6"/>
      <c r="B96" s="6"/>
      <c r="C96" s="6"/>
      <c r="D96" s="6"/>
      <c r="E96" s="6"/>
      <c r="F96" s="6"/>
      <c r="G96" s="6"/>
      <c r="H96" s="6"/>
      <c r="I96" s="80" t="s">
        <v>656</v>
      </c>
      <c r="J96" s="80" t="s">
        <v>1013</v>
      </c>
      <c r="K96" s="6"/>
      <c r="L96" s="6"/>
    </row>
    <row r="97" spans="1:12" ht="15" customHeight="1" x14ac:dyDescent="0.25">
      <c r="A97" s="6"/>
      <c r="B97" s="6"/>
      <c r="C97" s="6"/>
      <c r="D97" s="6"/>
      <c r="E97" s="6"/>
      <c r="F97" s="6"/>
      <c r="G97" s="6"/>
      <c r="H97" s="6"/>
      <c r="I97" s="77" t="s">
        <v>1042</v>
      </c>
      <c r="J97" s="77" t="s">
        <v>1013</v>
      </c>
      <c r="K97" s="6"/>
      <c r="L97" s="6"/>
    </row>
    <row r="98" spans="1:12" ht="15" customHeight="1" x14ac:dyDescent="0.25">
      <c r="A98" s="6"/>
      <c r="B98" s="6"/>
      <c r="C98" s="6"/>
      <c r="D98" s="6"/>
      <c r="E98" s="6"/>
      <c r="F98" s="6"/>
      <c r="G98" s="6"/>
      <c r="H98" s="6"/>
      <c r="I98" s="80" t="s">
        <v>327</v>
      </c>
      <c r="J98" s="80" t="s">
        <v>1013</v>
      </c>
      <c r="K98" s="6"/>
      <c r="L98" s="6"/>
    </row>
    <row r="99" spans="1:12" ht="15" customHeight="1" x14ac:dyDescent="0.25">
      <c r="A99" s="6"/>
      <c r="B99" s="6"/>
      <c r="C99" s="6"/>
      <c r="D99" s="6"/>
      <c r="E99" s="6"/>
      <c r="F99" s="6"/>
      <c r="G99" s="6"/>
      <c r="H99" s="6"/>
      <c r="I99" s="77" t="s">
        <v>681</v>
      </c>
      <c r="J99" s="77" t="s">
        <v>1013</v>
      </c>
      <c r="K99" s="6"/>
      <c r="L99" s="6"/>
    </row>
    <row r="100" spans="1:12" ht="15" customHeight="1" x14ac:dyDescent="0.25">
      <c r="A100" s="6"/>
      <c r="B100" s="6"/>
      <c r="C100" s="6"/>
      <c r="D100" s="6"/>
      <c r="E100" s="6"/>
      <c r="F100" s="6"/>
      <c r="G100" s="6"/>
      <c r="H100" s="6"/>
      <c r="I100" s="80" t="s">
        <v>604</v>
      </c>
      <c r="J100" s="80" t="s">
        <v>1013</v>
      </c>
      <c r="K100" s="6"/>
      <c r="L100" s="6"/>
    </row>
    <row r="101" spans="1:12" ht="15" customHeight="1" x14ac:dyDescent="0.25">
      <c r="A101" s="6"/>
      <c r="B101" s="6"/>
      <c r="C101" s="6"/>
      <c r="D101" s="6"/>
      <c r="E101" s="6"/>
      <c r="F101" s="6"/>
      <c r="G101" s="6"/>
      <c r="H101" s="6"/>
      <c r="I101" s="77" t="s">
        <v>345</v>
      </c>
      <c r="J101" s="77" t="s">
        <v>1013</v>
      </c>
      <c r="K101" s="6"/>
      <c r="L101" s="6"/>
    </row>
    <row r="102" spans="1:12" ht="15" customHeight="1" x14ac:dyDescent="0.25">
      <c r="A102" s="6"/>
      <c r="B102" s="6"/>
      <c r="C102" s="6"/>
      <c r="D102" s="6"/>
      <c r="E102" s="6"/>
      <c r="F102" s="6"/>
      <c r="G102" s="6"/>
      <c r="H102" s="6"/>
      <c r="I102" s="80" t="s">
        <v>564</v>
      </c>
      <c r="J102" s="80" t="s">
        <v>1013</v>
      </c>
      <c r="K102" s="6"/>
      <c r="L102" s="6"/>
    </row>
    <row r="103" spans="1:12" ht="15" customHeight="1" x14ac:dyDescent="0.25">
      <c r="A103" s="6"/>
      <c r="B103" s="6"/>
      <c r="C103" s="6"/>
      <c r="D103" s="6"/>
      <c r="E103" s="6"/>
      <c r="F103" s="6"/>
      <c r="G103" s="6"/>
      <c r="H103" s="6"/>
      <c r="I103" s="77" t="s">
        <v>307</v>
      </c>
      <c r="J103" s="77" t="s">
        <v>1013</v>
      </c>
      <c r="K103" s="6"/>
      <c r="L103" s="6"/>
    </row>
    <row r="104" spans="1:12" ht="15" customHeight="1" x14ac:dyDescent="0.25">
      <c r="A104" s="6"/>
      <c r="B104" s="6"/>
      <c r="C104" s="6"/>
      <c r="D104" s="6"/>
      <c r="E104" s="6"/>
      <c r="F104" s="6"/>
      <c r="G104" s="6"/>
      <c r="H104" s="6"/>
      <c r="I104" s="80" t="s">
        <v>840</v>
      </c>
      <c r="J104" s="80" t="s">
        <v>1013</v>
      </c>
      <c r="K104" s="6"/>
      <c r="L104" s="6"/>
    </row>
    <row r="105" spans="1:12" ht="15" customHeight="1" x14ac:dyDescent="0.25">
      <c r="A105" s="6"/>
      <c r="B105" s="6"/>
      <c r="C105" s="6"/>
      <c r="D105" s="6"/>
      <c r="E105" s="6"/>
      <c r="F105" s="6"/>
      <c r="G105" s="6"/>
      <c r="H105" s="6"/>
      <c r="I105" s="77" t="s">
        <v>957</v>
      </c>
      <c r="J105" s="77" t="s">
        <v>1013</v>
      </c>
      <c r="K105" s="6"/>
      <c r="L105" s="6"/>
    </row>
    <row r="106" spans="1:12" ht="15" customHeight="1" x14ac:dyDescent="0.25">
      <c r="A106" s="6"/>
      <c r="B106" s="6"/>
      <c r="C106" s="6"/>
      <c r="D106" s="6"/>
      <c r="E106" s="6"/>
      <c r="F106" s="6"/>
      <c r="G106" s="6"/>
      <c r="H106" s="6"/>
      <c r="I106" s="80" t="s">
        <v>703</v>
      </c>
      <c r="J106" s="80" t="s">
        <v>1013</v>
      </c>
      <c r="K106" s="6"/>
      <c r="L106" s="6"/>
    </row>
    <row r="107" spans="1:12" ht="15" customHeight="1" x14ac:dyDescent="0.25">
      <c r="A107" s="6"/>
      <c r="B107" s="6"/>
      <c r="C107" s="6"/>
      <c r="D107" s="6"/>
      <c r="E107" s="6"/>
      <c r="F107" s="6"/>
      <c r="G107" s="6"/>
      <c r="H107" s="6"/>
      <c r="I107" s="77" t="s">
        <v>778</v>
      </c>
      <c r="J107" s="77" t="s">
        <v>1013</v>
      </c>
      <c r="K107" s="6"/>
      <c r="L107" s="6"/>
    </row>
    <row r="108" spans="1:12" ht="15" customHeight="1" x14ac:dyDescent="0.25">
      <c r="A108" s="6"/>
      <c r="B108" s="6"/>
      <c r="C108" s="6"/>
      <c r="D108" s="6"/>
      <c r="E108" s="6"/>
      <c r="F108" s="6"/>
      <c r="G108" s="6"/>
      <c r="H108" s="6"/>
      <c r="I108" s="80" t="s">
        <v>417</v>
      </c>
      <c r="J108" s="80" t="s">
        <v>1013</v>
      </c>
      <c r="K108" s="6"/>
      <c r="L108" s="6"/>
    </row>
    <row r="109" spans="1:12" ht="15" customHeight="1" x14ac:dyDescent="0.25">
      <c r="A109" s="6"/>
      <c r="B109" s="6"/>
      <c r="C109" s="6"/>
      <c r="D109" s="6"/>
      <c r="E109" s="6"/>
      <c r="F109" s="6"/>
      <c r="G109" s="6"/>
      <c r="H109" s="6"/>
      <c r="I109" s="77" t="s">
        <v>640</v>
      </c>
      <c r="J109" s="77" t="s">
        <v>1013</v>
      </c>
      <c r="K109" s="6"/>
      <c r="L109" s="6"/>
    </row>
    <row r="110" spans="1:12" ht="15" customHeight="1" x14ac:dyDescent="0.25">
      <c r="A110" s="6"/>
      <c r="B110" s="6"/>
      <c r="C110" s="6"/>
      <c r="D110" s="6"/>
      <c r="E110" s="6"/>
      <c r="F110" s="6"/>
      <c r="G110" s="6"/>
      <c r="H110" s="6"/>
      <c r="I110" s="80" t="s">
        <v>741</v>
      </c>
      <c r="J110" s="80" t="s">
        <v>1013</v>
      </c>
      <c r="K110" s="6"/>
      <c r="L110" s="6"/>
    </row>
    <row r="111" spans="1:12" ht="15" customHeight="1" x14ac:dyDescent="0.25">
      <c r="A111" s="6"/>
      <c r="B111" s="6"/>
      <c r="C111" s="6"/>
      <c r="D111" s="6"/>
      <c r="E111" s="6"/>
      <c r="F111" s="6"/>
      <c r="G111" s="6"/>
      <c r="H111" s="6"/>
      <c r="I111" s="77" t="s">
        <v>336</v>
      </c>
      <c r="J111" s="77" t="s">
        <v>1013</v>
      </c>
      <c r="K111" s="6"/>
      <c r="L111" s="6"/>
    </row>
    <row r="112" spans="1:12" ht="15" customHeight="1" x14ac:dyDescent="0.25">
      <c r="A112" s="6"/>
      <c r="B112" s="6"/>
      <c r="C112" s="6"/>
      <c r="D112" s="6"/>
      <c r="E112" s="6"/>
      <c r="F112" s="6"/>
      <c r="G112" s="6"/>
      <c r="H112" s="6"/>
      <c r="I112" s="80" t="s">
        <v>293</v>
      </c>
      <c r="J112" s="80" t="s">
        <v>1013</v>
      </c>
      <c r="K112" s="6"/>
      <c r="L112" s="6"/>
    </row>
    <row r="113" spans="1:12" ht="15" customHeight="1" x14ac:dyDescent="0.25">
      <c r="A113" s="6"/>
      <c r="B113" s="6"/>
      <c r="C113" s="6"/>
      <c r="D113" s="6"/>
      <c r="E113" s="6"/>
      <c r="F113" s="6"/>
      <c r="G113" s="6"/>
      <c r="H113" s="6"/>
      <c r="I113" s="77" t="s">
        <v>837</v>
      </c>
      <c r="J113" s="77" t="s">
        <v>1013</v>
      </c>
      <c r="K113" s="6"/>
      <c r="L113" s="6"/>
    </row>
    <row r="114" spans="1:12" ht="15" customHeight="1" x14ac:dyDescent="0.25">
      <c r="A114" s="6"/>
      <c r="B114" s="6"/>
      <c r="C114" s="6"/>
      <c r="D114" s="6"/>
      <c r="E114" s="6"/>
      <c r="F114" s="6"/>
      <c r="G114" s="6"/>
      <c r="H114" s="6"/>
      <c r="I114" s="80" t="s">
        <v>700</v>
      </c>
      <c r="J114" s="80" t="s">
        <v>1013</v>
      </c>
      <c r="K114" s="6"/>
      <c r="L114" s="6"/>
    </row>
    <row r="115" spans="1:12" ht="15" customHeight="1" x14ac:dyDescent="0.25">
      <c r="A115" s="6"/>
      <c r="B115" s="6"/>
      <c r="C115" s="6"/>
      <c r="D115" s="6"/>
      <c r="E115" s="6"/>
      <c r="F115" s="6"/>
      <c r="G115" s="6"/>
      <c r="H115" s="6"/>
      <c r="I115" s="77" t="s">
        <v>854</v>
      </c>
      <c r="J115" s="77" t="s">
        <v>1013</v>
      </c>
      <c r="K115" s="6"/>
      <c r="L115" s="6"/>
    </row>
    <row r="116" spans="1:12" ht="15" customHeight="1" x14ac:dyDescent="0.25">
      <c r="A116" s="6"/>
      <c r="B116" s="6"/>
      <c r="C116" s="6"/>
      <c r="D116" s="6"/>
      <c r="E116" s="6"/>
      <c r="F116" s="6"/>
      <c r="G116" s="6"/>
      <c r="H116" s="6"/>
      <c r="I116" s="80" t="s">
        <v>380</v>
      </c>
      <c r="J116" s="80" t="s">
        <v>1013</v>
      </c>
      <c r="K116" s="6"/>
      <c r="L116" s="6"/>
    </row>
    <row r="117" spans="1:12" ht="15" customHeight="1" x14ac:dyDescent="0.25">
      <c r="A117" s="6"/>
      <c r="B117" s="6"/>
      <c r="C117" s="6"/>
      <c r="D117" s="6"/>
      <c r="E117" s="6"/>
      <c r="F117" s="6"/>
      <c r="G117" s="6"/>
      <c r="H117" s="6"/>
      <c r="I117" s="77" t="s">
        <v>962</v>
      </c>
      <c r="J117" s="77" t="s">
        <v>1013</v>
      </c>
      <c r="K117" s="6"/>
      <c r="L117" s="6"/>
    </row>
    <row r="118" spans="1:12" ht="15" customHeight="1" x14ac:dyDescent="0.25">
      <c r="A118" s="6"/>
      <c r="B118" s="6"/>
      <c r="C118" s="6"/>
      <c r="D118" s="6"/>
      <c r="E118" s="6"/>
      <c r="F118" s="6"/>
      <c r="G118" s="6"/>
      <c r="H118" s="6"/>
      <c r="I118" s="80" t="s">
        <v>355</v>
      </c>
      <c r="J118" s="80" t="s">
        <v>1013</v>
      </c>
      <c r="K118" s="6"/>
      <c r="L118" s="6"/>
    </row>
    <row r="119" spans="1:12" ht="15" customHeight="1" x14ac:dyDescent="0.25">
      <c r="A119" s="6"/>
      <c r="B119" s="6"/>
      <c r="C119" s="6"/>
      <c r="D119" s="6"/>
      <c r="E119" s="6"/>
      <c r="F119" s="6"/>
      <c r="G119" s="6"/>
      <c r="H119" s="6"/>
      <c r="I119" s="77" t="s">
        <v>188</v>
      </c>
      <c r="J119" s="77" t="s">
        <v>1013</v>
      </c>
      <c r="K119" s="6"/>
      <c r="L119" s="6"/>
    </row>
    <row r="120" spans="1:12" ht="15" customHeight="1" x14ac:dyDescent="0.25">
      <c r="A120" s="6"/>
      <c r="B120" s="6"/>
      <c r="C120" s="6"/>
      <c r="D120" s="6"/>
      <c r="E120" s="6"/>
      <c r="F120" s="6"/>
      <c r="G120" s="6"/>
      <c r="H120" s="6"/>
      <c r="I120" s="80" t="s">
        <v>747</v>
      </c>
      <c r="J120" s="80" t="s">
        <v>1013</v>
      </c>
      <c r="K120" s="6"/>
      <c r="L120" s="6"/>
    </row>
    <row r="121" spans="1:12" ht="15" customHeight="1" x14ac:dyDescent="0.25">
      <c r="A121" s="6"/>
      <c r="B121" s="6"/>
      <c r="C121" s="6"/>
      <c r="D121" s="6"/>
      <c r="E121" s="6"/>
      <c r="F121" s="6"/>
      <c r="G121" s="6"/>
      <c r="H121" s="6"/>
      <c r="I121" s="77" t="s">
        <v>69</v>
      </c>
      <c r="J121" s="77" t="s">
        <v>1013</v>
      </c>
      <c r="K121" s="6"/>
      <c r="L121" s="6"/>
    </row>
    <row r="122" spans="1:12" ht="15" customHeight="1" x14ac:dyDescent="0.25">
      <c r="A122" s="6"/>
      <c r="B122" s="6"/>
      <c r="C122" s="6"/>
      <c r="D122" s="6"/>
      <c r="E122" s="6"/>
      <c r="F122" s="6"/>
      <c r="G122" s="6"/>
      <c r="H122" s="6"/>
      <c r="I122" s="80" t="s">
        <v>806</v>
      </c>
      <c r="J122" s="80" t="s">
        <v>1013</v>
      </c>
      <c r="K122" s="6"/>
      <c r="L122" s="6"/>
    </row>
    <row r="123" spans="1:12" ht="15" customHeight="1" x14ac:dyDescent="0.25">
      <c r="A123" s="6"/>
      <c r="B123" s="6"/>
      <c r="C123" s="6"/>
      <c r="D123" s="6"/>
      <c r="E123" s="6"/>
      <c r="F123" s="6"/>
      <c r="G123" s="6"/>
      <c r="H123" s="6"/>
      <c r="I123" s="77" t="s">
        <v>181</v>
      </c>
      <c r="J123" s="77" t="s">
        <v>1013</v>
      </c>
      <c r="K123" s="6"/>
      <c r="L123" s="6"/>
    </row>
    <row r="124" spans="1:12" ht="15" customHeight="1" x14ac:dyDescent="0.25">
      <c r="A124" s="6"/>
      <c r="B124" s="6"/>
      <c r="C124" s="6"/>
      <c r="D124" s="6"/>
      <c r="E124" s="6"/>
      <c r="F124" s="6"/>
      <c r="G124" s="6"/>
      <c r="H124" s="6"/>
      <c r="I124" s="80" t="s">
        <v>1047</v>
      </c>
      <c r="J124" s="80" t="s">
        <v>1013</v>
      </c>
      <c r="K124" s="6"/>
      <c r="L124" s="6"/>
    </row>
    <row r="125" spans="1:12" ht="15" customHeight="1" x14ac:dyDescent="0.25">
      <c r="A125" s="6"/>
      <c r="B125" s="6"/>
      <c r="C125" s="6"/>
      <c r="D125" s="6"/>
      <c r="E125" s="6"/>
      <c r="F125" s="6"/>
      <c r="G125" s="6"/>
      <c r="H125" s="6"/>
      <c r="I125" s="77" t="s">
        <v>351</v>
      </c>
      <c r="J125" s="77" t="s">
        <v>1013</v>
      </c>
      <c r="K125" s="6"/>
      <c r="L125" s="6"/>
    </row>
    <row r="126" spans="1:12" ht="15" customHeight="1" x14ac:dyDescent="0.25">
      <c r="A126" s="6"/>
      <c r="B126" s="6"/>
      <c r="C126" s="6"/>
      <c r="D126" s="6"/>
      <c r="E126" s="6"/>
      <c r="F126" s="6"/>
      <c r="G126" s="6"/>
      <c r="H126" s="6"/>
      <c r="I126" s="80" t="s">
        <v>670</v>
      </c>
      <c r="J126" s="80" t="s">
        <v>1013</v>
      </c>
      <c r="K126" s="6"/>
      <c r="L126" s="6"/>
    </row>
    <row r="127" spans="1:12" ht="15" customHeight="1" x14ac:dyDescent="0.25">
      <c r="A127" s="6"/>
      <c r="B127" s="6"/>
      <c r="C127" s="6"/>
      <c r="D127" s="6"/>
      <c r="E127" s="6"/>
      <c r="F127" s="6"/>
      <c r="G127" s="6"/>
      <c r="H127" s="6"/>
      <c r="I127" s="77" t="s">
        <v>296</v>
      </c>
      <c r="J127" s="77" t="s">
        <v>1013</v>
      </c>
      <c r="K127" s="6"/>
      <c r="L127" s="6"/>
    </row>
    <row r="128" spans="1:12" ht="15" customHeight="1" x14ac:dyDescent="0.25">
      <c r="A128" s="6"/>
      <c r="B128" s="6"/>
      <c r="C128" s="6"/>
      <c r="D128" s="6"/>
      <c r="E128" s="6"/>
      <c r="F128" s="6"/>
      <c r="G128" s="6"/>
      <c r="H128" s="6"/>
      <c r="I128" s="80" t="s">
        <v>714</v>
      </c>
      <c r="J128" s="80" t="s">
        <v>1013</v>
      </c>
      <c r="K128" s="6"/>
      <c r="L128" s="6"/>
    </row>
    <row r="129" spans="1:12" ht="15" customHeight="1" x14ac:dyDescent="0.25">
      <c r="A129" s="6"/>
      <c r="B129" s="6"/>
      <c r="C129" s="6"/>
      <c r="D129" s="6"/>
      <c r="E129" s="6"/>
      <c r="F129" s="6"/>
      <c r="G129" s="6"/>
      <c r="H129" s="6"/>
      <c r="I129" s="77" t="s">
        <v>755</v>
      </c>
      <c r="J129" s="77" t="s">
        <v>1013</v>
      </c>
      <c r="K129" s="6"/>
      <c r="L129" s="6"/>
    </row>
    <row r="130" spans="1:12" ht="15" customHeight="1" x14ac:dyDescent="0.25">
      <c r="A130" s="6"/>
      <c r="B130" s="6"/>
      <c r="C130" s="6"/>
      <c r="D130" s="6"/>
      <c r="E130" s="6"/>
      <c r="F130" s="6"/>
      <c r="G130" s="6"/>
      <c r="H130" s="6"/>
      <c r="I130" s="80" t="s">
        <v>376</v>
      </c>
      <c r="J130" s="80" t="s">
        <v>1013</v>
      </c>
      <c r="K130" s="6"/>
      <c r="L130" s="6"/>
    </row>
    <row r="131" spans="1:12" ht="15" customHeight="1" x14ac:dyDescent="0.25">
      <c r="A131" s="6"/>
      <c r="B131" s="6"/>
      <c r="C131" s="6"/>
      <c r="D131" s="6"/>
      <c r="E131" s="6"/>
      <c r="F131" s="6"/>
      <c r="G131" s="6"/>
      <c r="H131" s="6"/>
      <c r="I131" s="77" t="s">
        <v>906</v>
      </c>
      <c r="J131" s="77" t="s">
        <v>1013</v>
      </c>
      <c r="K131" s="6"/>
      <c r="L131" s="6"/>
    </row>
    <row r="132" spans="1:12" ht="15" customHeight="1" x14ac:dyDescent="0.25">
      <c r="A132" s="6"/>
      <c r="B132" s="6"/>
      <c r="C132" s="6"/>
      <c r="D132" s="6"/>
      <c r="E132" s="6"/>
      <c r="F132" s="6"/>
      <c r="G132" s="6"/>
      <c r="H132" s="6"/>
      <c r="I132" s="80" t="s">
        <v>691</v>
      </c>
      <c r="J132" s="80" t="s">
        <v>1013</v>
      </c>
      <c r="K132" s="6"/>
      <c r="L132" s="6"/>
    </row>
    <row r="133" spans="1:12" ht="15" customHeight="1" x14ac:dyDescent="0.25">
      <c r="A133" s="6"/>
      <c r="B133" s="6"/>
      <c r="C133" s="6"/>
      <c r="D133" s="6"/>
      <c r="E133" s="6"/>
      <c r="F133" s="6"/>
      <c r="G133" s="6"/>
      <c r="H133" s="6"/>
      <c r="I133" s="77" t="s">
        <v>722</v>
      </c>
      <c r="J133" s="77" t="s">
        <v>1013</v>
      </c>
      <c r="K133" s="6"/>
      <c r="L133" s="6"/>
    </row>
    <row r="134" spans="1:12" ht="15" customHeight="1" x14ac:dyDescent="0.25">
      <c r="A134" s="6"/>
      <c r="B134" s="6"/>
      <c r="C134" s="6"/>
      <c r="D134" s="6"/>
      <c r="E134" s="6"/>
      <c r="F134" s="6"/>
      <c r="G134" s="6"/>
      <c r="H134" s="6"/>
      <c r="I134" s="80" t="s">
        <v>535</v>
      </c>
      <c r="J134" s="80" t="s">
        <v>1013</v>
      </c>
      <c r="K134" s="6"/>
      <c r="L134" s="6"/>
    </row>
    <row r="135" spans="1:12" ht="15" customHeight="1" x14ac:dyDescent="0.25">
      <c r="A135" s="6"/>
      <c r="B135" s="6"/>
      <c r="C135" s="6"/>
      <c r="D135" s="6"/>
      <c r="E135" s="6"/>
      <c r="F135" s="6"/>
      <c r="G135" s="6"/>
      <c r="H135" s="6"/>
      <c r="I135" s="77" t="s">
        <v>693</v>
      </c>
      <c r="J135" s="77" t="s">
        <v>1013</v>
      </c>
      <c r="K135" s="6"/>
      <c r="L135" s="6"/>
    </row>
    <row r="136" spans="1:12" ht="15" customHeight="1" x14ac:dyDescent="0.25">
      <c r="A136" s="6"/>
      <c r="B136" s="6"/>
      <c r="C136" s="6"/>
      <c r="D136" s="6"/>
      <c r="E136" s="6"/>
      <c r="F136" s="6"/>
      <c r="G136" s="6"/>
      <c r="H136" s="6"/>
      <c r="I136" s="80" t="s">
        <v>1048</v>
      </c>
      <c r="J136" s="80" t="s">
        <v>1013</v>
      </c>
      <c r="K136" s="6"/>
      <c r="L136" s="6"/>
    </row>
    <row r="137" spans="1:12" ht="15" customHeight="1" x14ac:dyDescent="0.25">
      <c r="A137" s="6"/>
      <c r="B137" s="6"/>
      <c r="C137" s="6"/>
      <c r="D137" s="6"/>
      <c r="E137" s="6"/>
      <c r="F137" s="6"/>
      <c r="G137" s="6"/>
      <c r="H137" s="6"/>
      <c r="I137" s="77" t="s">
        <v>70</v>
      </c>
      <c r="J137" s="77" t="s">
        <v>1013</v>
      </c>
      <c r="K137" s="6"/>
      <c r="L137" s="6"/>
    </row>
    <row r="138" spans="1:12" ht="15" customHeight="1" x14ac:dyDescent="0.25">
      <c r="A138" s="6"/>
      <c r="B138" s="6"/>
      <c r="C138" s="6"/>
      <c r="D138" s="6"/>
      <c r="E138" s="6"/>
      <c r="F138" s="6"/>
      <c r="G138" s="6"/>
      <c r="H138" s="6"/>
      <c r="I138" s="80" t="s">
        <v>909</v>
      </c>
      <c r="J138" s="80" t="s">
        <v>1013</v>
      </c>
      <c r="K138" s="6"/>
      <c r="L138" s="6"/>
    </row>
    <row r="139" spans="1:12" ht="15" customHeight="1" x14ac:dyDescent="0.25">
      <c r="A139" s="6"/>
      <c r="B139" s="6"/>
      <c r="C139" s="6"/>
      <c r="D139" s="6"/>
      <c r="E139" s="6"/>
      <c r="F139" s="6"/>
      <c r="G139" s="6"/>
      <c r="H139" s="6"/>
      <c r="I139" s="77" t="s">
        <v>339</v>
      </c>
      <c r="J139" s="77" t="s">
        <v>1013</v>
      </c>
      <c r="K139" s="6"/>
      <c r="L139" s="6"/>
    </row>
    <row r="140" spans="1:12" ht="15" customHeight="1" x14ac:dyDescent="0.25">
      <c r="A140" s="6"/>
      <c r="B140" s="6"/>
      <c r="C140" s="6"/>
      <c r="D140" s="6"/>
      <c r="E140" s="6"/>
      <c r="F140" s="6"/>
      <c r="G140" s="6"/>
      <c r="H140" s="6"/>
      <c r="I140" s="80" t="s">
        <v>426</v>
      </c>
      <c r="J140" s="80" t="s">
        <v>1013</v>
      </c>
      <c r="K140" s="6"/>
      <c r="L140" s="6"/>
    </row>
    <row r="141" spans="1:12" ht="15" customHeight="1" x14ac:dyDescent="0.25">
      <c r="A141" s="6"/>
      <c r="B141" s="6"/>
      <c r="C141" s="6"/>
      <c r="D141" s="6"/>
      <c r="E141" s="6"/>
      <c r="F141" s="6"/>
      <c r="G141" s="6"/>
      <c r="H141" s="6"/>
      <c r="I141" s="77" t="s">
        <v>204</v>
      </c>
      <c r="J141" s="77" t="s">
        <v>1013</v>
      </c>
      <c r="K141" s="6"/>
      <c r="L141" s="6"/>
    </row>
    <row r="142" spans="1:12" ht="15" customHeight="1" x14ac:dyDescent="0.25">
      <c r="A142" s="6"/>
      <c r="B142" s="6"/>
      <c r="C142" s="6"/>
      <c r="D142" s="6"/>
      <c r="E142" s="6"/>
      <c r="F142" s="6"/>
      <c r="G142" s="6"/>
      <c r="H142" s="6"/>
      <c r="I142" s="80" t="s">
        <v>1049</v>
      </c>
      <c r="J142" s="80" t="s">
        <v>1013</v>
      </c>
      <c r="K142" s="6"/>
      <c r="L142" s="6"/>
    </row>
    <row r="143" spans="1:12" ht="15" customHeight="1" x14ac:dyDescent="0.25">
      <c r="A143" s="6"/>
      <c r="B143" s="6"/>
      <c r="C143" s="6"/>
      <c r="D143" s="6"/>
      <c r="E143" s="6"/>
      <c r="F143" s="6"/>
      <c r="G143" s="6"/>
      <c r="H143" s="6"/>
      <c r="I143" s="77" t="s">
        <v>1050</v>
      </c>
      <c r="J143" s="77" t="s">
        <v>1013</v>
      </c>
      <c r="K143" s="6"/>
      <c r="L143" s="6"/>
    </row>
    <row r="144" spans="1:12" ht="15" customHeight="1" x14ac:dyDescent="0.25">
      <c r="A144" s="6"/>
      <c r="B144" s="6"/>
      <c r="C144" s="6"/>
      <c r="D144" s="6"/>
      <c r="E144" s="6"/>
      <c r="F144" s="6"/>
      <c r="G144" s="6"/>
      <c r="H144" s="6"/>
      <c r="I144" s="80" t="s">
        <v>319</v>
      </c>
      <c r="J144" s="80" t="s">
        <v>1013</v>
      </c>
      <c r="K144" s="6"/>
      <c r="L144" s="6"/>
    </row>
    <row r="145" spans="1:12" ht="15" customHeight="1" x14ac:dyDescent="0.25">
      <c r="A145" s="6"/>
      <c r="B145" s="6"/>
      <c r="C145" s="6"/>
      <c r="D145" s="6"/>
      <c r="E145" s="6"/>
      <c r="F145" s="6"/>
      <c r="G145" s="6"/>
      <c r="H145" s="6"/>
      <c r="I145" s="77" t="s">
        <v>253</v>
      </c>
      <c r="J145" s="77" t="s">
        <v>1013</v>
      </c>
      <c r="K145" s="6"/>
      <c r="L145" s="6"/>
    </row>
    <row r="146" spans="1:12" ht="15" customHeight="1" x14ac:dyDescent="0.25">
      <c r="A146" s="6"/>
      <c r="B146" s="6"/>
      <c r="C146" s="6"/>
      <c r="D146" s="6"/>
      <c r="E146" s="6"/>
      <c r="F146" s="6"/>
      <c r="G146" s="6"/>
      <c r="H146" s="6"/>
      <c r="I146" s="80" t="s">
        <v>567</v>
      </c>
      <c r="J146" s="80" t="s">
        <v>1013</v>
      </c>
      <c r="K146" s="6"/>
      <c r="L146" s="6"/>
    </row>
    <row r="147" spans="1:12" ht="15" customHeight="1" x14ac:dyDescent="0.25">
      <c r="A147" s="6"/>
      <c r="B147" s="6"/>
      <c r="C147" s="6"/>
      <c r="D147" s="6"/>
      <c r="E147" s="6"/>
      <c r="F147" s="6"/>
      <c r="G147" s="6"/>
      <c r="H147" s="6"/>
      <c r="I147" s="77" t="s">
        <v>911</v>
      </c>
      <c r="J147" s="77" t="s">
        <v>1013</v>
      </c>
      <c r="K147" s="6"/>
      <c r="L147" s="6"/>
    </row>
    <row r="148" spans="1:12" ht="15" customHeight="1" x14ac:dyDescent="0.25">
      <c r="A148" s="6"/>
      <c r="B148" s="6"/>
      <c r="C148" s="6"/>
      <c r="D148" s="6"/>
      <c r="E148" s="6"/>
      <c r="F148" s="6"/>
      <c r="G148" s="6"/>
      <c r="H148" s="6"/>
      <c r="I148" s="80" t="s">
        <v>479</v>
      </c>
      <c r="J148" s="80" t="s">
        <v>1013</v>
      </c>
      <c r="K148" s="6"/>
      <c r="L148" s="6"/>
    </row>
    <row r="149" spans="1:12" ht="15" customHeight="1" x14ac:dyDescent="0.25">
      <c r="A149" s="6"/>
      <c r="B149" s="6"/>
      <c r="C149" s="6"/>
      <c r="D149" s="6"/>
      <c r="E149" s="6"/>
      <c r="F149" s="6"/>
      <c r="G149" s="6"/>
      <c r="H149" s="6"/>
      <c r="I149" s="77" t="s">
        <v>645</v>
      </c>
      <c r="J149" s="77" t="s">
        <v>1013</v>
      </c>
      <c r="K149" s="6"/>
      <c r="L149" s="6"/>
    </row>
    <row r="150" spans="1:12" ht="15" customHeight="1" x14ac:dyDescent="0.25">
      <c r="A150" s="6"/>
      <c r="B150" s="6"/>
      <c r="C150" s="6"/>
      <c r="D150" s="6"/>
      <c r="E150" s="6"/>
      <c r="F150" s="6"/>
      <c r="G150" s="6"/>
      <c r="H150" s="6"/>
      <c r="I150" s="80" t="s">
        <v>310</v>
      </c>
      <c r="J150" s="80" t="s">
        <v>1013</v>
      </c>
      <c r="K150" s="6"/>
      <c r="L150" s="6"/>
    </row>
    <row r="151" spans="1:12" ht="15" customHeight="1" x14ac:dyDescent="0.25">
      <c r="A151" s="6"/>
      <c r="B151" s="6"/>
      <c r="C151" s="6"/>
      <c r="D151" s="6"/>
      <c r="E151" s="6"/>
      <c r="F151" s="6"/>
      <c r="G151" s="6"/>
      <c r="H151" s="6"/>
      <c r="I151" s="77" t="s">
        <v>590</v>
      </c>
      <c r="J151" s="77" t="s">
        <v>1013</v>
      </c>
      <c r="K151" s="6"/>
      <c r="L151" s="6"/>
    </row>
    <row r="152" spans="1:12" ht="15" customHeight="1" x14ac:dyDescent="0.25">
      <c r="A152" s="6"/>
      <c r="B152" s="6"/>
      <c r="C152" s="6"/>
      <c r="D152" s="6"/>
      <c r="E152" s="6"/>
      <c r="F152" s="6"/>
      <c r="G152" s="6"/>
      <c r="H152" s="6"/>
      <c r="I152" s="80" t="s">
        <v>887</v>
      </c>
      <c r="J152" s="80" t="s">
        <v>1013</v>
      </c>
      <c r="K152" s="6"/>
      <c r="L152" s="6"/>
    </row>
    <row r="153" spans="1:12" ht="15" customHeight="1" x14ac:dyDescent="0.25">
      <c r="A153" s="6"/>
      <c r="B153" s="6"/>
      <c r="C153" s="6"/>
      <c r="D153" s="6"/>
      <c r="E153" s="6"/>
      <c r="F153" s="6"/>
      <c r="G153" s="6"/>
      <c r="H153" s="6"/>
      <c r="I153" s="77" t="s">
        <v>1043</v>
      </c>
      <c r="J153" s="77" t="s">
        <v>1013</v>
      </c>
      <c r="K153" s="6"/>
      <c r="L153" s="6"/>
    </row>
    <row r="154" spans="1:12" ht="15" customHeight="1" x14ac:dyDescent="0.25">
      <c r="A154" s="6"/>
      <c r="B154" s="6"/>
      <c r="C154" s="6"/>
      <c r="D154" s="6"/>
      <c r="E154" s="6"/>
      <c r="F154" s="6"/>
      <c r="G154" s="6"/>
      <c r="H154" s="6"/>
      <c r="I154" s="80" t="s">
        <v>684</v>
      </c>
      <c r="J154" s="80" t="s">
        <v>1013</v>
      </c>
      <c r="K154" s="6"/>
      <c r="L154" s="6"/>
    </row>
    <row r="155" spans="1:12" ht="15" customHeight="1" x14ac:dyDescent="0.25">
      <c r="A155" s="6"/>
      <c r="B155" s="6"/>
      <c r="C155" s="6"/>
      <c r="D155" s="6"/>
      <c r="E155" s="6"/>
      <c r="F155" s="6"/>
      <c r="G155" s="6"/>
      <c r="H155" s="6"/>
      <c r="I155" s="77" t="s">
        <v>696</v>
      </c>
      <c r="J155" s="77" t="s">
        <v>1013</v>
      </c>
      <c r="K155" s="6"/>
      <c r="L155" s="6"/>
    </row>
    <row r="156" spans="1:12" ht="15" customHeight="1" x14ac:dyDescent="0.25">
      <c r="A156" s="6"/>
      <c r="B156" s="6"/>
      <c r="C156" s="6"/>
      <c r="D156" s="6"/>
      <c r="E156" s="6"/>
      <c r="F156" s="6"/>
      <c r="G156" s="6"/>
      <c r="H156" s="6"/>
      <c r="I156" s="80" t="s">
        <v>775</v>
      </c>
      <c r="J156" s="80" t="s">
        <v>1013</v>
      </c>
      <c r="K156" s="6"/>
      <c r="L156" s="6"/>
    </row>
    <row r="157" spans="1:12" ht="15" customHeight="1" x14ac:dyDescent="0.25">
      <c r="A157" s="6"/>
      <c r="B157" s="6"/>
      <c r="C157" s="6"/>
      <c r="D157" s="6"/>
      <c r="E157" s="6"/>
      <c r="F157" s="6"/>
      <c r="G157" s="6"/>
      <c r="H157" s="6"/>
      <c r="I157" s="77" t="s">
        <v>686</v>
      </c>
      <c r="J157" s="77" t="s">
        <v>1013</v>
      </c>
      <c r="K157" s="6"/>
      <c r="L157" s="6"/>
    </row>
    <row r="158" spans="1:12" ht="15" customHeight="1" x14ac:dyDescent="0.25">
      <c r="A158" s="6"/>
      <c r="B158" s="6"/>
      <c r="C158" s="6"/>
      <c r="D158" s="6"/>
      <c r="E158" s="6"/>
      <c r="F158" s="6"/>
      <c r="G158" s="6"/>
      <c r="H158" s="6"/>
      <c r="I158" s="80" t="s">
        <v>1051</v>
      </c>
      <c r="J158" s="80" t="s">
        <v>1013</v>
      </c>
      <c r="K158" s="6"/>
      <c r="L158" s="6"/>
    </row>
    <row r="159" spans="1:12" ht="15" customHeight="1" x14ac:dyDescent="0.25">
      <c r="A159" s="6"/>
      <c r="B159" s="6"/>
      <c r="C159" s="6"/>
      <c r="D159" s="6"/>
      <c r="E159" s="6"/>
      <c r="F159" s="6"/>
      <c r="G159" s="6"/>
      <c r="H159" s="6"/>
      <c r="I159" s="77" t="s">
        <v>299</v>
      </c>
      <c r="J159" s="77" t="s">
        <v>1013</v>
      </c>
      <c r="K159" s="6"/>
      <c r="L159" s="6"/>
    </row>
    <row r="160" spans="1:12" ht="15" customHeight="1" x14ac:dyDescent="0.25">
      <c r="A160" s="6"/>
      <c r="B160" s="6"/>
      <c r="C160" s="6"/>
      <c r="D160" s="6"/>
      <c r="E160" s="6"/>
      <c r="F160" s="6"/>
      <c r="G160" s="6"/>
      <c r="H160" s="6"/>
      <c r="I160" s="80" t="s">
        <v>246</v>
      </c>
      <c r="J160" s="80" t="s">
        <v>1013</v>
      </c>
      <c r="K160" s="6"/>
      <c r="L160" s="6"/>
    </row>
    <row r="161" spans="1:12" ht="15" customHeight="1" x14ac:dyDescent="0.25">
      <c r="A161" s="6"/>
      <c r="B161" s="6"/>
      <c r="C161" s="6"/>
      <c r="D161" s="6"/>
      <c r="E161" s="6"/>
      <c r="F161" s="6"/>
      <c r="G161" s="6"/>
      <c r="H161" s="6"/>
      <c r="I161" s="77" t="s">
        <v>725</v>
      </c>
      <c r="J161" s="77" t="s">
        <v>1013</v>
      </c>
      <c r="K161" s="6"/>
      <c r="L161" s="6"/>
    </row>
    <row r="162" spans="1:12" ht="15" customHeight="1" x14ac:dyDescent="0.25">
      <c r="A162" s="6"/>
      <c r="B162" s="6"/>
      <c r="C162" s="6"/>
      <c r="D162" s="6"/>
      <c r="E162" s="6"/>
      <c r="F162" s="6"/>
      <c r="G162" s="6"/>
      <c r="H162" s="6"/>
      <c r="I162" s="80" t="s">
        <v>647</v>
      </c>
      <c r="J162" s="80" t="s">
        <v>1013</v>
      </c>
      <c r="K162" s="6"/>
      <c r="L162" s="6"/>
    </row>
    <row r="163" spans="1:12" ht="15" customHeight="1" x14ac:dyDescent="0.25">
      <c r="A163" s="6"/>
      <c r="B163" s="6"/>
      <c r="C163" s="6"/>
      <c r="D163" s="6"/>
      <c r="E163" s="6"/>
      <c r="F163" s="6"/>
      <c r="G163" s="6"/>
      <c r="H163" s="6"/>
      <c r="I163" s="77" t="s">
        <v>1052</v>
      </c>
      <c r="J163" s="77" t="s">
        <v>1013</v>
      </c>
      <c r="K163" s="6"/>
      <c r="L163" s="6"/>
    </row>
    <row r="164" spans="1:12" ht="15" customHeight="1" x14ac:dyDescent="0.25">
      <c r="A164" s="6"/>
      <c r="B164" s="6"/>
      <c r="C164" s="6"/>
      <c r="D164" s="6"/>
      <c r="E164" s="6"/>
      <c r="F164" s="6"/>
      <c r="G164" s="6"/>
      <c r="H164" s="6"/>
      <c r="I164" s="80" t="s">
        <v>631</v>
      </c>
      <c r="J164" s="80" t="s">
        <v>1013</v>
      </c>
      <c r="K164" s="6"/>
      <c r="L164" s="6"/>
    </row>
    <row r="165" spans="1:12" ht="15" customHeight="1" x14ac:dyDescent="0.25">
      <c r="A165" s="6"/>
      <c r="B165" s="6"/>
      <c r="C165" s="6"/>
      <c r="D165" s="6"/>
      <c r="E165" s="6"/>
      <c r="F165" s="6"/>
      <c r="G165" s="6"/>
      <c r="H165" s="6"/>
      <c r="I165" s="77" t="s">
        <v>616</v>
      </c>
      <c r="J165" s="77" t="s">
        <v>1013</v>
      </c>
      <c r="K165" s="6"/>
      <c r="L165" s="6"/>
    </row>
    <row r="166" spans="1:12" ht="15" customHeight="1" x14ac:dyDescent="0.25">
      <c r="A166" s="6"/>
      <c r="B166" s="6"/>
      <c r="C166" s="6"/>
      <c r="D166" s="6"/>
      <c r="E166" s="6"/>
      <c r="F166" s="6"/>
      <c r="G166" s="6"/>
      <c r="H166" s="6"/>
      <c r="I166" s="80" t="s">
        <v>843</v>
      </c>
      <c r="J166" s="80" t="s">
        <v>1013</v>
      </c>
      <c r="K166" s="6"/>
      <c r="L166" s="6"/>
    </row>
    <row r="167" spans="1:12" ht="15" customHeight="1" x14ac:dyDescent="0.25">
      <c r="A167" s="6"/>
      <c r="B167" s="6"/>
      <c r="C167" s="6"/>
      <c r="D167" s="6"/>
      <c r="E167" s="6"/>
      <c r="F167" s="6"/>
      <c r="G167" s="6"/>
      <c r="H167" s="6"/>
      <c r="I167" s="77" t="s">
        <v>688</v>
      </c>
      <c r="J167" s="77" t="s">
        <v>1013</v>
      </c>
      <c r="K167" s="6"/>
      <c r="L167" s="6"/>
    </row>
    <row r="168" spans="1:12" ht="15" customHeight="1" x14ac:dyDescent="0.25">
      <c r="A168" s="6"/>
      <c r="B168" s="6"/>
      <c r="C168" s="6"/>
      <c r="D168" s="6"/>
      <c r="E168" s="6"/>
      <c r="F168" s="6"/>
      <c r="G168" s="6"/>
      <c r="H168" s="6"/>
      <c r="I168" s="80" t="s">
        <v>289</v>
      </c>
      <c r="J168" s="80" t="s">
        <v>1013</v>
      </c>
      <c r="K168" s="6"/>
      <c r="L168" s="6"/>
    </row>
    <row r="169" spans="1:12" ht="15" customHeight="1" x14ac:dyDescent="0.25">
      <c r="A169" s="6"/>
      <c r="B169" s="6"/>
      <c r="C169" s="6"/>
      <c r="D169" s="6"/>
      <c r="E169" s="6"/>
      <c r="F169" s="6"/>
      <c r="G169" s="6"/>
      <c r="H169" s="6"/>
      <c r="I169" s="77" t="s">
        <v>728</v>
      </c>
      <c r="J169" s="77" t="s">
        <v>1013</v>
      </c>
      <c r="K169" s="6"/>
      <c r="L169" s="6"/>
    </row>
    <row r="170" spans="1:12" ht="15" customHeight="1" x14ac:dyDescent="0.25">
      <c r="A170" s="6"/>
      <c r="B170" s="6"/>
      <c r="C170" s="6"/>
      <c r="D170" s="6"/>
      <c r="E170" s="6"/>
      <c r="F170" s="6"/>
      <c r="G170" s="6"/>
      <c r="H170" s="6"/>
      <c r="I170" s="80" t="s">
        <v>607</v>
      </c>
      <c r="J170" s="80" t="s">
        <v>1013</v>
      </c>
      <c r="K170" s="6"/>
      <c r="L170" s="6"/>
    </row>
    <row r="171" spans="1:12" ht="15" customHeight="1" x14ac:dyDescent="0.25">
      <c r="A171" s="6"/>
      <c r="B171" s="6"/>
      <c r="C171" s="6"/>
      <c r="D171" s="6"/>
      <c r="E171" s="6"/>
      <c r="F171" s="6"/>
      <c r="G171" s="6"/>
      <c r="H171" s="6"/>
      <c r="I171" s="77" t="s">
        <v>192</v>
      </c>
      <c r="J171" s="77" t="s">
        <v>481</v>
      </c>
      <c r="K171" s="6"/>
      <c r="L171" s="6"/>
    </row>
    <row r="172" spans="1:12" ht="15" customHeight="1" x14ac:dyDescent="0.25">
      <c r="A172" s="6"/>
      <c r="B172" s="6"/>
      <c r="C172" s="6"/>
      <c r="D172" s="6"/>
      <c r="E172" s="6"/>
      <c r="F172" s="6"/>
      <c r="G172" s="6"/>
      <c r="H172" s="6"/>
      <c r="I172" s="80" t="s">
        <v>1045</v>
      </c>
      <c r="J172" s="80" t="s">
        <v>481</v>
      </c>
      <c r="K172" s="6"/>
      <c r="L172" s="6"/>
    </row>
    <row r="173" spans="1:12" ht="15" customHeight="1" x14ac:dyDescent="0.25">
      <c r="A173" s="6"/>
      <c r="B173" s="6"/>
      <c r="C173" s="6"/>
      <c r="D173" s="6"/>
      <c r="E173" s="6"/>
      <c r="F173" s="6"/>
      <c r="G173" s="6"/>
      <c r="H173" s="6"/>
      <c r="I173" s="77" t="s">
        <v>481</v>
      </c>
      <c r="J173" s="77" t="s">
        <v>481</v>
      </c>
      <c r="K173" s="6"/>
      <c r="L173" s="6"/>
    </row>
    <row r="174" spans="1:12" ht="15" customHeight="1" x14ac:dyDescent="0.25">
      <c r="A174" s="6"/>
      <c r="B174" s="6"/>
      <c r="C174" s="6"/>
      <c r="D174" s="6"/>
      <c r="E174" s="6"/>
      <c r="F174" s="6"/>
      <c r="G174" s="6"/>
      <c r="H174" s="6"/>
      <c r="I174" s="80" t="s">
        <v>91</v>
      </c>
      <c r="J174" s="80" t="s">
        <v>91</v>
      </c>
      <c r="K174" s="6"/>
      <c r="L174" s="6"/>
    </row>
    <row r="175" spans="1:12" ht="15" customHeight="1" x14ac:dyDescent="0.25">
      <c r="A175" s="6"/>
      <c r="B175" s="6"/>
      <c r="C175" s="6"/>
      <c r="D175" s="6"/>
      <c r="E175" s="6"/>
      <c r="F175" s="6"/>
      <c r="G175" s="6"/>
      <c r="H175" s="6"/>
      <c r="I175" s="77" t="s">
        <v>185</v>
      </c>
      <c r="J175" s="77" t="s">
        <v>91</v>
      </c>
      <c r="K175" s="6"/>
      <c r="L175" s="6"/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E479EDDFE58E42A20C8E4AE72ECE7B" ma:contentTypeVersion="10" ma:contentTypeDescription="Create a new document." ma:contentTypeScope="" ma:versionID="6006947c9f193339b2ca069fc4635da2">
  <xsd:schema xmlns:xsd="http://www.w3.org/2001/XMLSchema" xmlns:xs="http://www.w3.org/2001/XMLSchema" xmlns:p="http://schemas.microsoft.com/office/2006/metadata/properties" xmlns:ns2="d1ae7eb8-7d3b-41d5-9a4a-f85879a1fc85" xmlns:ns3="2faa8da6-ae23-4326-9b2d-b2eba265c26e" targetNamespace="http://schemas.microsoft.com/office/2006/metadata/properties" ma:root="true" ma:fieldsID="51e3f8ff7aa1e456fabeed5f1508a6c5" ns2:_="" ns3:_="">
    <xsd:import namespace="d1ae7eb8-7d3b-41d5-9a4a-f85879a1fc85"/>
    <xsd:import namespace="2faa8da6-ae23-4326-9b2d-b2eba265c2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ae7eb8-7d3b-41d5-9a4a-f85879a1fc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a8da6-ae23-4326-9b2d-b2eba265c26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2E8B79-D643-4DEE-AE74-EA25936053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ae7eb8-7d3b-41d5-9a4a-f85879a1fc85"/>
    <ds:schemaRef ds:uri="2faa8da6-ae23-4326-9b2d-b2eba265c2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BFF7BC-9E44-4966-8A11-A36C65A2E7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AE5435-E9F9-4ED6-BBB5-F5C29D28411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Dashboard</vt:lpstr>
      <vt:lpstr>Multi-Year Analytics</vt:lpstr>
      <vt:lpstr>FY 2027 (Jan27-Dec27)</vt:lpstr>
      <vt:lpstr>FY 2026 (Jan26-Dec26)</vt:lpstr>
      <vt:lpstr>FY 2025 (Jan25-Dec25)</vt:lpstr>
      <vt:lpstr>FY 2024 (Jan24-Dec24)</vt:lpstr>
      <vt:lpstr>FY 2023 (Jan23-Dec23)</vt:lpstr>
      <vt:lpstr>Data</vt:lpstr>
      <vt:lpstr>Reference</vt:lpstr>
      <vt:lpstr>Dashboard!Print_Area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Kyle Mahoney</cp:lastModifiedBy>
  <cp:revision>0</cp:revision>
  <dcterms:created xsi:type="dcterms:W3CDTF">2026-03-19T18:31:16Z</dcterms:created>
  <dcterms:modified xsi:type="dcterms:W3CDTF">2026-04-13T19:27:24Z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0x01010029E479EDDFE58E42A20C8E4AE72ECE7B</vt:lpwstr>
  </property>
</Properties>
</file>