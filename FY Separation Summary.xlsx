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moryvalleycenter0.sharepoint.com/sites/HiringCommittee/Shared Documents/General/Separation Summary/"/>
    </mc:Choice>
  </mc:AlternateContent>
  <xr:revisionPtr revIDLastSave="32" documentId="11_2B73FAEA110ACFDE855EE05211B1B63BFD55399B" xr6:coauthVersionLast="47" xr6:coauthVersionMax="47" xr10:uidLastSave="{AB670ADE-7B0F-403E-BF4B-7AC37F6B7B36}"/>
  <bookViews>
    <workbookView xWindow="28680" yWindow="-945" windowWidth="29040" windowHeight="15720" tabRatio="500" xr2:uid="{00000000-000D-0000-FFFF-FFFF00000000}"/>
  </bookViews>
  <sheets>
    <sheet name="Dashboard" sheetId="1" r:id="rId1"/>
    <sheet name="Multi-Year Analytics" sheetId="2" r:id="rId2"/>
    <sheet name="FY 2027 (Jan27-Dec27)" sheetId="3" r:id="rId3"/>
    <sheet name="FY 2026 (Jan26-Dec26)" sheetId="4" r:id="rId4"/>
    <sheet name="FY 2025 (Jan25-Dec25)" sheetId="5" r:id="rId5"/>
    <sheet name="FY 2024 (Jan24-Dec24)" sheetId="6" r:id="rId6"/>
    <sheet name="FY 2023 (Jan23-Dec23)" sheetId="7" r:id="rId7"/>
    <sheet name="Data" sheetId="8" state="hidden" r:id="rId8"/>
    <sheet name="Reference" sheetId="9" state="hidden" r:id="rId9"/>
  </sheets>
  <definedNames>
    <definedName name="_xlnm.Print_Area" localSheetId="0">Dashboard!$A$1:$J$85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1" i="4" l="1"/>
  <c r="M92" i="8"/>
  <c r="L92" i="8"/>
  <c r="K92" i="8"/>
  <c r="J92" i="8"/>
  <c r="I92" i="8"/>
  <c r="H92" i="8"/>
  <c r="G92" i="8"/>
  <c r="F92" i="8"/>
  <c r="E92" i="8"/>
  <c r="D92" i="8"/>
  <c r="C92" i="8"/>
  <c r="B92" i="8"/>
  <c r="N91" i="8"/>
  <c r="N90" i="8"/>
  <c r="N89" i="8"/>
  <c r="N88" i="8"/>
  <c r="N92" i="8" s="1"/>
  <c r="G67" i="8"/>
  <c r="F67" i="8"/>
  <c r="E67" i="8"/>
  <c r="D67" i="8"/>
  <c r="C67" i="8"/>
  <c r="G66" i="8"/>
  <c r="F66" i="8"/>
  <c r="B38" i="1" s="1"/>
  <c r="E66" i="8"/>
  <c r="D66" i="8"/>
  <c r="C66" i="8"/>
  <c r="G65" i="8"/>
  <c r="F65" i="8"/>
  <c r="B37" i="1" s="1"/>
  <c r="E65" i="8"/>
  <c r="D65" i="8"/>
  <c r="C65" i="8"/>
  <c r="G64" i="8"/>
  <c r="F64" i="8"/>
  <c r="B36" i="1" s="1"/>
  <c r="E64" i="8"/>
  <c r="D64" i="8"/>
  <c r="C64" i="8"/>
  <c r="G63" i="8"/>
  <c r="F63" i="8"/>
  <c r="B35" i="1" s="1"/>
  <c r="E63" i="8"/>
  <c r="D63" i="8"/>
  <c r="C63" i="8"/>
  <c r="G62" i="8"/>
  <c r="F62" i="8"/>
  <c r="B34" i="1" s="1"/>
  <c r="E62" i="8"/>
  <c r="D62" i="8"/>
  <c r="C62" i="8"/>
  <c r="G61" i="8"/>
  <c r="F61" i="8"/>
  <c r="B33" i="1" s="1"/>
  <c r="E61" i="8"/>
  <c r="D61" i="8"/>
  <c r="C61" i="8"/>
  <c r="G60" i="8"/>
  <c r="F60" i="8"/>
  <c r="B32" i="1" s="1"/>
  <c r="E60" i="8"/>
  <c r="D60" i="8"/>
  <c r="C60" i="8"/>
  <c r="G59" i="8"/>
  <c r="F59" i="8"/>
  <c r="B31" i="1" s="1"/>
  <c r="E59" i="8"/>
  <c r="D59" i="8"/>
  <c r="C59" i="8"/>
  <c r="G58" i="8"/>
  <c r="F58" i="8"/>
  <c r="B30" i="1" s="1"/>
  <c r="E58" i="8"/>
  <c r="D58" i="8"/>
  <c r="C58" i="8"/>
  <c r="G57" i="8"/>
  <c r="F57" i="8"/>
  <c r="B29" i="1" s="1"/>
  <c r="E57" i="8"/>
  <c r="D57" i="8"/>
  <c r="C57" i="8"/>
  <c r="G56" i="8"/>
  <c r="F56" i="8"/>
  <c r="B28" i="1" s="1"/>
  <c r="E56" i="8"/>
  <c r="D56" i="8"/>
  <c r="C56" i="8"/>
  <c r="F52" i="8"/>
  <c r="E52" i="8"/>
  <c r="D52" i="8"/>
  <c r="C52" i="8"/>
  <c r="B52" i="8"/>
  <c r="F51" i="8"/>
  <c r="E51" i="8"/>
  <c r="D51" i="8"/>
  <c r="C51" i="8"/>
  <c r="B51" i="8"/>
  <c r="F50" i="8"/>
  <c r="E50" i="8"/>
  <c r="D50" i="8"/>
  <c r="C50" i="8"/>
  <c r="B50" i="8"/>
  <c r="F49" i="8"/>
  <c r="E49" i="8"/>
  <c r="D49" i="8"/>
  <c r="C49" i="8"/>
  <c r="B49" i="8"/>
  <c r="F48" i="8"/>
  <c r="E48" i="8"/>
  <c r="D48" i="8"/>
  <c r="C48" i="8"/>
  <c r="B48" i="8"/>
  <c r="F47" i="8"/>
  <c r="E47" i="8"/>
  <c r="D47" i="8"/>
  <c r="C47" i="8"/>
  <c r="B47" i="8"/>
  <c r="F46" i="8"/>
  <c r="E46" i="8"/>
  <c r="D46" i="8"/>
  <c r="C46" i="8"/>
  <c r="B46" i="8"/>
  <c r="F45" i="8"/>
  <c r="E45" i="8"/>
  <c r="D45" i="8"/>
  <c r="C45" i="8"/>
  <c r="B45" i="8"/>
  <c r="F44" i="8"/>
  <c r="E44" i="8"/>
  <c r="D44" i="8"/>
  <c r="C44" i="8"/>
  <c r="B44" i="8"/>
  <c r="F43" i="8"/>
  <c r="E43" i="8"/>
  <c r="D43" i="8"/>
  <c r="C43" i="8"/>
  <c r="B43" i="8"/>
  <c r="F42" i="8"/>
  <c r="E42" i="8"/>
  <c r="D42" i="8"/>
  <c r="C42" i="8"/>
  <c r="B42" i="8"/>
  <c r="F41" i="8"/>
  <c r="E41" i="8"/>
  <c r="D41" i="8"/>
  <c r="C41" i="8"/>
  <c r="B41" i="8"/>
  <c r="F40" i="8"/>
  <c r="E40" i="8"/>
  <c r="D40" i="8"/>
  <c r="C40" i="8"/>
  <c r="B40" i="8"/>
  <c r="F39" i="8"/>
  <c r="E39" i="8"/>
  <c r="D39" i="8"/>
  <c r="C39" i="8"/>
  <c r="B39" i="8"/>
  <c r="F38" i="8"/>
  <c r="E38" i="8"/>
  <c r="B38" i="8"/>
  <c r="F37" i="8"/>
  <c r="E37" i="8"/>
  <c r="B37" i="8"/>
  <c r="F36" i="8"/>
  <c r="E36" i="8"/>
  <c r="B36" i="8"/>
  <c r="F35" i="8"/>
  <c r="E35" i="8"/>
  <c r="B35" i="8"/>
  <c r="F34" i="8"/>
  <c r="E34" i="8"/>
  <c r="B34" i="8"/>
  <c r="F33" i="8"/>
  <c r="E33" i="8"/>
  <c r="B33" i="8"/>
  <c r="F32" i="8"/>
  <c r="E32" i="8"/>
  <c r="B32" i="8"/>
  <c r="F31" i="8"/>
  <c r="E31" i="8"/>
  <c r="B31" i="8"/>
  <c r="F30" i="8"/>
  <c r="E30" i="8"/>
  <c r="B30" i="8"/>
  <c r="F29" i="8"/>
  <c r="D29" i="8"/>
  <c r="C29" i="8"/>
  <c r="B29" i="8"/>
  <c r="F28" i="8"/>
  <c r="D28" i="8"/>
  <c r="C28" i="8"/>
  <c r="B28" i="8"/>
  <c r="F27" i="8"/>
  <c r="D27" i="8"/>
  <c r="C27" i="8"/>
  <c r="B27" i="8"/>
  <c r="F26" i="8"/>
  <c r="D26" i="8"/>
  <c r="C26" i="8"/>
  <c r="B26" i="8"/>
  <c r="F25" i="8"/>
  <c r="D25" i="8"/>
  <c r="C25" i="8"/>
  <c r="B25" i="8"/>
  <c r="F24" i="8"/>
  <c r="D24" i="8"/>
  <c r="C24" i="8"/>
  <c r="B24" i="8"/>
  <c r="F23" i="8"/>
  <c r="D23" i="8"/>
  <c r="C23" i="8"/>
  <c r="B23" i="8"/>
  <c r="F22" i="8"/>
  <c r="D22" i="8"/>
  <c r="C22" i="8"/>
  <c r="B22" i="8"/>
  <c r="F21" i="8"/>
  <c r="E21" i="8"/>
  <c r="D21" i="8"/>
  <c r="C21" i="8"/>
  <c r="B21" i="8"/>
  <c r="D14" i="8"/>
  <c r="J6" i="8"/>
  <c r="G6" i="8"/>
  <c r="G80" i="8" s="1"/>
  <c r="F6" i="8"/>
  <c r="F80" i="8" s="1"/>
  <c r="B6" i="8"/>
  <c r="J5" i="8"/>
  <c r="G5" i="8"/>
  <c r="F5" i="8"/>
  <c r="B5" i="8"/>
  <c r="J4" i="8"/>
  <c r="G4" i="8"/>
  <c r="G78" i="8" s="1"/>
  <c r="F4" i="8"/>
  <c r="F78" i="8" s="1"/>
  <c r="B4" i="8"/>
  <c r="J3" i="8"/>
  <c r="G3" i="8"/>
  <c r="G77" i="8" s="1"/>
  <c r="F3" i="8"/>
  <c r="F77" i="8" s="1"/>
  <c r="B3" i="8"/>
  <c r="J2" i="8"/>
  <c r="G2" i="8"/>
  <c r="G76" i="8" s="1"/>
  <c r="F2" i="8"/>
  <c r="F76" i="8" s="1"/>
  <c r="B2" i="8"/>
  <c r="B413" i="7"/>
  <c r="M11" i="8" s="1"/>
  <c r="M412" i="7"/>
  <c r="M411" i="7"/>
  <c r="M410" i="7"/>
  <c r="M409" i="7"/>
  <c r="M408" i="7"/>
  <c r="M407" i="7"/>
  <c r="M406" i="7"/>
  <c r="M405" i="7"/>
  <c r="M404" i="7"/>
  <c r="M403" i="7"/>
  <c r="M402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B379" i="7"/>
  <c r="L11" i="8" s="1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B345" i="7"/>
  <c r="K11" i="8" s="1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B311" i="7"/>
  <c r="J11" i="8" s="1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B277" i="7"/>
  <c r="I11" i="8" s="1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B243" i="7"/>
  <c r="H11" i="8" s="1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B209" i="7"/>
  <c r="G11" i="8" s="1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B175" i="7"/>
  <c r="F11" i="8" s="1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B141" i="7"/>
  <c r="E11" i="8" s="1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B107" i="7"/>
  <c r="D11" i="8" s="1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B73" i="7"/>
  <c r="C11" i="8" s="1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B39" i="7"/>
  <c r="B11" i="8" s="1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E5" i="7"/>
  <c r="B413" i="6"/>
  <c r="M12" i="8" s="1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B379" i="6"/>
  <c r="L12" i="8" s="1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B345" i="6"/>
  <c r="K12" i="8" s="1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B311" i="6"/>
  <c r="J12" i="8" s="1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B277" i="6"/>
  <c r="I12" i="8" s="1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B243" i="6"/>
  <c r="H12" i="8" s="1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B209" i="6"/>
  <c r="G12" i="8" s="1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B175" i="6"/>
  <c r="F12" i="8" s="1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B141" i="6"/>
  <c r="E12" i="8" s="1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B107" i="6"/>
  <c r="D12" i="8" s="1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B73" i="6"/>
  <c r="C12" i="8" s="1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B39" i="6"/>
  <c r="B12" i="8" s="1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E5" i="6"/>
  <c r="B413" i="5"/>
  <c r="M13" i="8" s="1"/>
  <c r="M412" i="5"/>
  <c r="M411" i="5"/>
  <c r="M410" i="5"/>
  <c r="M409" i="5"/>
  <c r="M408" i="5"/>
  <c r="M407" i="5"/>
  <c r="M406" i="5"/>
  <c r="M405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2" i="5"/>
  <c r="M391" i="5"/>
  <c r="M390" i="5"/>
  <c r="M389" i="5"/>
  <c r="M388" i="5"/>
  <c r="M387" i="5"/>
  <c r="D387" i="5"/>
  <c r="M386" i="5"/>
  <c r="D386" i="5"/>
  <c r="M385" i="5"/>
  <c r="D385" i="5"/>
  <c r="M384" i="5"/>
  <c r="D384" i="5"/>
  <c r="M383" i="5"/>
  <c r="D383" i="5"/>
  <c r="B379" i="5"/>
  <c r="L13" i="8" s="1"/>
  <c r="M378" i="5"/>
  <c r="M377" i="5"/>
  <c r="M376" i="5"/>
  <c r="M375" i="5"/>
  <c r="M374" i="5"/>
  <c r="M373" i="5"/>
  <c r="M372" i="5"/>
  <c r="M371" i="5"/>
  <c r="M370" i="5"/>
  <c r="M369" i="5"/>
  <c r="M368" i="5"/>
  <c r="M367" i="5"/>
  <c r="M366" i="5"/>
  <c r="M365" i="5"/>
  <c r="M364" i="5"/>
  <c r="M363" i="5"/>
  <c r="M362" i="5"/>
  <c r="M361" i="5"/>
  <c r="M360" i="5"/>
  <c r="M359" i="5"/>
  <c r="M358" i="5"/>
  <c r="M357" i="5"/>
  <c r="D357" i="5"/>
  <c r="M356" i="5"/>
  <c r="D356" i="5"/>
  <c r="M355" i="5"/>
  <c r="D355" i="5"/>
  <c r="M354" i="5"/>
  <c r="D354" i="5"/>
  <c r="M353" i="5"/>
  <c r="D353" i="5"/>
  <c r="M352" i="5"/>
  <c r="D352" i="5"/>
  <c r="M351" i="5"/>
  <c r="D351" i="5"/>
  <c r="M350" i="5"/>
  <c r="D350" i="5"/>
  <c r="M349" i="5"/>
  <c r="D349" i="5"/>
  <c r="B345" i="5"/>
  <c r="K13" i="8" s="1"/>
  <c r="M344" i="5"/>
  <c r="M343" i="5"/>
  <c r="M342" i="5"/>
  <c r="M341" i="5"/>
  <c r="M340" i="5"/>
  <c r="M339" i="5"/>
  <c r="M338" i="5"/>
  <c r="M337" i="5"/>
  <c r="M336" i="5"/>
  <c r="M335" i="5"/>
  <c r="M334" i="5"/>
  <c r="M333" i="5"/>
  <c r="M332" i="5"/>
  <c r="M331" i="5"/>
  <c r="M330" i="5"/>
  <c r="M329" i="5"/>
  <c r="M328" i="5"/>
  <c r="M327" i="5"/>
  <c r="D327" i="5"/>
  <c r="M326" i="5"/>
  <c r="D326" i="5"/>
  <c r="M325" i="5"/>
  <c r="D325" i="5"/>
  <c r="M324" i="5"/>
  <c r="D324" i="5"/>
  <c r="M323" i="5"/>
  <c r="D323" i="5"/>
  <c r="M322" i="5"/>
  <c r="D322" i="5"/>
  <c r="M321" i="5"/>
  <c r="D321" i="5"/>
  <c r="M320" i="5"/>
  <c r="D320" i="5"/>
  <c r="M319" i="5"/>
  <c r="D319" i="5"/>
  <c r="M318" i="5"/>
  <c r="D318" i="5"/>
  <c r="M317" i="5"/>
  <c r="D317" i="5"/>
  <c r="M316" i="5"/>
  <c r="D316" i="5"/>
  <c r="M315" i="5"/>
  <c r="D315" i="5"/>
  <c r="B311" i="5"/>
  <c r="J13" i="8" s="1"/>
  <c r="M310" i="5"/>
  <c r="M309" i="5"/>
  <c r="M308" i="5"/>
  <c r="M307" i="5"/>
  <c r="M306" i="5"/>
  <c r="M305" i="5"/>
  <c r="M304" i="5"/>
  <c r="M303" i="5"/>
  <c r="M302" i="5"/>
  <c r="M301" i="5"/>
  <c r="M300" i="5"/>
  <c r="M299" i="5"/>
  <c r="M298" i="5"/>
  <c r="M297" i="5"/>
  <c r="M296" i="5"/>
  <c r="M295" i="5"/>
  <c r="M294" i="5"/>
  <c r="M293" i="5"/>
  <c r="M292" i="5"/>
  <c r="D292" i="5"/>
  <c r="M291" i="5"/>
  <c r="D291" i="5"/>
  <c r="M290" i="5"/>
  <c r="D290" i="5"/>
  <c r="M289" i="5"/>
  <c r="D289" i="5"/>
  <c r="M288" i="5"/>
  <c r="D288" i="5"/>
  <c r="M287" i="5"/>
  <c r="D287" i="5"/>
  <c r="M286" i="5"/>
  <c r="D286" i="5"/>
  <c r="M285" i="5"/>
  <c r="D285" i="5"/>
  <c r="M284" i="5"/>
  <c r="D284" i="5"/>
  <c r="M283" i="5"/>
  <c r="D283" i="5"/>
  <c r="M282" i="5"/>
  <c r="D282" i="5"/>
  <c r="M281" i="5"/>
  <c r="D281" i="5"/>
  <c r="B277" i="5"/>
  <c r="I13" i="8" s="1"/>
  <c r="M276" i="5"/>
  <c r="M275" i="5"/>
  <c r="M274" i="5"/>
  <c r="M273" i="5"/>
  <c r="M272" i="5"/>
  <c r="M271" i="5"/>
  <c r="M270" i="5"/>
  <c r="M269" i="5"/>
  <c r="M268" i="5"/>
  <c r="M267" i="5"/>
  <c r="M266" i="5"/>
  <c r="M265" i="5"/>
  <c r="M264" i="5"/>
  <c r="M263" i="5"/>
  <c r="M262" i="5"/>
  <c r="M261" i="5"/>
  <c r="M260" i="5"/>
  <c r="D260" i="5"/>
  <c r="M259" i="5"/>
  <c r="D259" i="5"/>
  <c r="M258" i="5"/>
  <c r="D258" i="5"/>
  <c r="M257" i="5"/>
  <c r="D257" i="5"/>
  <c r="M256" i="5"/>
  <c r="D256" i="5"/>
  <c r="M255" i="5"/>
  <c r="D255" i="5"/>
  <c r="M254" i="5"/>
  <c r="D254" i="5"/>
  <c r="M253" i="5"/>
  <c r="D253" i="5"/>
  <c r="M252" i="5"/>
  <c r="D252" i="5"/>
  <c r="M251" i="5"/>
  <c r="D251" i="5"/>
  <c r="M250" i="5"/>
  <c r="D250" i="5"/>
  <c r="M249" i="5"/>
  <c r="D249" i="5"/>
  <c r="M248" i="5"/>
  <c r="D248" i="5"/>
  <c r="M247" i="5"/>
  <c r="D247" i="5"/>
  <c r="B243" i="5"/>
  <c r="H13" i="8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30" i="5"/>
  <c r="M229" i="5"/>
  <c r="M228" i="5"/>
  <c r="D228" i="5"/>
  <c r="M227" i="5"/>
  <c r="D227" i="5"/>
  <c r="M226" i="5"/>
  <c r="D226" i="5"/>
  <c r="M225" i="5"/>
  <c r="D225" i="5"/>
  <c r="M224" i="5"/>
  <c r="D224" i="5"/>
  <c r="M223" i="5"/>
  <c r="D223" i="5"/>
  <c r="M222" i="5"/>
  <c r="D222" i="5"/>
  <c r="M221" i="5"/>
  <c r="D221" i="5"/>
  <c r="M220" i="5"/>
  <c r="D220" i="5"/>
  <c r="M219" i="5"/>
  <c r="D219" i="5"/>
  <c r="M218" i="5"/>
  <c r="D218" i="5"/>
  <c r="M217" i="5"/>
  <c r="D217" i="5"/>
  <c r="M216" i="5"/>
  <c r="D216" i="5"/>
  <c r="M215" i="5"/>
  <c r="D215" i="5"/>
  <c r="M214" i="5"/>
  <c r="D214" i="5"/>
  <c r="M213" i="5"/>
  <c r="D213" i="5"/>
  <c r="B209" i="5"/>
  <c r="G13" i="8" s="1"/>
  <c r="M208" i="5"/>
  <c r="M207" i="5"/>
  <c r="M206" i="5"/>
  <c r="M205" i="5"/>
  <c r="M204" i="5"/>
  <c r="M203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M190" i="5"/>
  <c r="M189" i="5"/>
  <c r="M188" i="5"/>
  <c r="M187" i="5"/>
  <c r="M186" i="5"/>
  <c r="M185" i="5"/>
  <c r="M184" i="5"/>
  <c r="M183" i="5"/>
  <c r="M182" i="5"/>
  <c r="M181" i="5"/>
  <c r="M180" i="5"/>
  <c r="M179" i="5"/>
  <c r="B175" i="5"/>
  <c r="F13" i="8" s="1"/>
  <c r="M174" i="5"/>
  <c r="M173" i="5"/>
  <c r="M172" i="5"/>
  <c r="M171" i="5"/>
  <c r="M170" i="5"/>
  <c r="M169" i="5"/>
  <c r="M168" i="5"/>
  <c r="M167" i="5"/>
  <c r="M166" i="5"/>
  <c r="M165" i="5"/>
  <c r="M164" i="5"/>
  <c r="M163" i="5"/>
  <c r="M162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9" i="5"/>
  <c r="M148" i="5"/>
  <c r="M147" i="5"/>
  <c r="M146" i="5"/>
  <c r="M145" i="5"/>
  <c r="B141" i="5"/>
  <c r="E13" i="8" s="1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B107" i="5"/>
  <c r="D13" i="8" s="1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B73" i="5"/>
  <c r="C13" i="8" s="1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B39" i="5"/>
  <c r="B13" i="8" s="1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E5" i="5"/>
  <c r="B357" i="4"/>
  <c r="M14" i="8" s="1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B323" i="4"/>
  <c r="L14" i="8" s="1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B289" i="4"/>
  <c r="K14" i="8" s="1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B255" i="4"/>
  <c r="J14" i="8" s="1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B221" i="4"/>
  <c r="I14" i="8" s="1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B187" i="4"/>
  <c r="H14" i="8" s="1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B153" i="4"/>
  <c r="G14" i="8" s="1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B119" i="4"/>
  <c r="F14" i="8" s="1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B85" i="4"/>
  <c r="E14" i="8" s="1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D57" i="4"/>
  <c r="M56" i="4"/>
  <c r="D56" i="4"/>
  <c r="M55" i="4"/>
  <c r="D55" i="4"/>
  <c r="M50" i="4"/>
  <c r="M49" i="4"/>
  <c r="M48" i="4"/>
  <c r="M47" i="4"/>
  <c r="D47" i="4"/>
  <c r="M46" i="4"/>
  <c r="D46" i="4"/>
  <c r="M45" i="4"/>
  <c r="D45" i="4"/>
  <c r="M44" i="4"/>
  <c r="D44" i="4"/>
  <c r="M43" i="4"/>
  <c r="D43" i="4"/>
  <c r="M42" i="4"/>
  <c r="D42" i="4"/>
  <c r="M41" i="4"/>
  <c r="M40" i="4"/>
  <c r="D40" i="4"/>
  <c r="M39" i="4"/>
  <c r="D39" i="4"/>
  <c r="M38" i="4"/>
  <c r="D38" i="4"/>
  <c r="M37" i="4"/>
  <c r="D37" i="4"/>
  <c r="B33" i="4"/>
  <c r="C14" i="8" s="1"/>
  <c r="M32" i="4"/>
  <c r="M31" i="4"/>
  <c r="D31" i="4"/>
  <c r="M30" i="4"/>
  <c r="D30" i="4"/>
  <c r="M29" i="4"/>
  <c r="D29" i="4"/>
  <c r="M28" i="4"/>
  <c r="D28" i="4"/>
  <c r="M27" i="4"/>
  <c r="D27" i="4"/>
  <c r="M26" i="4"/>
  <c r="D26" i="4"/>
  <c r="M25" i="4"/>
  <c r="D25" i="4"/>
  <c r="M24" i="4"/>
  <c r="D24" i="4"/>
  <c r="M23" i="4"/>
  <c r="D23" i="4"/>
  <c r="M22" i="4"/>
  <c r="D22" i="4"/>
  <c r="B18" i="4"/>
  <c r="B14" i="8" s="1"/>
  <c r="M17" i="4"/>
  <c r="M16" i="4"/>
  <c r="D16" i="4"/>
  <c r="M15" i="4"/>
  <c r="D15" i="4"/>
  <c r="M14" i="4"/>
  <c r="D14" i="4"/>
  <c r="M13" i="4"/>
  <c r="D13" i="4"/>
  <c r="M12" i="4"/>
  <c r="D12" i="4"/>
  <c r="M11" i="4"/>
  <c r="D11" i="4"/>
  <c r="M10" i="4"/>
  <c r="D10" i="4"/>
  <c r="M9" i="4"/>
  <c r="D9" i="4"/>
  <c r="E5" i="4"/>
  <c r="B413" i="3"/>
  <c r="M15" i="8" s="1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B379" i="3"/>
  <c r="L15" i="8" s="1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B345" i="3"/>
  <c r="K15" i="8" s="1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B311" i="3"/>
  <c r="J15" i="8" s="1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B277" i="3"/>
  <c r="I15" i="8" s="1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B243" i="3"/>
  <c r="H15" i="8" s="1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B209" i="3"/>
  <c r="G15" i="8" s="1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B175" i="3"/>
  <c r="F15" i="8" s="1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B141" i="3"/>
  <c r="E15" i="8" s="1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B107" i="3"/>
  <c r="D15" i="8" s="1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B73" i="3"/>
  <c r="C15" i="8" s="1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B39" i="3"/>
  <c r="B15" i="8" s="1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E5" i="3"/>
  <c r="F71" i="2"/>
  <c r="E71" i="2"/>
  <c r="D71" i="2"/>
  <c r="C71" i="2"/>
  <c r="B71" i="2"/>
  <c r="G71" i="2" s="1"/>
  <c r="F70" i="2"/>
  <c r="E70" i="2"/>
  <c r="D70" i="2"/>
  <c r="C70" i="2"/>
  <c r="B70" i="2"/>
  <c r="G70" i="2" s="1"/>
  <c r="F69" i="2"/>
  <c r="E69" i="2"/>
  <c r="D69" i="2"/>
  <c r="C69" i="2"/>
  <c r="B69" i="2"/>
  <c r="G69" i="2" s="1"/>
  <c r="F68" i="2"/>
  <c r="E68" i="2"/>
  <c r="D68" i="2"/>
  <c r="C68" i="2"/>
  <c r="B68" i="2"/>
  <c r="G68" i="2" s="1"/>
  <c r="F67" i="2"/>
  <c r="E67" i="2"/>
  <c r="D67" i="2"/>
  <c r="C67" i="2"/>
  <c r="B67" i="2"/>
  <c r="G67" i="2" s="1"/>
  <c r="F66" i="2"/>
  <c r="E66" i="2"/>
  <c r="D66" i="2"/>
  <c r="C66" i="2"/>
  <c r="B66" i="2"/>
  <c r="G66" i="2" s="1"/>
  <c r="F65" i="2"/>
  <c r="E65" i="2"/>
  <c r="D65" i="2"/>
  <c r="C65" i="2"/>
  <c r="B65" i="2"/>
  <c r="G65" i="2" s="1"/>
  <c r="F64" i="2"/>
  <c r="E64" i="2"/>
  <c r="D64" i="2"/>
  <c r="C64" i="2"/>
  <c r="B64" i="2"/>
  <c r="G64" i="2" s="1"/>
  <c r="F63" i="2"/>
  <c r="E63" i="2"/>
  <c r="D63" i="2"/>
  <c r="C63" i="2"/>
  <c r="B63" i="2"/>
  <c r="G63" i="2" s="1"/>
  <c r="F62" i="2"/>
  <c r="E62" i="2"/>
  <c r="D62" i="2"/>
  <c r="C62" i="2"/>
  <c r="B62" i="2"/>
  <c r="G62" i="2" s="1"/>
  <c r="F61" i="2"/>
  <c r="E61" i="2"/>
  <c r="D61" i="2"/>
  <c r="C61" i="2"/>
  <c r="B61" i="2"/>
  <c r="G61" i="2" s="1"/>
  <c r="F60" i="2"/>
  <c r="E60" i="2"/>
  <c r="D60" i="2"/>
  <c r="C60" i="2"/>
  <c r="B60" i="2"/>
  <c r="G60" i="2" s="1"/>
  <c r="F54" i="2"/>
  <c r="D54" i="2"/>
  <c r="C54" i="2"/>
  <c r="B54" i="2"/>
  <c r="F52" i="2"/>
  <c r="D52" i="2"/>
  <c r="C52" i="2"/>
  <c r="B52" i="2"/>
  <c r="F51" i="2"/>
  <c r="D51" i="2"/>
  <c r="C51" i="2"/>
  <c r="B51" i="2"/>
  <c r="F50" i="2"/>
  <c r="D50" i="2"/>
  <c r="C50" i="2"/>
  <c r="B50" i="2"/>
  <c r="F48" i="2"/>
  <c r="D48" i="2"/>
  <c r="C48" i="2"/>
  <c r="B48" i="2"/>
  <c r="F47" i="2"/>
  <c r="D47" i="2"/>
  <c r="C47" i="2"/>
  <c r="B47" i="2"/>
  <c r="F45" i="2"/>
  <c r="D45" i="2"/>
  <c r="C45" i="2"/>
  <c r="B45" i="2"/>
  <c r="F44" i="2"/>
  <c r="D44" i="2"/>
  <c r="C44" i="2"/>
  <c r="B44" i="2"/>
  <c r="F42" i="2"/>
  <c r="D42" i="2"/>
  <c r="C42" i="2"/>
  <c r="B42" i="2"/>
  <c r="F41" i="2"/>
  <c r="D41" i="2"/>
  <c r="C41" i="2"/>
  <c r="B41" i="2"/>
  <c r="F40" i="2"/>
  <c r="D40" i="2"/>
  <c r="C40" i="2"/>
  <c r="B40" i="2"/>
  <c r="F38" i="2"/>
  <c r="D38" i="2"/>
  <c r="C38" i="2"/>
  <c r="B38" i="2"/>
  <c r="F37" i="2"/>
  <c r="D37" i="2"/>
  <c r="C37" i="2"/>
  <c r="B37" i="2"/>
  <c r="F36" i="2"/>
  <c r="D36" i="2"/>
  <c r="C36" i="2"/>
  <c r="B36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D25" i="2"/>
  <c r="C25" i="2"/>
  <c r="B25" i="2"/>
  <c r="F24" i="2"/>
  <c r="D24" i="2"/>
  <c r="C24" i="2"/>
  <c r="B24" i="2"/>
  <c r="F23" i="2"/>
  <c r="D23" i="2"/>
  <c r="C23" i="2"/>
  <c r="B23" i="2"/>
  <c r="F22" i="2"/>
  <c r="D22" i="2"/>
  <c r="C22" i="2"/>
  <c r="B22" i="2"/>
  <c r="F21" i="2"/>
  <c r="D21" i="2"/>
  <c r="C21" i="2"/>
  <c r="B21" i="2"/>
  <c r="F20" i="2"/>
  <c r="D20" i="2"/>
  <c r="C20" i="2"/>
  <c r="B20" i="2"/>
  <c r="F19" i="2"/>
  <c r="D19" i="2"/>
  <c r="C19" i="2"/>
  <c r="B19" i="2"/>
  <c r="F18" i="2"/>
  <c r="D18" i="2"/>
  <c r="C18" i="2"/>
  <c r="B18" i="2"/>
  <c r="F17" i="2"/>
  <c r="D17" i="2"/>
  <c r="C17" i="2"/>
  <c r="B17" i="2"/>
  <c r="A133" i="1"/>
  <c r="B133" i="1" s="1"/>
  <c r="A131" i="1"/>
  <c r="B131" i="1" s="1"/>
  <c r="A130" i="1"/>
  <c r="B130" i="1" s="1"/>
  <c r="A129" i="1"/>
  <c r="B129" i="1" s="1"/>
  <c r="A127" i="1"/>
  <c r="B127" i="1" s="1"/>
  <c r="A126" i="1"/>
  <c r="B126" i="1" s="1"/>
  <c r="A124" i="1"/>
  <c r="B124" i="1" s="1"/>
  <c r="A123" i="1"/>
  <c r="B123" i="1" s="1"/>
  <c r="A121" i="1"/>
  <c r="B121" i="1" s="1"/>
  <c r="A120" i="1"/>
  <c r="B120" i="1" s="1"/>
  <c r="A119" i="1"/>
  <c r="B119" i="1" s="1"/>
  <c r="A117" i="1"/>
  <c r="B117" i="1" s="1"/>
  <c r="A116" i="1"/>
  <c r="B116" i="1" s="1"/>
  <c r="A115" i="1"/>
  <c r="B115" i="1" s="1"/>
  <c r="A113" i="1"/>
  <c r="B113" i="1" s="1"/>
  <c r="A112" i="1"/>
  <c r="B112" i="1" s="1"/>
  <c r="A111" i="1"/>
  <c r="B111" i="1" s="1"/>
  <c r="G110" i="1"/>
  <c r="H110" i="1" s="1"/>
  <c r="A110" i="1"/>
  <c r="B110" i="1" s="1"/>
  <c r="G109" i="1"/>
  <c r="H109" i="1" s="1"/>
  <c r="A109" i="1"/>
  <c r="B109" i="1" s="1"/>
  <c r="G108" i="1"/>
  <c r="H108" i="1" s="1"/>
  <c r="A108" i="1"/>
  <c r="B108" i="1" s="1"/>
  <c r="A107" i="1"/>
  <c r="B107" i="1" s="1"/>
  <c r="G106" i="1"/>
  <c r="H106" i="1" s="1"/>
  <c r="A106" i="1"/>
  <c r="B106" i="1" s="1"/>
  <c r="G105" i="1"/>
  <c r="H105" i="1" s="1"/>
  <c r="A105" i="1"/>
  <c r="B105" i="1" s="1"/>
  <c r="G104" i="1"/>
  <c r="H104" i="1" s="1"/>
  <c r="A104" i="1"/>
  <c r="B104" i="1" s="1"/>
  <c r="G103" i="1"/>
  <c r="H103" i="1" s="1"/>
  <c r="A103" i="1"/>
  <c r="B103" i="1" s="1"/>
  <c r="G102" i="1"/>
  <c r="H102" i="1" s="1"/>
  <c r="A102" i="1"/>
  <c r="B102" i="1" s="1"/>
  <c r="G101" i="1"/>
  <c r="H101" i="1" s="1"/>
  <c r="A101" i="1"/>
  <c r="B101" i="1" s="1"/>
  <c r="G100" i="1"/>
  <c r="H100" i="1" s="1"/>
  <c r="A100" i="1"/>
  <c r="B100" i="1" s="1"/>
  <c r="G99" i="1"/>
  <c r="H99" i="1" s="1"/>
  <c r="A99" i="1"/>
  <c r="B99" i="1" s="1"/>
  <c r="G98" i="1"/>
  <c r="H98" i="1" s="1"/>
  <c r="A98" i="1"/>
  <c r="B98" i="1" s="1"/>
  <c r="G97" i="1"/>
  <c r="H97" i="1" s="1"/>
  <c r="A97" i="1"/>
  <c r="B97" i="1" s="1"/>
  <c r="G96" i="1"/>
  <c r="H96" i="1" s="1"/>
  <c r="A96" i="1"/>
  <c r="B96" i="1" s="1"/>
  <c r="G95" i="1"/>
  <c r="H95" i="1" s="1"/>
  <c r="G90" i="1"/>
  <c r="E90" i="1"/>
  <c r="A90" i="1"/>
  <c r="I89" i="1"/>
  <c r="G89" i="1"/>
  <c r="E89" i="1"/>
  <c r="C89" i="1"/>
  <c r="A89" i="1"/>
  <c r="B85" i="1"/>
  <c r="B84" i="1"/>
  <c r="B83" i="1"/>
  <c r="B82" i="1"/>
  <c r="B81" i="1"/>
  <c r="B80" i="1"/>
  <c r="B79" i="1"/>
  <c r="B78" i="1"/>
  <c r="B77" i="1"/>
  <c r="B76" i="1"/>
  <c r="B75" i="1"/>
  <c r="B74" i="1"/>
  <c r="H70" i="1"/>
  <c r="G70" i="1"/>
  <c r="F70" i="1"/>
  <c r="E70" i="1"/>
  <c r="D70" i="1"/>
  <c r="C70" i="1"/>
  <c r="B70" i="1"/>
  <c r="H69" i="1"/>
  <c r="G69" i="1"/>
  <c r="F69" i="1"/>
  <c r="E69" i="1"/>
  <c r="D69" i="1"/>
  <c r="C69" i="1"/>
  <c r="B69" i="1"/>
  <c r="H68" i="1"/>
  <c r="G68" i="1"/>
  <c r="F68" i="1"/>
  <c r="E68" i="1"/>
  <c r="D68" i="1"/>
  <c r="C68" i="1"/>
  <c r="B68" i="1"/>
  <c r="H67" i="1"/>
  <c r="G67" i="1"/>
  <c r="F67" i="1"/>
  <c r="E67" i="1"/>
  <c r="D67" i="1"/>
  <c r="C67" i="1"/>
  <c r="B67" i="1"/>
  <c r="G60" i="1"/>
  <c r="F60" i="1"/>
  <c r="G58" i="1"/>
  <c r="F58" i="1"/>
  <c r="G57" i="1"/>
  <c r="F57" i="1"/>
  <c r="I56" i="1"/>
  <c r="G56" i="1"/>
  <c r="F56" i="1"/>
  <c r="B39" i="1"/>
  <c r="B24" i="1"/>
  <c r="D24" i="1" s="1"/>
  <c r="B23" i="1"/>
  <c r="D23" i="1" s="1"/>
  <c r="B22" i="1"/>
  <c r="D22" i="1" s="1"/>
  <c r="B21" i="1"/>
  <c r="D21" i="1" s="1"/>
  <c r="B20" i="1"/>
  <c r="D20" i="1" s="1"/>
  <c r="B19" i="1"/>
  <c r="D19" i="1" s="1"/>
  <c r="B18" i="1"/>
  <c r="D18" i="1" s="1"/>
  <c r="B17" i="1"/>
  <c r="D17" i="1" s="1"/>
  <c r="B16" i="1"/>
  <c r="D16" i="1" s="1"/>
  <c r="B15" i="1"/>
  <c r="D15" i="1" s="1"/>
  <c r="B14" i="1"/>
  <c r="D14" i="1" s="1"/>
  <c r="B13" i="1"/>
  <c r="A8" i="1"/>
  <c r="E17" i="2" l="1"/>
  <c r="H14" i="1"/>
  <c r="J14" i="1" s="1"/>
  <c r="G17" i="2"/>
  <c r="E54" i="2"/>
  <c r="G54" i="2" s="1"/>
  <c r="H51" i="1"/>
  <c r="J51" i="1" s="1"/>
  <c r="E52" i="2"/>
  <c r="G52" i="2" s="1"/>
  <c r="H49" i="1"/>
  <c r="J49" i="1" s="1"/>
  <c r="E51" i="2"/>
  <c r="G51" i="2" s="1"/>
  <c r="H48" i="1"/>
  <c r="J48" i="1" s="1"/>
  <c r="E50" i="2"/>
  <c r="G50" i="2" s="1"/>
  <c r="H47" i="1"/>
  <c r="J47" i="1" s="1"/>
  <c r="E48" i="2"/>
  <c r="G48" i="2" s="1"/>
  <c r="H45" i="1"/>
  <c r="J45" i="1" s="1"/>
  <c r="H44" i="1"/>
  <c r="J44" i="1" s="1"/>
  <c r="E47" i="2"/>
  <c r="G47" i="2" s="1"/>
  <c r="E45" i="2"/>
  <c r="G45" i="2" s="1"/>
  <c r="H42" i="1"/>
  <c r="J42" i="1" s="1"/>
  <c r="E44" i="2"/>
  <c r="G44" i="2" s="1"/>
  <c r="H41" i="1"/>
  <c r="J41" i="1" s="1"/>
  <c r="E42" i="2"/>
  <c r="G42" i="2" s="1"/>
  <c r="H39" i="1"/>
  <c r="J39" i="1" s="1"/>
  <c r="E41" i="2"/>
  <c r="G41" i="2" s="1"/>
  <c r="H38" i="1"/>
  <c r="J38" i="1" s="1"/>
  <c r="E40" i="2"/>
  <c r="G40" i="2" s="1"/>
  <c r="H37" i="1"/>
  <c r="J37" i="1" s="1"/>
  <c r="E38" i="2"/>
  <c r="G38" i="2" s="1"/>
  <c r="H35" i="1"/>
  <c r="J35" i="1" s="1"/>
  <c r="E37" i="2"/>
  <c r="G37" i="2" s="1"/>
  <c r="H34" i="1"/>
  <c r="J34" i="1" s="1"/>
  <c r="E36" i="2"/>
  <c r="G36" i="2" s="1"/>
  <c r="H33" i="1"/>
  <c r="J33" i="1" s="1"/>
  <c r="E34" i="2"/>
  <c r="H31" i="1"/>
  <c r="J31" i="1" s="1"/>
  <c r="E33" i="2"/>
  <c r="H30" i="1"/>
  <c r="J30" i="1" s="1"/>
  <c r="E32" i="2"/>
  <c r="H29" i="1"/>
  <c r="J29" i="1" s="1"/>
  <c r="E31" i="2"/>
  <c r="H28" i="1"/>
  <c r="J28" i="1" s="1"/>
  <c r="E30" i="2"/>
  <c r="H27" i="1"/>
  <c r="J27" i="1" s="1"/>
  <c r="E29" i="2"/>
  <c r="H26" i="1"/>
  <c r="J26" i="1" s="1"/>
  <c r="E28" i="2"/>
  <c r="H25" i="1"/>
  <c r="J25" i="1" s="1"/>
  <c r="E27" i="2"/>
  <c r="H24" i="1"/>
  <c r="J24" i="1" s="1"/>
  <c r="E26" i="2"/>
  <c r="H23" i="1"/>
  <c r="J23" i="1" s="1"/>
  <c r="J9" i="1"/>
  <c r="C48" i="1"/>
  <c r="G79" i="8"/>
  <c r="G59" i="1" s="1"/>
  <c r="C42" i="1"/>
  <c r="F79" i="8"/>
  <c r="F59" i="1" s="1"/>
  <c r="C41" i="1"/>
  <c r="D9" i="1"/>
  <c r="E13" i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D13" i="1"/>
  <c r="I68" i="1"/>
  <c r="I69" i="1"/>
  <c r="I70" i="1"/>
  <c r="E74" i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D74" i="1"/>
  <c r="C74" i="1"/>
  <c r="D75" i="1"/>
  <c r="C75" i="1"/>
  <c r="D76" i="1"/>
  <c r="C76" i="1"/>
  <c r="D77" i="1"/>
  <c r="C77" i="1"/>
  <c r="D78" i="1"/>
  <c r="C78" i="1"/>
  <c r="D79" i="1"/>
  <c r="C79" i="1"/>
  <c r="D80" i="1"/>
  <c r="C80" i="1"/>
  <c r="D81" i="1"/>
  <c r="C81" i="1"/>
  <c r="D82" i="1"/>
  <c r="C82" i="1"/>
  <c r="D83" i="1"/>
  <c r="C83" i="1"/>
  <c r="D84" i="1"/>
  <c r="C84" i="1"/>
  <c r="D85" i="1"/>
  <c r="C85" i="1"/>
  <c r="D96" i="1"/>
  <c r="C96" i="1"/>
  <c r="D97" i="1"/>
  <c r="C97" i="1"/>
  <c r="D98" i="1"/>
  <c r="C98" i="1"/>
  <c r="D99" i="1"/>
  <c r="C99" i="1"/>
  <c r="D100" i="1"/>
  <c r="C100" i="1"/>
  <c r="D101" i="1"/>
  <c r="C101" i="1"/>
  <c r="D102" i="1"/>
  <c r="C102" i="1"/>
  <c r="D103" i="1"/>
  <c r="C103" i="1"/>
  <c r="D104" i="1"/>
  <c r="C104" i="1"/>
  <c r="D105" i="1"/>
  <c r="C105" i="1"/>
  <c r="D106" i="1"/>
  <c r="C106" i="1"/>
  <c r="D107" i="1"/>
  <c r="C107" i="1"/>
  <c r="D108" i="1"/>
  <c r="C108" i="1"/>
  <c r="D109" i="1"/>
  <c r="C109" i="1"/>
  <c r="D110" i="1"/>
  <c r="C110" i="1"/>
  <c r="D111" i="1"/>
  <c r="C111" i="1"/>
  <c r="D112" i="1"/>
  <c r="C112" i="1"/>
  <c r="D113" i="1"/>
  <c r="C113" i="1"/>
  <c r="D115" i="1"/>
  <c r="C115" i="1"/>
  <c r="D116" i="1"/>
  <c r="C116" i="1"/>
  <c r="D117" i="1"/>
  <c r="C117" i="1"/>
  <c r="D119" i="1"/>
  <c r="C119" i="1"/>
  <c r="D120" i="1"/>
  <c r="C120" i="1"/>
  <c r="D121" i="1"/>
  <c r="C121" i="1"/>
  <c r="D123" i="1"/>
  <c r="C123" i="1"/>
  <c r="D124" i="1"/>
  <c r="C124" i="1"/>
  <c r="D126" i="1"/>
  <c r="C126" i="1"/>
  <c r="D127" i="1"/>
  <c r="C127" i="1"/>
  <c r="D129" i="1"/>
  <c r="C129" i="1"/>
  <c r="D130" i="1"/>
  <c r="C130" i="1"/>
  <c r="D131" i="1"/>
  <c r="C131" i="1"/>
  <c r="D133" i="1"/>
  <c r="C133" i="1"/>
  <c r="C6" i="8"/>
  <c r="H5" i="3"/>
  <c r="C5" i="8"/>
  <c r="H5" i="4"/>
  <c r="E29" i="8"/>
  <c r="E28" i="8"/>
  <c r="E27" i="8"/>
  <c r="E26" i="8"/>
  <c r="E25" i="8"/>
  <c r="E24" i="8"/>
  <c r="E23" i="8"/>
  <c r="E22" i="8"/>
  <c r="C4" i="8"/>
  <c r="H5" i="5"/>
  <c r="D38" i="8"/>
  <c r="D34" i="2" s="1"/>
  <c r="D37" i="8"/>
  <c r="D33" i="2" s="1"/>
  <c r="D36" i="8"/>
  <c r="D32" i="2" s="1"/>
  <c r="D35" i="8"/>
  <c r="D31" i="2" s="1"/>
  <c r="D34" i="8"/>
  <c r="D30" i="2" s="1"/>
  <c r="D33" i="8"/>
  <c r="D29" i="2" s="1"/>
  <c r="D32" i="8"/>
  <c r="D28" i="2" s="1"/>
  <c r="D31" i="8"/>
  <c r="D27" i="2" s="1"/>
  <c r="D30" i="8"/>
  <c r="D26" i="2" s="1"/>
  <c r="C3" i="8"/>
  <c r="H5" i="6"/>
  <c r="C38" i="8"/>
  <c r="C34" i="2" s="1"/>
  <c r="C37" i="8"/>
  <c r="C33" i="2" s="1"/>
  <c r="C36" i="8"/>
  <c r="C32" i="2" s="1"/>
  <c r="C35" i="8"/>
  <c r="C31" i="2" s="1"/>
  <c r="C34" i="8"/>
  <c r="C30" i="2" s="1"/>
  <c r="C33" i="8"/>
  <c r="C29" i="2" s="1"/>
  <c r="C32" i="8"/>
  <c r="C28" i="2" s="1"/>
  <c r="C31" i="8"/>
  <c r="C27" i="2" s="1"/>
  <c r="C30" i="8"/>
  <c r="C26" i="2" s="1"/>
  <c r="C2" i="8"/>
  <c r="H5" i="7"/>
  <c r="B76" i="8"/>
  <c r="B56" i="1" s="1"/>
  <c r="D2" i="8"/>
  <c r="B77" i="8"/>
  <c r="B57" i="1" s="1"/>
  <c r="D3" i="8"/>
  <c r="B78" i="8"/>
  <c r="B58" i="1" s="1"/>
  <c r="D4" i="8"/>
  <c r="B79" i="8"/>
  <c r="B59" i="1" s="1"/>
  <c r="D5" i="8"/>
  <c r="B80" i="8"/>
  <c r="B60" i="1" s="1"/>
  <c r="D6" i="8"/>
  <c r="G29" i="2" l="1"/>
  <c r="G34" i="2"/>
  <c r="G33" i="2"/>
  <c r="G32" i="2"/>
  <c r="G31" i="2"/>
  <c r="G30" i="2"/>
  <c r="G28" i="2"/>
  <c r="G27" i="2"/>
  <c r="G26" i="2"/>
  <c r="I80" i="8"/>
  <c r="I60" i="1" s="1"/>
  <c r="D80" i="8"/>
  <c r="D60" i="1" s="1"/>
  <c r="F8" i="2"/>
  <c r="I79" i="8"/>
  <c r="I59" i="1" s="1"/>
  <c r="D79" i="8"/>
  <c r="D59" i="1" s="1"/>
  <c r="E8" i="2"/>
  <c r="G8" i="1"/>
  <c r="I78" i="8"/>
  <c r="I58" i="1" s="1"/>
  <c r="D78" i="8"/>
  <c r="D58" i="1" s="1"/>
  <c r="D8" i="2"/>
  <c r="I77" i="8"/>
  <c r="I57" i="1" s="1"/>
  <c r="D77" i="8"/>
  <c r="D57" i="1" s="1"/>
  <c r="C8" i="2"/>
  <c r="D76" i="8"/>
  <c r="D56" i="1" s="1"/>
  <c r="D62" i="1" s="1"/>
  <c r="B8" i="2"/>
  <c r="G8" i="2" s="1"/>
  <c r="B62" i="1"/>
  <c r="C76" i="8"/>
  <c r="C56" i="1" s="1"/>
  <c r="K2" i="8"/>
  <c r="I2" i="8"/>
  <c r="H2" i="8"/>
  <c r="E2" i="8"/>
  <c r="B9" i="2"/>
  <c r="C77" i="8"/>
  <c r="C57" i="1" s="1"/>
  <c r="K3" i="8"/>
  <c r="I3" i="8"/>
  <c r="H3" i="8"/>
  <c r="E3" i="8"/>
  <c r="C9" i="2"/>
  <c r="C78" i="8"/>
  <c r="C58" i="1" s="1"/>
  <c r="K4" i="8"/>
  <c r="I4" i="8"/>
  <c r="H4" i="8"/>
  <c r="E4" i="8"/>
  <c r="D9" i="2"/>
  <c r="E18" i="2"/>
  <c r="G18" i="2" s="1"/>
  <c r="H15" i="1"/>
  <c r="E19" i="2"/>
  <c r="G19" i="2" s="1"/>
  <c r="H16" i="1"/>
  <c r="J16" i="1" s="1"/>
  <c r="E20" i="2"/>
  <c r="G20" i="2" s="1"/>
  <c r="H17" i="1"/>
  <c r="J17" i="1" s="1"/>
  <c r="E21" i="2"/>
  <c r="G21" i="2" s="1"/>
  <c r="H18" i="1"/>
  <c r="J18" i="1" s="1"/>
  <c r="E22" i="2"/>
  <c r="G22" i="2" s="1"/>
  <c r="H19" i="1"/>
  <c r="J19" i="1" s="1"/>
  <c r="E23" i="2"/>
  <c r="G23" i="2" s="1"/>
  <c r="H20" i="1"/>
  <c r="E24" i="2"/>
  <c r="G24" i="2" s="1"/>
  <c r="H21" i="1"/>
  <c r="E25" i="2"/>
  <c r="G25" i="2" s="1"/>
  <c r="H22" i="1"/>
  <c r="J22" i="1" s="1"/>
  <c r="C79" i="8"/>
  <c r="C59" i="1" s="1"/>
  <c r="K5" i="8"/>
  <c r="C49" i="1" s="1"/>
  <c r="I5" i="8"/>
  <c r="H5" i="8"/>
  <c r="C43" i="1" s="1"/>
  <c r="D43" i="1" s="1"/>
  <c r="E5" i="8"/>
  <c r="E9" i="2"/>
  <c r="I51" i="1"/>
  <c r="I49" i="1"/>
  <c r="I48" i="1"/>
  <c r="I47" i="1"/>
  <c r="I45" i="1"/>
  <c r="I44" i="1"/>
  <c r="I42" i="1"/>
  <c r="D42" i="1"/>
  <c r="I41" i="1"/>
  <c r="D41" i="1"/>
  <c r="I39" i="1"/>
  <c r="C39" i="1"/>
  <c r="I38" i="1"/>
  <c r="C38" i="1"/>
  <c r="I37" i="1"/>
  <c r="C37" i="1"/>
  <c r="C36" i="1"/>
  <c r="I35" i="1"/>
  <c r="C35" i="1"/>
  <c r="I34" i="1"/>
  <c r="C34" i="1"/>
  <c r="I33" i="1"/>
  <c r="C33" i="1"/>
  <c r="C32" i="1"/>
  <c r="I31" i="1"/>
  <c r="C31" i="1"/>
  <c r="I30" i="1"/>
  <c r="C30" i="1"/>
  <c r="I29" i="1"/>
  <c r="C29" i="1"/>
  <c r="I28" i="1"/>
  <c r="C28" i="1"/>
  <c r="I27" i="1"/>
  <c r="I26" i="1"/>
  <c r="I25" i="1"/>
  <c r="I24" i="1"/>
  <c r="C24" i="1"/>
  <c r="I23" i="1"/>
  <c r="C23" i="1"/>
  <c r="I22" i="1"/>
  <c r="C22" i="1"/>
  <c r="C21" i="1"/>
  <c r="C20" i="1"/>
  <c r="I19" i="1"/>
  <c r="C19" i="1"/>
  <c r="I18" i="1"/>
  <c r="C18" i="1"/>
  <c r="I17" i="1"/>
  <c r="C17" i="1"/>
  <c r="I16" i="1"/>
  <c r="C16" i="1"/>
  <c r="C15" i="1"/>
  <c r="I14" i="1"/>
  <c r="C14" i="1"/>
  <c r="C13" i="1"/>
  <c r="D8" i="1"/>
  <c r="C80" i="8"/>
  <c r="C60" i="1" s="1"/>
  <c r="K6" i="8"/>
  <c r="I6" i="8"/>
  <c r="H6" i="8"/>
  <c r="E6" i="8"/>
  <c r="F9" i="2"/>
  <c r="H9" i="2" s="1"/>
  <c r="J15" i="1" l="1"/>
  <c r="I15" i="1"/>
  <c r="J20" i="1"/>
  <c r="I20" i="1"/>
  <c r="J21" i="1"/>
  <c r="I21" i="1"/>
  <c r="E80" i="8"/>
  <c r="E60" i="1" s="1"/>
  <c r="F11" i="2"/>
  <c r="H80" i="8"/>
  <c r="H60" i="1" s="1"/>
  <c r="F10" i="2"/>
  <c r="E79" i="8"/>
  <c r="E59" i="1" s="1"/>
  <c r="E11" i="2"/>
  <c r="G9" i="1"/>
  <c r="H79" i="8"/>
  <c r="H59" i="1" s="1"/>
  <c r="E10" i="2"/>
  <c r="J8" i="1"/>
  <c r="E78" i="8"/>
  <c r="E58" i="1" s="1"/>
  <c r="D11" i="2"/>
  <c r="H78" i="8"/>
  <c r="H58" i="1" s="1"/>
  <c r="D10" i="2"/>
  <c r="E77" i="8"/>
  <c r="E57" i="1" s="1"/>
  <c r="C11" i="2"/>
  <c r="H77" i="8"/>
  <c r="H57" i="1" s="1"/>
  <c r="C10" i="2"/>
  <c r="G9" i="2"/>
  <c r="E76" i="8"/>
  <c r="E56" i="1" s="1"/>
  <c r="E62" i="1" s="1"/>
  <c r="B11" i="2"/>
  <c r="G11" i="2" s="1"/>
  <c r="H76" i="8"/>
  <c r="H56" i="1" s="1"/>
  <c r="B10" i="2"/>
  <c r="G10" i="2" s="1"/>
  <c r="C62" i="1"/>
  <c r="H8" i="2"/>
  <c r="H62" i="1" l="1"/>
  <c r="H10" i="2"/>
  <c r="H11" i="2"/>
</calcChain>
</file>

<file path=xl/sharedStrings.xml><?xml version="1.0" encoding="utf-8"?>
<sst xmlns="http://schemas.openxmlformats.org/spreadsheetml/2006/main" count="5085" uniqueCount="1054">
  <si>
    <t>EMPLOYEE SEPARATION ANALYTICS DASHBOARD</t>
  </si>
  <si>
    <t>Emory Valley Center</t>
  </si>
  <si>
    <t>CALENDAR YEAR:</t>
  </si>
  <si>
    <t>FY 2026</t>
  </si>
  <si>
    <t>JAN 1 — DEC 31</t>
  </si>
  <si>
    <t>EVC FISCAL YEAR:</t>
  </si>
  <si>
    <t>FY EVC 2025</t>
  </si>
  <si>
    <t>JUL 1 — JUN 30</t>
  </si>
  <si>
    <t>TOTAL ACTIVE EMPLOYEES</t>
  </si>
  <si>
    <t>YTD SEPARATIONS</t>
  </si>
  <si>
    <t>TURNOVER RATE</t>
  </si>
  <si>
    <t>VOLUNTARY %</t>
  </si>
  <si>
    <t>as of FY start</t>
  </si>
  <si>
    <t xml:space="preserve">  MONTHLY SEPARATIONS</t>
  </si>
  <si>
    <t xml:space="preserve">  SEPARATIONS BY JOB</t>
  </si>
  <si>
    <t>Month</t>
  </si>
  <si>
    <t>Separations</t>
  </si>
  <si>
    <t>% of YTD</t>
  </si>
  <si>
    <t>TOR %</t>
  </si>
  <si>
    <t>Cumulative</t>
  </si>
  <si>
    <t>Job Title</t>
  </si>
  <si>
    <t>Count</t>
  </si>
  <si>
    <t>% of Total</t>
  </si>
  <si>
    <t>January</t>
  </si>
  <si>
    <t>LEADERSHIP</t>
  </si>
  <si>
    <t>February</t>
  </si>
  <si>
    <t>President</t>
  </si>
  <si>
    <t>March</t>
  </si>
  <si>
    <t>VP of Operations</t>
  </si>
  <si>
    <t>April</t>
  </si>
  <si>
    <t>VP of Children Services</t>
  </si>
  <si>
    <t>May</t>
  </si>
  <si>
    <t>VP of Professional Services</t>
  </si>
  <si>
    <t>June</t>
  </si>
  <si>
    <t>VP of Behavioral Health</t>
  </si>
  <si>
    <t>July</t>
  </si>
  <si>
    <t>VP of Human Resources</t>
  </si>
  <si>
    <t>August</t>
  </si>
  <si>
    <t>VP of Employment Services</t>
  </si>
  <si>
    <t>September</t>
  </si>
  <si>
    <t>VP of Family Support</t>
  </si>
  <si>
    <t>October</t>
  </si>
  <si>
    <t>VP of Finance</t>
  </si>
  <si>
    <t>November</t>
  </si>
  <si>
    <t>Director of Operations</t>
  </si>
  <si>
    <t>December</t>
  </si>
  <si>
    <t>Director of Children Services</t>
  </si>
  <si>
    <t>Director of Professional Services</t>
  </si>
  <si>
    <t xml:space="preserve">  SEPARATIONS BY REASON</t>
  </si>
  <si>
    <t>Director of Behavioral Health</t>
  </si>
  <si>
    <t>Reason</t>
  </si>
  <si>
    <t>Category</t>
  </si>
  <si>
    <t>Director of Human Resources</t>
  </si>
  <si>
    <t>Resignation</t>
  </si>
  <si>
    <t>Voluntary</t>
  </si>
  <si>
    <t>Director of Finance</t>
  </si>
  <si>
    <t>Better Opportunity</t>
  </si>
  <si>
    <t>Director of Employment Services</t>
  </si>
  <si>
    <t>Personal Reasons</t>
  </si>
  <si>
    <t>Director of Family Support</t>
  </si>
  <si>
    <t>Relocation</t>
  </si>
  <si>
    <t>Director of QA</t>
  </si>
  <si>
    <t>Retirement</t>
  </si>
  <si>
    <t>DIRECT CARE</t>
  </si>
  <si>
    <t>Termination</t>
  </si>
  <si>
    <t>Involuntary</t>
  </si>
  <si>
    <t>DSP</t>
  </si>
  <si>
    <t>Layoff</t>
  </si>
  <si>
    <t>HM</t>
  </si>
  <si>
    <t>Job Abandonment</t>
  </si>
  <si>
    <t>Other</t>
  </si>
  <si>
    <t>RM</t>
  </si>
  <si>
    <t>End of Contract</t>
  </si>
  <si>
    <t>CLINICAL / PROGRAM</t>
  </si>
  <si>
    <t>CM</t>
  </si>
  <si>
    <t>Performance Issues</t>
  </si>
  <si>
    <t>EI</t>
  </si>
  <si>
    <t>Attendance Issues</t>
  </si>
  <si>
    <t>Family Support</t>
  </si>
  <si>
    <t>EDUCATION</t>
  </si>
  <si>
    <t>Teacher</t>
  </si>
  <si>
    <t>Assistant Teacher</t>
  </si>
  <si>
    <t>SUPPORT</t>
  </si>
  <si>
    <t>Sub/Floater</t>
  </si>
  <si>
    <t>Job Coach/WI</t>
  </si>
  <si>
    <t xml:space="preserve">  ADDITIONAL STATISTICS</t>
  </si>
  <si>
    <t>ADMINISTRATIVE</t>
  </si>
  <si>
    <t>Finance</t>
  </si>
  <si>
    <t>Eligible for Rehire Rate:</t>
  </si>
  <si>
    <t>HR</t>
  </si>
  <si>
    <t>Exit Interview Completion Rate:</t>
  </si>
  <si>
    <t>QA</t>
  </si>
  <si>
    <t>OTHER</t>
  </si>
  <si>
    <t xml:space="preserve">  ▼  MULTI-YEAR COMPARISON &amp; TRENDS</t>
  </si>
  <si>
    <t>Calendar Year &amp; EVC Fiscal Year</t>
  </si>
  <si>
    <t xml:space="preserve">  CALENDAR YEAR COMPARISON (January 1 — December 31)</t>
  </si>
  <si>
    <t>Fiscal Year</t>
  </si>
  <si>
    <t>Active Emp</t>
  </si>
  <si>
    <t>Total Sep</t>
  </si>
  <si>
    <t>Avg Monthly</t>
  </si>
  <si>
    <t>Vol</t>
  </si>
  <si>
    <t>Vol %</t>
  </si>
  <si>
    <t>YoY Change</t>
  </si>
  <si>
    <t>FY 2023</t>
  </si>
  <si>
    <t>FY 2024</t>
  </si>
  <si>
    <t>FY 2025</t>
  </si>
  <si>
    <t>FY 2027</t>
  </si>
  <si>
    <t>5-YEAR AVERAGE</t>
  </si>
  <si>
    <t xml:space="preserve">  EVC FISCAL YEAR COMPARISON (July 1 — June 30)</t>
  </si>
  <si>
    <t>FY EVC 2024</t>
  </si>
  <si>
    <t>N/A</t>
  </si>
  <si>
    <t>FY EVC 2026</t>
  </si>
  <si>
    <t>FY EVC 2027</t>
  </si>
  <si>
    <t xml:space="preserve">  EVC FISCAL YEAR MONTHLY SEPARATIONS</t>
  </si>
  <si>
    <t xml:space="preserve">  EVC FISCAL YEAR SNAPSHOT</t>
  </si>
  <si>
    <t>TOTAL SEPARATIONS</t>
  </si>
  <si>
    <t>AVG MONTHLY</t>
  </si>
  <si>
    <t>REHIRE RATE</t>
  </si>
  <si>
    <t xml:space="preserve">  EVC FY: SEPARATIONS BY JOB</t>
  </si>
  <si>
    <t xml:space="preserve">  EVC FY: SEPARATIONS BY REASON</t>
  </si>
  <si>
    <t>Voluntary Total</t>
  </si>
  <si>
    <t>Involuntary Total</t>
  </si>
  <si>
    <t>Other Total</t>
  </si>
  <si>
    <t>MULTI-YEAR TURNOVER ANALYTICS &amp; TRENDS</t>
  </si>
  <si>
    <t>Comparative Analysis Across Calendar Years  |  January 1 — December 31</t>
  </si>
  <si>
    <t>YEAR-OVER-YEAR TURNOVER COMPARISON</t>
  </si>
  <si>
    <t>Metric</t>
  </si>
  <si>
    <t>Avg</t>
  </si>
  <si>
    <t>Trend</t>
  </si>
  <si>
    <t>Turnover Rate %</t>
  </si>
  <si>
    <t>Total Separations</t>
  </si>
  <si>
    <t>Voluntary %</t>
  </si>
  <si>
    <t>Avg Monthly Separations</t>
  </si>
  <si>
    <t>JOB/DEPARTMENT TURNOVER ACROSS YEARS</t>
  </si>
  <si>
    <t>Job</t>
  </si>
  <si>
    <t>Total</t>
  </si>
  <si>
    <t>SEASONAL TURNOVER PATTERNS (Average Across Years)</t>
  </si>
  <si>
    <t xml:space="preserve">  FISCAL YEAR ANALYSIS (July 1 — June 30)</t>
  </si>
  <si>
    <t>FISCAL YEAR OVERVIEW</t>
  </si>
  <si>
    <t>↓</t>
  </si>
  <si>
    <t>FISCAL YEAR MONTHLY PATTERNS</t>
  </si>
  <si>
    <t>FISCAL YEAR HALF COMPARISON</t>
  </si>
  <si>
    <t>Period</t>
  </si>
  <si>
    <t>H1 (Jul - Dec)</t>
  </si>
  <si>
    <t>H2 (Jan - Jun)</t>
  </si>
  <si>
    <t>EMPLOYEE SEPARATION SUMMARY — FY 2027</t>
  </si>
  <si>
    <t>January 2027 — December 2027  |  Emory Valley Center</t>
  </si>
  <si>
    <t>Active Employees:</t>
  </si>
  <si>
    <t>YTD Separations:</t>
  </si>
  <si>
    <t>TOR %:</t>
  </si>
  <si>
    <t>JANUARY 2027</t>
  </si>
  <si>
    <t>Name</t>
  </si>
  <si>
    <t>Date of Separation</t>
  </si>
  <si>
    <t>DOH</t>
  </si>
  <si>
    <t>Length of Service</t>
  </si>
  <si>
    <t>Eligible for Rehire</t>
  </si>
  <si>
    <t>Status</t>
  </si>
  <si>
    <t>Location</t>
  </si>
  <si>
    <t>Reason for Leaving</t>
  </si>
  <si>
    <t>Supervisor</t>
  </si>
  <si>
    <t>Exit Interview Date</t>
  </si>
  <si>
    <t>Comments</t>
  </si>
  <si>
    <t>Department</t>
  </si>
  <si>
    <t>SUBTOTAL: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</si>
  <si>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</si>
  <si>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</si>
  <si>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</si>
  <si>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</si>
  <si>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</si>
  <si>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</si>
  <si>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</si>
  <si>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</si>
  <si>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</si>
  <si>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</si>
  <si>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</si>
  <si>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EMPLOYEE SEPARATION SUMMARY — FY 2026</t>
  </si>
  <si>
    <t>January 2026 — December 2026  |  Emory Valley Center</t>
  </si>
  <si>
    <t>JANUARY 2026</t>
  </si>
  <si>
    <t>Jackie Ross</t>
  </si>
  <si>
    <t>No</t>
  </si>
  <si>
    <t>D</t>
  </si>
  <si>
    <t>Livingston</t>
  </si>
  <si>
    <t>Kasey Foster</t>
  </si>
  <si>
    <t>Elizabeth Hawkins</t>
  </si>
  <si>
    <t>Yes</t>
  </si>
  <si>
    <t>Quality Assurance</t>
  </si>
  <si>
    <t>Kristen Otto</t>
  </si>
  <si>
    <t>Michaela Smith</t>
  </si>
  <si>
    <t>Hamiltons</t>
  </si>
  <si>
    <t>Catie Robinson</t>
  </si>
  <si>
    <t>Beverly Hines</t>
  </si>
  <si>
    <t>U</t>
  </si>
  <si>
    <t>Case Management</t>
  </si>
  <si>
    <t>Amanda Tackett</t>
  </si>
  <si>
    <t>No Response</t>
  </si>
  <si>
    <t>Michael Hurd</t>
  </si>
  <si>
    <t>2292 Turnpike</t>
  </si>
  <si>
    <t>Sarah Allen</t>
  </si>
  <si>
    <t>Baylee Stewart</t>
  </si>
  <si>
    <t>200 Latimer</t>
  </si>
  <si>
    <t>Craig Varner</t>
  </si>
  <si>
    <t>122 E. Newkirk Lane</t>
  </si>
  <si>
    <t>Kaelyn Sibley</t>
  </si>
  <si>
    <t>Aaron McCarty</t>
  </si>
  <si>
    <t>Residential Services</t>
  </si>
  <si>
    <t>Sheri McMahan</t>
  </si>
  <si>
    <t>FEBRUARY 2026</t>
  </si>
  <si>
    <t>TaKeiah Biddix</t>
  </si>
  <si>
    <t>119 Lawton Rd</t>
  </si>
  <si>
    <t>Braylea Wright</t>
  </si>
  <si>
    <t>Ryta Manning</t>
  </si>
  <si>
    <t>107 Ulena Lane</t>
  </si>
  <si>
    <t>Patreese Poore</t>
  </si>
  <si>
    <t>Yes - Turned in Notice - Not Eligible for rehire</t>
  </si>
  <si>
    <t>429 W Outer Dr</t>
  </si>
  <si>
    <t>Katlynn Frerichs</t>
  </si>
  <si>
    <t>TBD</t>
  </si>
  <si>
    <t>Robert Price</t>
  </si>
  <si>
    <t>131 Atlanta</t>
  </si>
  <si>
    <t>Esther Olatoye</t>
  </si>
  <si>
    <t>Heather Lumpkin</t>
  </si>
  <si>
    <t>Katie Jeffers</t>
  </si>
  <si>
    <t>Trinity West</t>
  </si>
  <si>
    <t>2290 Turnpike</t>
  </si>
  <si>
    <t>Bryan Taylor</t>
  </si>
  <si>
    <t>Jennifer Enderson</t>
  </si>
  <si>
    <t>VP</t>
  </si>
  <si>
    <t>Greta Fair</t>
  </si>
  <si>
    <t>Elyse Vanlandingham</t>
  </si>
  <si>
    <t>Finance Clerk</t>
  </si>
  <si>
    <t>Amara Madtes</t>
  </si>
  <si>
    <t>Acreditation Specialist</t>
  </si>
  <si>
    <t>MARCH 2026</t>
  </si>
  <si>
    <t>Ethan Reynolds</t>
  </si>
  <si>
    <t>1111 McAdoo</t>
  </si>
  <si>
    <t>Rebecca Smith</t>
  </si>
  <si>
    <t>Rex</t>
  </si>
  <si>
    <t>Frederick Osborne</t>
  </si>
  <si>
    <t>Hunter Davis</t>
  </si>
  <si>
    <t>Kelly Dustan</t>
  </si>
  <si>
    <t xml:space="preserve">Tanthya Bigham </t>
  </si>
  <si>
    <t>813 NW Sapphire</t>
  </si>
  <si>
    <t>Resignation without Notice</t>
  </si>
  <si>
    <t>Dustan Kelley</t>
  </si>
  <si>
    <t>Tyreese Langston</t>
  </si>
  <si>
    <t>Dallas Russel</t>
  </si>
  <si>
    <t>Tiffin</t>
  </si>
  <si>
    <t>Marilyn Drake</t>
  </si>
  <si>
    <t>100 Thelma Road</t>
  </si>
  <si>
    <t>Justin Williams</t>
  </si>
  <si>
    <t>345 W Outer</t>
  </si>
  <si>
    <t>Andria Cassel</t>
  </si>
  <si>
    <t>Emily Ralston</t>
  </si>
  <si>
    <t>Robert Bunch Road</t>
  </si>
  <si>
    <t>Jennie England</t>
  </si>
  <si>
    <t>Robert Jordan</t>
  </si>
  <si>
    <t>Was not included in numbers so do not count below...let's discuss</t>
  </si>
  <si>
    <t>APRIL 2026</t>
  </si>
  <si>
    <t>Tiffany DeBoer</t>
  </si>
  <si>
    <t>Behavioral Health</t>
  </si>
  <si>
    <t>Megan Miller</t>
  </si>
  <si>
    <t>Alexandra Jones</t>
  </si>
  <si>
    <t>Selah Waterhouse</t>
  </si>
  <si>
    <t>Monica Phillips</t>
  </si>
  <si>
    <t>James Bolden</t>
  </si>
  <si>
    <t>Brittany Boone</t>
  </si>
  <si>
    <t>Hope Lane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</si>
  <si>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</si>
  <si>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</si>
  <si>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</si>
  <si>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</si>
  <si>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</si>
  <si>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</si>
  <si>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</si>
  <si>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</si>
  <si>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EMPLOYEE SEPARATION SUMMARY — FY 2025</t>
  </si>
  <si>
    <t>January 2025 — December 2025  |  Emory Valley Center</t>
  </si>
  <si>
    <t>JANUARY 2025</t>
  </si>
  <si>
    <t>Tiffany Rose</t>
  </si>
  <si>
    <t>9 years 11 months</t>
  </si>
  <si>
    <t xml:space="preserve">D </t>
  </si>
  <si>
    <t>723 Emory Valley</t>
  </si>
  <si>
    <t>Kim Jeffers-Whitaker</t>
  </si>
  <si>
    <t>Juliane Rendall</t>
  </si>
  <si>
    <t>4 years 11 months</t>
  </si>
  <si>
    <t>ELC</t>
  </si>
  <si>
    <t>Kiersten Wilkerson</t>
  </si>
  <si>
    <t>Jon Lomax</t>
  </si>
  <si>
    <t>7 days</t>
  </si>
  <si>
    <t>Wadsworth</t>
  </si>
  <si>
    <t>Kendray Loy-Coon</t>
  </si>
  <si>
    <t>Kendra Loy-Coon</t>
  </si>
  <si>
    <t>7 years 11 months</t>
  </si>
  <si>
    <t>Four Mile</t>
  </si>
  <si>
    <t>Gabriella Kennedy</t>
  </si>
  <si>
    <t>11 days</t>
  </si>
  <si>
    <t>McAdoo</t>
  </si>
  <si>
    <t>Jillina Rogers</t>
  </si>
  <si>
    <t>7 months</t>
  </si>
  <si>
    <t>Thelma</t>
  </si>
  <si>
    <t>Bethany Quiggle</t>
  </si>
  <si>
    <t>Kelci Wiggins</t>
  </si>
  <si>
    <t>5 months</t>
  </si>
  <si>
    <t>LLL</t>
  </si>
  <si>
    <t>Brittany Webb</t>
  </si>
  <si>
    <t>Abby Morlock</t>
  </si>
  <si>
    <t>1 year &amp; 1 month</t>
  </si>
  <si>
    <t>Dalton</t>
  </si>
  <si>
    <t>Orian Miller</t>
  </si>
  <si>
    <t>Kayla Sullivan</t>
  </si>
  <si>
    <t>Sapphire</t>
  </si>
  <si>
    <t>Melissa Jackson</t>
  </si>
  <si>
    <t>Emily West</t>
  </si>
  <si>
    <t>1 month</t>
  </si>
  <si>
    <t>Abigail Donald</t>
  </si>
  <si>
    <t>Jill Battersby</t>
  </si>
  <si>
    <t>2 years</t>
  </si>
  <si>
    <t>Paula Winn</t>
  </si>
  <si>
    <t>1 year</t>
  </si>
  <si>
    <t>Robert Bunch</t>
  </si>
  <si>
    <t xml:space="preserve">Fred Terry </t>
  </si>
  <si>
    <t>114 Herbert Heidel</t>
  </si>
  <si>
    <t>Abby Dean</t>
  </si>
  <si>
    <t>3 months</t>
  </si>
  <si>
    <t>FEBRUARY 2025</t>
  </si>
  <si>
    <t>Aaron Rutherford</t>
  </si>
  <si>
    <t>2 years &amp; 10 months</t>
  </si>
  <si>
    <t>Alger</t>
  </si>
  <si>
    <t>Dawn Williams</t>
  </si>
  <si>
    <t>2 years &amp; 5 months</t>
  </si>
  <si>
    <t>Behavioral Health/Clinical Services</t>
  </si>
  <si>
    <t>Crystal Hicks</t>
  </si>
  <si>
    <t>Trixy Huefner</t>
  </si>
  <si>
    <t>3 days</t>
  </si>
  <si>
    <t>Yajaria Herrara</t>
  </si>
  <si>
    <t xml:space="preserve">3 weeks </t>
  </si>
  <si>
    <t>Floater</t>
  </si>
  <si>
    <t>Djuana Reed</t>
  </si>
  <si>
    <t>1 year and 5 months</t>
  </si>
  <si>
    <t>Remote</t>
  </si>
  <si>
    <t>Aaron Price</t>
  </si>
  <si>
    <t>Elizabeth Harris</t>
  </si>
  <si>
    <t>8 months</t>
  </si>
  <si>
    <t>Amber Carrol</t>
  </si>
  <si>
    <t>11 months</t>
  </si>
  <si>
    <t>BP 702</t>
  </si>
  <si>
    <t>Alishia Jones</t>
  </si>
  <si>
    <t>Jessica Solis</t>
  </si>
  <si>
    <t>Regina Wilson</t>
  </si>
  <si>
    <t>Kim Sharp</t>
  </si>
  <si>
    <t>10 Years</t>
  </si>
  <si>
    <t>Lower Valley</t>
  </si>
  <si>
    <t>Misty Mayes</t>
  </si>
  <si>
    <t>13 days</t>
  </si>
  <si>
    <t>Annie McAmis</t>
  </si>
  <si>
    <t>Hamilton B</t>
  </si>
  <si>
    <t>Mackayla Smith</t>
  </si>
  <si>
    <t>Zoey Spencer</t>
  </si>
  <si>
    <t>4 months</t>
  </si>
  <si>
    <t>Sarah Vega</t>
  </si>
  <si>
    <t xml:space="preserve">Livingston/196 Latimer </t>
  </si>
  <si>
    <t>MARCH 2025</t>
  </si>
  <si>
    <t>Christine Bryson</t>
  </si>
  <si>
    <t>1 year and 3 months</t>
  </si>
  <si>
    <t>Ashanti Avila-Ramos</t>
  </si>
  <si>
    <t>Charlsea Burton</t>
  </si>
  <si>
    <t xml:space="preserve">Merari Morales  </t>
  </si>
  <si>
    <t>9 months</t>
  </si>
  <si>
    <t>Savanna Daniels</t>
  </si>
  <si>
    <t>Naseen Safa</t>
  </si>
  <si>
    <t>8 days</t>
  </si>
  <si>
    <t>1113 McAdoo</t>
  </si>
  <si>
    <t>Madison Bourff</t>
  </si>
  <si>
    <t>2 months</t>
  </si>
  <si>
    <t>Becky Godsey</t>
  </si>
  <si>
    <t>13 Years</t>
  </si>
  <si>
    <t>NA</t>
  </si>
  <si>
    <t>Layla Fisher</t>
  </si>
  <si>
    <t>Kaylia Colwell</t>
  </si>
  <si>
    <t xml:space="preserve">1 month </t>
  </si>
  <si>
    <t>Hamilton A</t>
  </si>
  <si>
    <t>Brennan Nicholson</t>
  </si>
  <si>
    <t>10 months</t>
  </si>
  <si>
    <t>Dusty Disney</t>
  </si>
  <si>
    <t>3 years</t>
  </si>
  <si>
    <t xml:space="preserve">Tyler Bouchelle </t>
  </si>
  <si>
    <t>Destiny Kelly</t>
  </si>
  <si>
    <t>1 yr 3 months</t>
  </si>
  <si>
    <t>Workforce Innovation</t>
  </si>
  <si>
    <t>Miranda Kelley</t>
  </si>
  <si>
    <t xml:space="preserve">Kaelynn Godfrey </t>
  </si>
  <si>
    <t>APRIL 2025</t>
  </si>
  <si>
    <t>Wilondia “Benard” Musukwa </t>
  </si>
  <si>
    <t>Less than 2 weeks</t>
  </si>
  <si>
    <t xml:space="preserve">Rebecca Smith </t>
  </si>
  <si>
    <t xml:space="preserve">Melinda Bell </t>
  </si>
  <si>
    <t>Hope Jenkins</t>
  </si>
  <si>
    <t xml:space="preserve">3 months </t>
  </si>
  <si>
    <t xml:space="preserve">Northwestern </t>
  </si>
  <si>
    <t xml:space="preserve">Michelle Shafer </t>
  </si>
  <si>
    <t>Jenny Wagner</t>
  </si>
  <si>
    <t>Joni Hodge</t>
  </si>
  <si>
    <t xml:space="preserve">9 years </t>
  </si>
  <si>
    <t xml:space="preserve">EI </t>
  </si>
  <si>
    <t>Anna Moore</t>
  </si>
  <si>
    <t xml:space="preserve">Kimberly Bowman </t>
  </si>
  <si>
    <t>Human Resources</t>
  </si>
  <si>
    <t>Kim Whitaker</t>
  </si>
  <si>
    <t xml:space="preserve">Kandi Miller </t>
  </si>
  <si>
    <t xml:space="preserve">1yr </t>
  </si>
  <si>
    <t xml:space="preserve">Livingston </t>
  </si>
  <si>
    <t>MAY 2025</t>
  </si>
  <si>
    <t>Caitlin Overholser</t>
  </si>
  <si>
    <t xml:space="preserve">Coogie Pearson </t>
  </si>
  <si>
    <t xml:space="preserve">1111 McAdoo </t>
  </si>
  <si>
    <t>Andrew Ramsey</t>
  </si>
  <si>
    <t xml:space="preserve">2 yrs </t>
  </si>
  <si>
    <t>ECF Services</t>
  </si>
  <si>
    <t>Maranda Kelley</t>
  </si>
  <si>
    <t>Ryan Douglas</t>
  </si>
  <si>
    <t xml:space="preserve">141 Wainwright </t>
  </si>
  <si>
    <t>Cory Depuy</t>
  </si>
  <si>
    <t>Raeann Brink </t>
  </si>
  <si>
    <t>9 years</t>
  </si>
  <si>
    <t xml:space="preserve">George Yost </t>
  </si>
  <si>
    <t>1 yr 11 months</t>
  </si>
  <si>
    <t>Residential</t>
  </si>
  <si>
    <t>Keelie Greene</t>
  </si>
  <si>
    <t xml:space="preserve">Hamilton A </t>
  </si>
  <si>
    <t>Cathy Lackey</t>
  </si>
  <si>
    <t>1 yr 10 months</t>
  </si>
  <si>
    <t xml:space="preserve">On Leave </t>
  </si>
  <si>
    <t xml:space="preserve">Madeline Tackett </t>
  </si>
  <si>
    <t>Allyssa Chadwick</t>
  </si>
  <si>
    <t xml:space="preserve">Ashanti Avila-Ramos </t>
  </si>
  <si>
    <t xml:space="preserve">104 East Dalton </t>
  </si>
  <si>
    <t xml:space="preserve">Jessica Burkhead </t>
  </si>
  <si>
    <t xml:space="preserve">Kiersten Wilkerson </t>
  </si>
  <si>
    <t xml:space="preserve">Heather Terry </t>
  </si>
  <si>
    <t>Chase Davenport</t>
  </si>
  <si>
    <t>Joeusha Soles</t>
  </si>
  <si>
    <t xml:space="preserve">Miranda Kelley </t>
  </si>
  <si>
    <t xml:space="preserve">Amber Brooks </t>
  </si>
  <si>
    <t>1 yr 2 months</t>
  </si>
  <si>
    <t>u</t>
  </si>
  <si>
    <t xml:space="preserve">ELC </t>
  </si>
  <si>
    <t xml:space="preserve">Kirsten Wilkerson </t>
  </si>
  <si>
    <t>Dustin Sizemore</t>
  </si>
  <si>
    <t xml:space="preserve">207 Wadsworth DSP </t>
  </si>
  <si>
    <t xml:space="preserve">Mayra Alvarado </t>
  </si>
  <si>
    <t>1 1/2 month</t>
  </si>
  <si>
    <t xml:space="preserve">Hamilton B </t>
  </si>
  <si>
    <t xml:space="preserve">Michelle LaVechia </t>
  </si>
  <si>
    <t xml:space="preserve">BP 702 </t>
  </si>
  <si>
    <t xml:space="preserve">Sheila Huskey </t>
  </si>
  <si>
    <t xml:space="preserve">Cheryl Overholt </t>
  </si>
  <si>
    <t xml:space="preserve">200 Latimer </t>
  </si>
  <si>
    <t xml:space="preserve">Dustan Kelley </t>
  </si>
  <si>
    <t>JUNE 2025</t>
  </si>
  <si>
    <t xml:space="preserve">Alishia Jones </t>
  </si>
  <si>
    <t xml:space="preserve">2 yrs 11 months </t>
  </si>
  <si>
    <t>723 Emory Valley Rd</t>
  </si>
  <si>
    <t>Jorghette Phanthavong</t>
  </si>
  <si>
    <t xml:space="preserve">8 months </t>
  </si>
  <si>
    <t xml:space="preserve">N </t>
  </si>
  <si>
    <t xml:space="preserve">James Cummings </t>
  </si>
  <si>
    <t>Zy’ona Nelson  </t>
  </si>
  <si>
    <t xml:space="preserve">361 West Outer </t>
  </si>
  <si>
    <t>Viola Wharton</t>
  </si>
  <si>
    <t xml:space="preserve">1 yr </t>
  </si>
  <si>
    <t xml:space="preserve">Human Resources </t>
  </si>
  <si>
    <t>JULY 2025</t>
  </si>
  <si>
    <t xml:space="preserve">Heather Bradburn </t>
  </si>
  <si>
    <t>EI-Pilot Program</t>
  </si>
  <si>
    <t xml:space="preserve">Jessica Oliver </t>
  </si>
  <si>
    <t>131 Wadsworth</t>
  </si>
  <si>
    <t>Michelle Shafer</t>
  </si>
  <si>
    <t xml:space="preserve">Jennifer Cummings </t>
  </si>
  <si>
    <t xml:space="preserve">Natalie Harper </t>
  </si>
  <si>
    <t>SEPARATIONS BY JOB</t>
  </si>
  <si>
    <t>Monica Turner</t>
  </si>
  <si>
    <t>Professional Services</t>
  </si>
  <si>
    <t>Michelle West</t>
  </si>
  <si>
    <t>Director</t>
  </si>
  <si>
    <t>Abbigail Renner</t>
  </si>
  <si>
    <t xml:space="preserve">Julia Nelson </t>
  </si>
  <si>
    <t xml:space="preserve">Residential/Lower Valley </t>
  </si>
  <si>
    <t>Andria Cassell</t>
  </si>
  <si>
    <t>Andrea Jones</t>
  </si>
  <si>
    <t xml:space="preserve">Megan Loy </t>
  </si>
  <si>
    <t xml:space="preserve">2290 Turnpike </t>
  </si>
  <si>
    <t xml:space="preserve">Savanna Harrison </t>
  </si>
  <si>
    <t>Holly Jones</t>
  </si>
  <si>
    <t xml:space="preserve">Residential/Robert Bunch </t>
  </si>
  <si>
    <t xml:space="preserve">Jennie England </t>
  </si>
  <si>
    <t xml:space="preserve">John Rose </t>
  </si>
  <si>
    <t>Annie Carbajal</t>
  </si>
  <si>
    <t xml:space="preserve">Danine Graham </t>
  </si>
  <si>
    <t>Erica Fox</t>
  </si>
  <si>
    <t xml:space="preserve">Superimposed/Residential </t>
  </si>
  <si>
    <t xml:space="preserve">Cara Herrell </t>
  </si>
  <si>
    <t>Michele West</t>
  </si>
  <si>
    <t>AUGUST 2025</t>
  </si>
  <si>
    <t xml:space="preserve">Sharon Hill </t>
  </si>
  <si>
    <t xml:space="preserve">Darcy Johnson </t>
  </si>
  <si>
    <t xml:space="preserve">Micheala Smith </t>
  </si>
  <si>
    <t>John Zerga</t>
  </si>
  <si>
    <t xml:space="preserve">Residential </t>
  </si>
  <si>
    <t>Jessie Miles</t>
  </si>
  <si>
    <t xml:space="preserve">Savanna Daniels Harrison </t>
  </si>
  <si>
    <t xml:space="preserve">Turnpike/ </t>
  </si>
  <si>
    <t>Breanna Hutcheson</t>
  </si>
  <si>
    <t xml:space="preserve">2292 Turnpike </t>
  </si>
  <si>
    <t>Molly Decker</t>
  </si>
  <si>
    <t xml:space="preserve">Brandi Neikirk </t>
  </si>
  <si>
    <t xml:space="preserve">Family Support </t>
  </si>
  <si>
    <t xml:space="preserve">Regina Wilson </t>
  </si>
  <si>
    <t xml:space="preserve">Shelby Bowlin </t>
  </si>
  <si>
    <t>Meagan Peacock</t>
  </si>
  <si>
    <t xml:space="preserve">Brittany Webb </t>
  </si>
  <si>
    <t>Brittany Biggerstaff</t>
  </si>
  <si>
    <t>Cathleen Robinson</t>
  </si>
  <si>
    <t>Hannah Turner</t>
  </si>
  <si>
    <t xml:space="preserve">Heather Cox </t>
  </si>
  <si>
    <t xml:space="preserve">Jennifer Jackson </t>
  </si>
  <si>
    <t xml:space="preserve">Beverly Smith </t>
  </si>
  <si>
    <t>SEPTEMBER 2025</t>
  </si>
  <si>
    <t xml:space="preserve">Jasmine Holsopple </t>
  </si>
  <si>
    <t>Alex Gadd</t>
  </si>
  <si>
    <t>Brittany Cox</t>
  </si>
  <si>
    <t xml:space="preserve">Kayla Lane </t>
  </si>
  <si>
    <t>Nonresponsive</t>
  </si>
  <si>
    <t xml:space="preserve">Alana Jones </t>
  </si>
  <si>
    <t>194 Latimer</t>
  </si>
  <si>
    <t>Marianne King</t>
  </si>
  <si>
    <t>Northwestern</t>
  </si>
  <si>
    <t>John Murray</t>
  </si>
  <si>
    <t>Meghan Flanary</t>
  </si>
  <si>
    <t>Megan Harold</t>
  </si>
  <si>
    <t>Jessica Lewellyn</t>
  </si>
  <si>
    <t>Mayra Alvarado</t>
  </si>
  <si>
    <t>Cory DePuy</t>
  </si>
  <si>
    <t>Emily Kelley</t>
  </si>
  <si>
    <t>OCTOBER 2025</t>
  </si>
  <si>
    <t>Connor Mitchell</t>
  </si>
  <si>
    <t>Joshua Woods</t>
  </si>
  <si>
    <t>Shauwna Gicking</t>
  </si>
  <si>
    <t>Workfoce Innovation</t>
  </si>
  <si>
    <t>Out of the Country for 2 weeks</t>
  </si>
  <si>
    <t>Montana Tatham</t>
  </si>
  <si>
    <t>813 Sapphire Rd</t>
  </si>
  <si>
    <t>Mya Simmons</t>
  </si>
  <si>
    <t>Delia Briceno</t>
  </si>
  <si>
    <t xml:space="preserve">10/10/2025- no answer </t>
  </si>
  <si>
    <t>Detrick Grove</t>
  </si>
  <si>
    <t xml:space="preserve">Emailed, # disconnected </t>
  </si>
  <si>
    <t>Alexandra Bean</t>
  </si>
  <si>
    <t>289 Royce, #207</t>
  </si>
  <si>
    <t xml:space="preserve">Emailed, left vm </t>
  </si>
  <si>
    <t>Hannah Broadus</t>
  </si>
  <si>
    <t>Jordan Mills</t>
  </si>
  <si>
    <t xml:space="preserve">194 Latimer </t>
  </si>
  <si>
    <t xml:space="preserve">Abigail Morlock </t>
  </si>
  <si>
    <t>Jessica Taylor</t>
  </si>
  <si>
    <t>BP 911</t>
  </si>
  <si>
    <t>Calvin Barber</t>
  </si>
  <si>
    <t>Linda Thompson</t>
  </si>
  <si>
    <t>Royce 207</t>
  </si>
  <si>
    <t>NOVEMBER 2025</t>
  </si>
  <si>
    <t>Emilie Damos</t>
  </si>
  <si>
    <t>Emily Comeaux</t>
  </si>
  <si>
    <t>Michelle Whitt</t>
  </si>
  <si>
    <t>723 Emory Valley Road</t>
  </si>
  <si>
    <t>Nichole Brooks</t>
  </si>
  <si>
    <t>Tammy Smiddy</t>
  </si>
  <si>
    <t>Ashely Fee</t>
  </si>
  <si>
    <t>Chandler Glover</t>
  </si>
  <si>
    <t>Pamela Hargis</t>
  </si>
  <si>
    <t>Krista Mayfield</t>
  </si>
  <si>
    <t>Jonni Ravyn Smelcer</t>
  </si>
  <si>
    <t>104 E Dalton</t>
  </si>
  <si>
    <t>Received Text</t>
  </si>
  <si>
    <t>DECEMBER 2025</t>
  </si>
  <si>
    <t>Ashley Knight</t>
  </si>
  <si>
    <t>Charlie Rucker</t>
  </si>
  <si>
    <t>361 W Outer</t>
  </si>
  <si>
    <t>Dustin Kelley</t>
  </si>
  <si>
    <t>Cerra Merrick</t>
  </si>
  <si>
    <t>Corie Reynolds</t>
  </si>
  <si>
    <t>Delio Briceno</t>
  </si>
  <si>
    <t>Sapphire/194 Latimer</t>
  </si>
  <si>
    <t>EMPLOYEE SEPARATION SUMMARY — FY 2024</t>
  </si>
  <si>
    <t>January 2024 — December 2024  |  Emory Valley Center</t>
  </si>
  <si>
    <t>JANUARY 2024</t>
  </si>
  <si>
    <t>Kerri Shelton</t>
  </si>
  <si>
    <t>1 year and 8 months</t>
  </si>
  <si>
    <t>Cade Crowe</t>
  </si>
  <si>
    <t>6 months</t>
  </si>
  <si>
    <t>Paul Nipper</t>
  </si>
  <si>
    <t>1/15/2024 (1year and 1 month)</t>
  </si>
  <si>
    <t>196 Latimer</t>
  </si>
  <si>
    <t>Kayla Birdswell</t>
  </si>
  <si>
    <t xml:space="preserve">James Leighner </t>
  </si>
  <si>
    <t>1/15/2024 (5 months)</t>
  </si>
  <si>
    <t>Atlanta</t>
  </si>
  <si>
    <t>Daisy Pratt</t>
  </si>
  <si>
    <t>23 years</t>
  </si>
  <si>
    <t>Worforce</t>
  </si>
  <si>
    <t>Miranda McClain</t>
  </si>
  <si>
    <t>Fila Munuo</t>
  </si>
  <si>
    <t>5 years and 1 month</t>
  </si>
  <si>
    <t>Sean Green</t>
  </si>
  <si>
    <t>1/29/2024 (8 years and 5 months)</t>
  </si>
  <si>
    <t>162 Wadsworth</t>
  </si>
  <si>
    <t>Cardiana Davis</t>
  </si>
  <si>
    <t>3 years and 7 months</t>
  </si>
  <si>
    <t>Ulena</t>
  </si>
  <si>
    <t>Sherri McMahan</t>
  </si>
  <si>
    <t>Cynthia Gillars</t>
  </si>
  <si>
    <t xml:space="preserve">2 years   </t>
  </si>
  <si>
    <t>Carol Faulkner</t>
  </si>
  <si>
    <t>1 year and 6 months</t>
  </si>
  <si>
    <t>702 Bristol</t>
  </si>
  <si>
    <t>Christina Westernman</t>
  </si>
  <si>
    <t>2 1/2 months</t>
  </si>
  <si>
    <t>Patricia Gordon</t>
  </si>
  <si>
    <t>2 years and 3 months</t>
  </si>
  <si>
    <t>Lesa Alcorn</t>
  </si>
  <si>
    <t>196 Laimter</t>
  </si>
  <si>
    <t>Melissa Lessard</t>
  </si>
  <si>
    <t>Kadie Burke</t>
  </si>
  <si>
    <t>Tuskegee</t>
  </si>
  <si>
    <t>Casey Chumley</t>
  </si>
  <si>
    <t>Maiara Thomas</t>
  </si>
  <si>
    <t>7nmonths</t>
  </si>
  <si>
    <t>Jerr Dantzler</t>
  </si>
  <si>
    <t>5 1/2 months</t>
  </si>
  <si>
    <t>207 Wadsworth</t>
  </si>
  <si>
    <t>Christopher Ouma</t>
  </si>
  <si>
    <t>2 years and 4 months</t>
  </si>
  <si>
    <t>Estabrook</t>
  </si>
  <si>
    <t>Autumn Burton</t>
  </si>
  <si>
    <t>1 year 4 months</t>
  </si>
  <si>
    <t>Brealexandria Bryan</t>
  </si>
  <si>
    <t>6 weeks</t>
  </si>
  <si>
    <t>Salem/Ulena</t>
  </si>
  <si>
    <t>Sasha Russell</t>
  </si>
  <si>
    <t>Tucker/Estabrook</t>
  </si>
  <si>
    <t>Daniel Cobble</t>
  </si>
  <si>
    <t>Brian Taylor</t>
  </si>
  <si>
    <t>Lucas Baker</t>
  </si>
  <si>
    <t>Rebecca Kern</t>
  </si>
  <si>
    <t>FEBRUARY 2024</t>
  </si>
  <si>
    <t>Anthony Lado</t>
  </si>
  <si>
    <t>Angel Schlau</t>
  </si>
  <si>
    <t>2 years and 8 months</t>
  </si>
  <si>
    <t>911 Bristol Park</t>
  </si>
  <si>
    <t>Kayla Birdsell</t>
  </si>
  <si>
    <t>Patrick McDonald</t>
  </si>
  <si>
    <t>10 years and 6 months</t>
  </si>
  <si>
    <t>Employment Services</t>
  </si>
  <si>
    <t>Miranda McLain</t>
  </si>
  <si>
    <t>Felisha Byrd</t>
  </si>
  <si>
    <t>2 years and 2 months</t>
  </si>
  <si>
    <t>Lita Byrd</t>
  </si>
  <si>
    <t>2 years and 5 months</t>
  </si>
  <si>
    <t>Leah Shurden</t>
  </si>
  <si>
    <t>Rosemary Schenck</t>
  </si>
  <si>
    <t>6 years and 9 months</t>
  </si>
  <si>
    <t>Lydia Bowling</t>
  </si>
  <si>
    <t>Lower Valley/Estabrook</t>
  </si>
  <si>
    <t>Pamela Moore</t>
  </si>
  <si>
    <t>4 years and 8 months</t>
  </si>
  <si>
    <t>Kas</t>
  </si>
  <si>
    <t>Donna Vonderalage</t>
  </si>
  <si>
    <t>14 years and 3 months</t>
  </si>
  <si>
    <t>Summer Newport</t>
  </si>
  <si>
    <t>3 weeks</t>
  </si>
  <si>
    <t>MARCH 2024</t>
  </si>
  <si>
    <t>Katie Wood</t>
  </si>
  <si>
    <t>3 years and 9 months</t>
  </si>
  <si>
    <t>Another Job</t>
  </si>
  <si>
    <t>Brittany Smith</t>
  </si>
  <si>
    <t>Kaitlyn Chandler</t>
  </si>
  <si>
    <t>Staff late to shift</t>
  </si>
  <si>
    <t>Erica Webb</t>
  </si>
  <si>
    <t>Superimposed Schedule conflict</t>
  </si>
  <si>
    <t>Halie Campbell</t>
  </si>
  <si>
    <t>Violation of Company Policy</t>
  </si>
  <si>
    <t>Zackary Cordero</t>
  </si>
  <si>
    <t>2.5 months</t>
  </si>
  <si>
    <t>None given</t>
  </si>
  <si>
    <t>Mandy Denton</t>
  </si>
  <si>
    <t>Not enough hours</t>
  </si>
  <si>
    <t>Alexis Morris</t>
  </si>
  <si>
    <t>1 week</t>
  </si>
  <si>
    <t>Stopped training/No Call No Show</t>
  </si>
  <si>
    <t xml:space="preserve">Christina Samples </t>
  </si>
  <si>
    <t>1 year and 6  months</t>
  </si>
  <si>
    <t>Bridget Dalton</t>
  </si>
  <si>
    <t>Going back to school</t>
  </si>
  <si>
    <t>Kathy Hamby</t>
  </si>
  <si>
    <t>Carol Morse</t>
  </si>
  <si>
    <t>Discharged- LOA denied</t>
  </si>
  <si>
    <t>Susan Seber</t>
  </si>
  <si>
    <t>APRIL 2024</t>
  </si>
  <si>
    <t>Renee Deason</t>
  </si>
  <si>
    <t>Kaleb Selvidge</t>
  </si>
  <si>
    <t>5 years and 4 months</t>
  </si>
  <si>
    <t>Jen Johnson</t>
  </si>
  <si>
    <t>Donna Pruitt-Brawner</t>
  </si>
  <si>
    <t>702 BP</t>
  </si>
  <si>
    <t>Anna Holland</t>
  </si>
  <si>
    <t>2 weeks</t>
  </si>
  <si>
    <t>N. Purdue</t>
  </si>
  <si>
    <t>Christina Foster</t>
  </si>
  <si>
    <t>Sierra Rowe</t>
  </si>
  <si>
    <t>Amber Funk</t>
  </si>
  <si>
    <t>Donna Heath</t>
  </si>
  <si>
    <t>427 Outer</t>
  </si>
  <si>
    <t>Fatima Aian</t>
  </si>
  <si>
    <t>Shayla Wright</t>
  </si>
  <si>
    <t>Northestern</t>
  </si>
  <si>
    <t>Cheyenne Stevens</t>
  </si>
  <si>
    <t>April Coffman</t>
  </si>
  <si>
    <t>Trunpike A</t>
  </si>
  <si>
    <t>MAY 2024</t>
  </si>
  <si>
    <t>David Minarik</t>
  </si>
  <si>
    <t>Willow Run</t>
  </si>
  <si>
    <t>Cali Ridings</t>
  </si>
  <si>
    <t>141 Wainwright</t>
  </si>
  <si>
    <t>Sherri McMahon</t>
  </si>
  <si>
    <t>Breanna Baily</t>
  </si>
  <si>
    <t>Jadaya Felton</t>
  </si>
  <si>
    <t>1 year and 11 months</t>
  </si>
  <si>
    <t xml:space="preserve"> Rebecca Smith</t>
  </si>
  <si>
    <t>Shaelynn Wilson</t>
  </si>
  <si>
    <t>1 year and 10months</t>
  </si>
  <si>
    <t>Workforce Development</t>
  </si>
  <si>
    <t>Robin Spencer</t>
  </si>
  <si>
    <t>Dustin Phillips</t>
  </si>
  <si>
    <t>Facilities</t>
  </si>
  <si>
    <t>Kevin Hicks</t>
  </si>
  <si>
    <t>Emily Vega</t>
  </si>
  <si>
    <t>164 Wadsworth</t>
  </si>
  <si>
    <t>Belinda Ferguson</t>
  </si>
  <si>
    <t xml:space="preserve">Tamara Robinson </t>
  </si>
  <si>
    <t>Herbert Heidel</t>
  </si>
  <si>
    <t>Ambriana Arnold</t>
  </si>
  <si>
    <t>Margie Carter</t>
  </si>
  <si>
    <t>911 BP/207 Wadsworth</t>
  </si>
  <si>
    <t>Breenan McMurray</t>
  </si>
  <si>
    <t>Claudia Eastland</t>
  </si>
  <si>
    <t>Jeninne Amburgey</t>
  </si>
  <si>
    <t>Kristen Coley</t>
  </si>
  <si>
    <t>N. Purude</t>
  </si>
  <si>
    <t>Faustin Busane</t>
  </si>
  <si>
    <t>Syble Hester</t>
  </si>
  <si>
    <t>JUNE 2024</t>
  </si>
  <si>
    <t>Erica Peters</t>
  </si>
  <si>
    <t>Gabriela Minor</t>
  </si>
  <si>
    <t>Charisma Nelson</t>
  </si>
  <si>
    <t>Brennan McMurray</t>
  </si>
  <si>
    <t>Sitaly Bailey</t>
  </si>
  <si>
    <t>Kaylynn Willis</t>
  </si>
  <si>
    <t>Chaunoa Austin</t>
  </si>
  <si>
    <t>Robert Damen</t>
  </si>
  <si>
    <t>Maria Gamache</t>
  </si>
  <si>
    <t>Jonah Mesa</t>
  </si>
  <si>
    <t>Rebecca Ford</t>
  </si>
  <si>
    <t>Ieshia Presnell</t>
  </si>
  <si>
    <t>Lindsey Weatherford</t>
  </si>
  <si>
    <t>JULY 2024</t>
  </si>
  <si>
    <t>Antonio Cleveland</t>
  </si>
  <si>
    <t>3 years and 6 months</t>
  </si>
  <si>
    <t>Superimposed</t>
  </si>
  <si>
    <t>Carmen Webb</t>
  </si>
  <si>
    <t>3 and 1/2 months</t>
  </si>
  <si>
    <t>ECF</t>
  </si>
  <si>
    <t>Calleigh Leighner</t>
  </si>
  <si>
    <t>Destiny Crisswell</t>
  </si>
  <si>
    <t>Michelle Vaught</t>
  </si>
  <si>
    <t>11 1/2 months</t>
  </si>
  <si>
    <t>Chris McCoy</t>
  </si>
  <si>
    <t>Jermaine Reynolds</t>
  </si>
  <si>
    <t>2 and 1/2 months</t>
  </si>
  <si>
    <t>Tim Stewart</t>
  </si>
  <si>
    <t>Briana Kirkland</t>
  </si>
  <si>
    <t>Hannah Roberston</t>
  </si>
  <si>
    <t>Markee Scales</t>
  </si>
  <si>
    <t>Miracle Stewart</t>
  </si>
  <si>
    <t>4 weeks</t>
  </si>
  <si>
    <t>Jessica Borsick</t>
  </si>
  <si>
    <t>AUGUST 2024</t>
  </si>
  <si>
    <t>Blasia Lackey</t>
  </si>
  <si>
    <t>Christopher Ouoma</t>
  </si>
  <si>
    <t>2 years and 11 months</t>
  </si>
  <si>
    <t>Cyndey Burris</t>
  </si>
  <si>
    <t>3 years and 10 months</t>
  </si>
  <si>
    <t>George Pace</t>
  </si>
  <si>
    <t>Connie Wright</t>
  </si>
  <si>
    <t>Gari Miller</t>
  </si>
  <si>
    <t>3 years and 2 months</t>
  </si>
  <si>
    <t>Patrese Poore</t>
  </si>
  <si>
    <t>Heather Marian</t>
  </si>
  <si>
    <t>Eddie Godsey</t>
  </si>
  <si>
    <t>Latimer</t>
  </si>
  <si>
    <t>Latisha Welles</t>
  </si>
  <si>
    <t>Jerriah Love</t>
  </si>
  <si>
    <t>Elias Cook</t>
  </si>
  <si>
    <t>1 months</t>
  </si>
  <si>
    <t>Sheila Booker</t>
  </si>
  <si>
    <t>Ryan Spencer</t>
  </si>
  <si>
    <t>5 weeks</t>
  </si>
  <si>
    <t>Joel Crawford</t>
  </si>
  <si>
    <t>8 years and 1 month</t>
  </si>
  <si>
    <t>Amelia Stubbs</t>
  </si>
  <si>
    <t>1 year 6 months</t>
  </si>
  <si>
    <t>207 Royce</t>
  </si>
  <si>
    <t>SEPTEMBER 2024</t>
  </si>
  <si>
    <t>Haylee Potter</t>
  </si>
  <si>
    <t>Lindsey Pruitt</t>
  </si>
  <si>
    <t>361 Outer</t>
  </si>
  <si>
    <t>Brenna Young</t>
  </si>
  <si>
    <t xml:space="preserve">1 year    </t>
  </si>
  <si>
    <t>Sophia Cook</t>
  </si>
  <si>
    <t>Jacob Bergey</t>
  </si>
  <si>
    <t>7 1/2 months</t>
  </si>
  <si>
    <t xml:space="preserve">Dalton </t>
  </si>
  <si>
    <t>James Crawford</t>
  </si>
  <si>
    <t>Meghan Garrett</t>
  </si>
  <si>
    <t>Tyishnia Willis</t>
  </si>
  <si>
    <t>OCTOBER 2024</t>
  </si>
  <si>
    <t>Lucas Daughtery</t>
  </si>
  <si>
    <t>3 months and 3 weeks</t>
  </si>
  <si>
    <t>Anne Hawn</t>
  </si>
  <si>
    <t>2 months and 2 weeks</t>
  </si>
  <si>
    <t>Four Mile Peaks</t>
  </si>
  <si>
    <t>Kendra Lloyd</t>
  </si>
  <si>
    <t>Rayvn Smelcher</t>
  </si>
  <si>
    <t>Dalton and 429 Outer</t>
  </si>
  <si>
    <t>Madison Dalton</t>
  </si>
  <si>
    <t>Amanda Miller</t>
  </si>
  <si>
    <t>Ulena, Estabrook</t>
  </si>
  <si>
    <t>Tara Williams</t>
  </si>
  <si>
    <t>1 year 2 months</t>
  </si>
  <si>
    <t>Julia McCray</t>
  </si>
  <si>
    <t>NOVEMBER 2024</t>
  </si>
  <si>
    <t>Mariam Keita</t>
  </si>
  <si>
    <t>Melissa Timbrouk</t>
  </si>
  <si>
    <t>207 Wadsworth and 141 Wainwright</t>
  </si>
  <si>
    <t>Kimberly Floyd</t>
  </si>
  <si>
    <t>3 months and 2 weeks</t>
  </si>
  <si>
    <t>Ashlyn Nuchols</t>
  </si>
  <si>
    <t>Hamilton</t>
  </si>
  <si>
    <t>Pat Nicholai</t>
  </si>
  <si>
    <t>Jabir Jumanne</t>
  </si>
  <si>
    <t>Susan Henry</t>
  </si>
  <si>
    <t>Peggy Conway</t>
  </si>
  <si>
    <t>8 years</t>
  </si>
  <si>
    <t>Shelby Allen</t>
  </si>
  <si>
    <t>Cherilyn Patterson</t>
  </si>
  <si>
    <t xml:space="preserve">2 months </t>
  </si>
  <si>
    <t>428 West Outer/Northwestern</t>
  </si>
  <si>
    <t>Kasey Foster/Patreese Poore</t>
  </si>
  <si>
    <t>Jolie Gentry</t>
  </si>
  <si>
    <t>Zackary McCulloch</t>
  </si>
  <si>
    <t>1 month and 2 weeks</t>
  </si>
  <si>
    <t>Jessica Oliver</t>
  </si>
  <si>
    <t>Bry Heath</t>
  </si>
  <si>
    <t>2 years and 1 month</t>
  </si>
  <si>
    <t>Kendra Loy</t>
  </si>
  <si>
    <t>Tiffanie Shubert</t>
  </si>
  <si>
    <t>2 years and 10 months</t>
  </si>
  <si>
    <t>DECEMBER 2024</t>
  </si>
  <si>
    <t>Misty Quails</t>
  </si>
  <si>
    <t>Karah Tull</t>
  </si>
  <si>
    <t>Taylor Morton</t>
  </si>
  <si>
    <t>Lisa Bennet</t>
  </si>
  <si>
    <t>3 years 6 months</t>
  </si>
  <si>
    <t>Rebeca Jumanne</t>
  </si>
  <si>
    <t>Jeminat (JJ) Harper</t>
  </si>
  <si>
    <t>1 year 3 months</t>
  </si>
  <si>
    <t>200 Latimer/Livingston</t>
  </si>
  <si>
    <t>Christopher Cuellar</t>
  </si>
  <si>
    <t>Helen Talley</t>
  </si>
  <si>
    <t>4 days</t>
  </si>
  <si>
    <t>Sapphire/Newkirk</t>
  </si>
  <si>
    <t>Regan Yaw</t>
  </si>
  <si>
    <t>Kayla Mead</t>
  </si>
  <si>
    <t>EMPLOYEE SEPARATION SUMMARY — FY 2023</t>
  </si>
  <si>
    <t>January 2023 — December 2023  |  Emory Valley Center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</si>
  <si>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</si>
  <si>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</si>
  <si>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</si>
  <si>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</si>
  <si>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</si>
  <si>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</si>
  <si>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</si>
  <si>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Brooke Love</t>
  </si>
  <si>
    <t>Kailee Owens</t>
  </si>
  <si>
    <t>Andrew Lindsey</t>
  </si>
  <si>
    <t>Sherry McMahan</t>
  </si>
  <si>
    <t>Olivia Watson</t>
  </si>
  <si>
    <t>Babara Blades</t>
  </si>
  <si>
    <t>1 Year</t>
  </si>
  <si>
    <t>Newkirk</t>
  </si>
  <si>
    <t>Nathan Eddelman</t>
  </si>
  <si>
    <t>Joi Cooper</t>
  </si>
  <si>
    <t>PT DSP Estabrook</t>
  </si>
  <si>
    <t>Morgan Belcher</t>
  </si>
  <si>
    <t>Royce Circle, #115</t>
  </si>
  <si>
    <t>Karmen Miller</t>
  </si>
  <si>
    <t>Cassie Higdon</t>
  </si>
  <si>
    <t>813 Sapphire Road</t>
  </si>
  <si>
    <t>AUGUST 2023</t>
  </si>
  <si>
    <t>Tamara Robinson</t>
  </si>
  <si>
    <t>1 year 11 months</t>
  </si>
  <si>
    <t>Malachi Ray</t>
  </si>
  <si>
    <t>Gerald Roberts</t>
  </si>
  <si>
    <t>6 years 6 months</t>
  </si>
  <si>
    <t>Ariel Olson</t>
  </si>
  <si>
    <t>9 years and 3 months</t>
  </si>
  <si>
    <t>Daniel Beals</t>
  </si>
  <si>
    <t>Maria Childress</t>
  </si>
  <si>
    <t>Edgar Baldwin</t>
  </si>
  <si>
    <t>Rachel Castonguay</t>
  </si>
  <si>
    <t>246 Four Mile</t>
  </si>
  <si>
    <t>Quincy Scates</t>
  </si>
  <si>
    <t>SEPTEMBER 2023</t>
  </si>
  <si>
    <t>Elisa Martinez</t>
  </si>
  <si>
    <t>Erika Dilbeck</t>
  </si>
  <si>
    <t>Ashton Dunne</t>
  </si>
  <si>
    <t>1 year 7 months</t>
  </si>
  <si>
    <t>Community Engagement</t>
  </si>
  <si>
    <t>Chris Mwangi</t>
  </si>
  <si>
    <t>150 Algers</t>
  </si>
  <si>
    <t>Mathew McClure</t>
  </si>
  <si>
    <t>7 years and 5 months</t>
  </si>
  <si>
    <t>Miranda Mclain</t>
  </si>
  <si>
    <t>Samantha Godwin</t>
  </si>
  <si>
    <t>Haley Christian</t>
  </si>
  <si>
    <t>Less than two weeks</t>
  </si>
  <si>
    <t>Nikketta Gibson</t>
  </si>
  <si>
    <t>Catherine Young</t>
  </si>
  <si>
    <t>Christy Luallen</t>
  </si>
  <si>
    <t>Libby Leinhart</t>
  </si>
  <si>
    <t>1 month, 2 weeks</t>
  </si>
  <si>
    <t xml:space="preserve">EI - Home Based </t>
  </si>
  <si>
    <t>OCTOBER 2023</t>
  </si>
  <si>
    <t>Karah Hutson</t>
  </si>
  <si>
    <t>Less than 1 week</t>
  </si>
  <si>
    <t>Nikki Walker</t>
  </si>
  <si>
    <t>Allison Lowe</t>
  </si>
  <si>
    <t>One month</t>
  </si>
  <si>
    <t>Naomi Griggs</t>
  </si>
  <si>
    <t>Haven Cooley</t>
  </si>
  <si>
    <t>Dalton/207 Royce/Hamilton A/Lower Valley</t>
  </si>
  <si>
    <t>Jovi McMichael</t>
  </si>
  <si>
    <t>One year</t>
  </si>
  <si>
    <t>Kimberly Harding</t>
  </si>
  <si>
    <t>Megan Hall</t>
  </si>
  <si>
    <t>Hamilton A/145 Latimer</t>
  </si>
  <si>
    <t>Kenda Lawson</t>
  </si>
  <si>
    <t>Kelley Kaufmann</t>
  </si>
  <si>
    <t>Kaylea Wolff</t>
  </si>
  <si>
    <t>y</t>
  </si>
  <si>
    <t>164 W Wadsworth Circle</t>
  </si>
  <si>
    <t>Brianna Barton</t>
  </si>
  <si>
    <t>NOVEMBER 2023</t>
  </si>
  <si>
    <t>Robin Hamrick</t>
  </si>
  <si>
    <t>6 years and 4 months</t>
  </si>
  <si>
    <t>Chris Maney</t>
  </si>
  <si>
    <t>Job Developer</t>
  </si>
  <si>
    <t>Teresa Luke</t>
  </si>
  <si>
    <t>15 years</t>
  </si>
  <si>
    <t>Markeysha Clark</t>
  </si>
  <si>
    <t>Isaac Sulfridge</t>
  </si>
  <si>
    <t>Daniel Sexton</t>
  </si>
  <si>
    <t>200 Latimer/196 Latimer</t>
  </si>
  <si>
    <t>Pat George</t>
  </si>
  <si>
    <t>12 years and 4 months</t>
  </si>
  <si>
    <t>Chereka Truitt</t>
  </si>
  <si>
    <t>104 East Dalton</t>
  </si>
  <si>
    <t>Caitlyn Laway</t>
  </si>
  <si>
    <t>Melissa Hodges</t>
  </si>
  <si>
    <t>112 Salem</t>
  </si>
  <si>
    <t>DECEMBER 2023</t>
  </si>
  <si>
    <t>Rachel Goodwin</t>
  </si>
  <si>
    <t>Laura Stratton</t>
  </si>
  <si>
    <t>27 years and 8 months</t>
  </si>
  <si>
    <t>Angel Martin</t>
  </si>
  <si>
    <t>John Ritner</t>
  </si>
  <si>
    <t>Jaiden McCoy</t>
  </si>
  <si>
    <t>Takiyla Bazel</t>
  </si>
  <si>
    <t>145 Latimer</t>
  </si>
  <si>
    <t>Marshall Springer</t>
  </si>
  <si>
    <t>Lateta Jackson</t>
  </si>
  <si>
    <t>Amber Steinmetz</t>
  </si>
  <si>
    <t>FY Year</t>
  </si>
  <si>
    <t>Rehire Rate</t>
  </si>
  <si>
    <t>Exit Rate</t>
  </si>
  <si>
    <t xml:space="preserve">  FISCAL YEAR MONTHLY SEPARATIONS (July 1 — June 30)</t>
  </si>
  <si>
    <t>FY EVC Year</t>
  </si>
  <si>
    <t>Average</t>
  </si>
  <si>
    <t xml:space="preserve">  FISCAL YEAR SUMMARY (July 1 — June 30)</t>
  </si>
  <si>
    <t>Invol</t>
  </si>
  <si>
    <t>Job Titles</t>
  </si>
  <si>
    <t>Reasons for Leaving</t>
  </si>
  <si>
    <t>Locations</t>
  </si>
  <si>
    <t>Location (Mapping)</t>
  </si>
  <si>
    <t>Departments</t>
  </si>
  <si>
    <t>BCBA</t>
  </si>
  <si>
    <t>Operations</t>
  </si>
  <si>
    <t>Children Services</t>
  </si>
  <si>
    <t>107 Tucker</t>
  </si>
  <si>
    <t>112 Salem Road</t>
  </si>
  <si>
    <t>EI - Home Based</t>
  </si>
  <si>
    <t>115 Brookwood Terrace</t>
  </si>
  <si>
    <t>122 East Newkirk Lane</t>
  </si>
  <si>
    <t>122 Walker</t>
  </si>
  <si>
    <t>Early Learning Center</t>
  </si>
  <si>
    <t>129 W Racoon Valley</t>
  </si>
  <si>
    <t>Little Learning Lab</t>
  </si>
  <si>
    <t>132 Northwestern</t>
  </si>
  <si>
    <t>150 Alger</t>
  </si>
  <si>
    <t>MAPS</t>
  </si>
  <si>
    <t>162 W. WADSWORTH CIRCLE</t>
  </si>
  <si>
    <t>167 Golfcrest</t>
  </si>
  <si>
    <t>198 Latimer</t>
  </si>
  <si>
    <t>207 Wadsworth Place</t>
  </si>
  <si>
    <t>284 Jefferson Circle</t>
  </si>
  <si>
    <t>289 Royce Apt 207</t>
  </si>
  <si>
    <t>341 W OUTER</t>
  </si>
  <si>
    <t>345 West Outer</t>
  </si>
  <si>
    <t>361 W. Outer Dr</t>
  </si>
  <si>
    <t>363 West Outer</t>
  </si>
  <si>
    <t>367 West Outer</t>
  </si>
  <si>
    <t>367 Willow Run</t>
  </si>
  <si>
    <t>427 W Outer Dr</t>
  </si>
  <si>
    <t>503 Estabrook</t>
  </si>
  <si>
    <t>790 Emory Valley Road           Apt 702 Bristol Park</t>
  </si>
  <si>
    <t>Admin</t>
  </si>
  <si>
    <t>Skyview</t>
  </si>
  <si>
    <t>207 Wadsworth DSP</t>
  </si>
  <si>
    <t>Customer Service</t>
  </si>
  <si>
    <t>361 West Outer</t>
  </si>
  <si>
    <t>Livingston/196 Latimer</t>
  </si>
  <si>
    <t>On Leave</t>
  </si>
  <si>
    <t>Residential/Lower Valley</t>
  </si>
  <si>
    <t>Residential/Robert Bunch</t>
  </si>
  <si>
    <t>Superimposed/Residential</t>
  </si>
  <si>
    <t>Turnpike/</t>
  </si>
  <si>
    <t>Amber Potter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</si>
</sst>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/dd/yyyy"/>
  </numFmts>
  <fonts count="42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9"/>
      <color theme="1"/>
      <name val="Calibri"/>
      <charset val="1"/>
    </font>
    <font>
      <b/>
      <sz val="14"/>
      <color rgb="FFFFFFFF"/>
      <name val="Arial"/>
      <family val="2"/>
      <charset val="1"/>
    </font>
    <font>
      <sz val="14"/>
      <color rgb="FFB4C6E7"/>
      <name val="Arial"/>
      <family val="2"/>
      <charset val="1"/>
    </font>
    <font>
      <b/>
      <sz val="10"/>
      <color rgb="FF666666"/>
      <name val="Arial"/>
      <family val="2"/>
      <charset val="1"/>
    </font>
    <font>
      <b/>
      <sz val="10"/>
      <color rgb="FF1F3864"/>
      <name val="Arial"/>
      <family val="2"/>
      <charset val="1"/>
    </font>
    <font>
      <sz val="9"/>
      <color rgb="FF999999"/>
      <name val="Arial"/>
      <charset val="1"/>
    </font>
    <font>
      <sz val="9"/>
      <color rgb="FFCCCCCC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333333"/>
      <name val="Arial"/>
      <family val="2"/>
      <charset val="1"/>
    </font>
    <font>
      <sz val="9"/>
      <color rgb="FF1A1A1A"/>
      <name val="Arial"/>
      <charset val="1"/>
    </font>
    <font>
      <sz val="9"/>
      <color rgb="FF2C3E50"/>
      <name val="Arial"/>
      <charset val="1"/>
    </font>
    <font>
      <sz val="9"/>
      <color rgb="FFFFF2CC"/>
      <name val="Arial"/>
      <charset val="1"/>
    </font>
    <font>
      <b/>
      <i/>
      <sz val="10"/>
      <color rgb="FF2F5496"/>
      <name val="Arial"/>
      <family val="2"/>
      <charset val="1"/>
    </font>
    <font>
      <sz val="9"/>
      <color rgb="FF666666"/>
      <name val="Arial"/>
      <charset val="1"/>
    </font>
    <font>
      <sz val="9"/>
      <name val="Arial"/>
      <charset val="1"/>
    </font>
    <font>
      <b/>
      <sz val="16"/>
      <color rgb="FFFFFFFF"/>
      <name val="Arial"/>
      <charset val="1"/>
    </font>
    <font>
      <sz val="11"/>
      <color rgb="FFBDC3C7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2C3E50"/>
      <name val="Arial"/>
      <charset val="1"/>
    </font>
    <font>
      <b/>
      <sz val="12"/>
      <color rgb="FF2C3E50"/>
      <name val="Arial"/>
      <charset val="1"/>
    </font>
    <font>
      <b/>
      <sz val="9"/>
      <color rgb="FF7F8C8D"/>
      <name val="Arial"/>
      <charset val="1"/>
    </font>
    <font>
      <sz val="9"/>
      <color rgb="FF2E86AB"/>
      <name val="Arial"/>
      <charset val="1"/>
    </font>
    <font>
      <b/>
      <sz val="10"/>
      <color rgb="FF2E86AB"/>
      <name val="Arial"/>
      <charset val="1"/>
    </font>
    <font>
      <b/>
      <sz val="12"/>
      <color rgb="FFFFFFFF"/>
      <name val="Arial"/>
      <charset val="1"/>
    </font>
    <font>
      <b/>
      <sz val="11"/>
      <color rgb="FF2F5496"/>
      <name val="Arial"/>
      <charset val="1"/>
    </font>
    <font>
      <b/>
      <sz val="10"/>
      <color rgb="FFFFFFFF"/>
      <name val="Arial"/>
      <charset val="1"/>
    </font>
    <font>
      <b/>
      <sz val="10"/>
      <color rgb="FF333333"/>
      <name val="Arial"/>
      <charset val="1"/>
    </font>
    <font>
      <b/>
      <sz val="12"/>
      <color rgb="FF548235"/>
      <name val="Arial"/>
      <charset val="1"/>
    </font>
    <font>
      <b/>
      <sz val="9"/>
      <color rgb="FF95A5A6"/>
      <name val="Arial"/>
      <charset val="1"/>
    </font>
    <font>
      <b/>
      <sz val="12"/>
      <color rgb="FF1B2A4A"/>
      <name val="Arial"/>
      <charset val="1"/>
    </font>
    <font>
      <b/>
      <sz val="12"/>
      <color rgb="FFE74C3C"/>
      <name val="Arial"/>
      <charset val="1"/>
    </font>
    <font>
      <b/>
      <sz val="12"/>
      <color rgb="FFF39C12"/>
      <name val="Arial"/>
      <charset val="1"/>
    </font>
    <font>
      <sz val="9"/>
      <color rgb="FF7F8C8D"/>
      <name val="Arial"/>
      <charset val="1"/>
    </font>
    <font>
      <b/>
      <sz val="9"/>
      <color rgb="FF2E86AB"/>
      <name val="Arial"/>
      <charset val="1"/>
    </font>
    <font>
      <b/>
      <sz val="9"/>
      <name val="Arial"/>
      <charset val="1"/>
    </font>
    <font>
      <b/>
      <sz val="10"/>
      <name val="Arial"/>
      <charset val="1"/>
    </font>
    <font>
      <b/>
      <i/>
      <sz val="10"/>
      <color rgb="FF2F5496"/>
      <name val="Arial"/>
      <charset val="1"/>
    </font>
    <font>
      <b/>
      <sz val="11"/>
      <name val="Cambria"/>
      <charset val="1"/>
    </font>
    <font>
      <b/>
      <sz val="11"/>
      <name val="Arial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9" fillId="2" borderId="0" xfId="0" applyFont="1" applyFill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10" borderId="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165" fontId="11" fillId="8" borderId="4" xfId="0" applyNumberFormat="1" applyFont="1" applyFill="1" applyBorder="1" applyAlignment="1">
      <alignment horizontal="center" vertical="center"/>
    </xf>
    <xf numFmtId="165" fontId="11" fillId="12" borderId="4" xfId="0" applyNumberFormat="1" applyFont="1" applyFill="1" applyBorder="1" applyAlignment="1">
      <alignment horizontal="center" vertical="center"/>
    </xf>
    <xf numFmtId="10" fontId="11" fillId="12" borderId="4" xfId="0" applyNumberFormat="1" applyFont="1" applyFill="1" applyBorder="1" applyAlignment="1">
      <alignment horizontal="center" vertical="center"/>
    </xf>
    <xf numFmtId="10" fontId="11" fillId="8" borderId="4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164" fontId="14" fillId="13" borderId="3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64" fontId="6" fillId="8" borderId="0" xfId="0" applyNumberFormat="1" applyFont="1" applyFill="1" applyAlignment="1">
      <alignment horizontal="center" vertical="center"/>
    </xf>
    <xf numFmtId="165" fontId="11" fillId="8" borderId="0" xfId="0" applyNumberFormat="1" applyFont="1" applyFill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164" fontId="11" fillId="8" borderId="10" xfId="0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64" fontId="6" fillId="9" borderId="0" xfId="0" applyNumberFormat="1" applyFont="1" applyFill="1" applyAlignment="1">
      <alignment horizontal="center" vertical="center"/>
    </xf>
    <xf numFmtId="165" fontId="6" fillId="9" borderId="0" xfId="0" applyNumberFormat="1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164" fontId="16" fillId="9" borderId="0" xfId="0" applyNumberFormat="1" applyFont="1" applyFill="1" applyAlignment="1">
      <alignment horizontal="center" vertical="center"/>
    </xf>
    <xf numFmtId="164" fontId="7" fillId="9" borderId="0" xfId="0" applyNumberFormat="1" applyFont="1" applyFill="1" applyAlignment="1">
      <alignment horizontal="center" vertical="center"/>
    </xf>
    <xf numFmtId="165" fontId="7" fillId="9" borderId="0" xfId="0" applyNumberFormat="1" applyFont="1" applyFill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21" fillId="8" borderId="2" xfId="0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64" fontId="21" fillId="8" borderId="2" xfId="0" applyNumberFormat="1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/>
    </xf>
    <xf numFmtId="1" fontId="12" fillId="16" borderId="2" xfId="0" applyNumberFormat="1" applyFont="1" applyFill="1" applyBorder="1" applyAlignment="1">
      <alignment horizontal="center" vertical="center"/>
    </xf>
    <xf numFmtId="1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165" fontId="12" fillId="16" borderId="2" xfId="0" applyNumberFormat="1" applyFont="1" applyFill="1" applyBorder="1" applyAlignment="1">
      <alignment horizontal="center" vertical="center"/>
    </xf>
    <xf numFmtId="165" fontId="21" fillId="16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8" fillId="10" borderId="3" xfId="0" applyFont="1" applyFill="1" applyBorder="1" applyAlignment="1">
      <alignment horizontal="center" vertical="center" wrapText="1"/>
    </xf>
    <xf numFmtId="0" fontId="29" fillId="8" borderId="11" xfId="0" applyFon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0" fontId="30" fillId="8" borderId="11" xfId="0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0" fontId="16" fillId="18" borderId="11" xfId="0" applyFont="1" applyFill="1" applyBorder="1" applyAlignment="1">
      <alignment horizontal="center" vertical="center"/>
    </xf>
    <xf numFmtId="165" fontId="16" fillId="18" borderId="11" xfId="0" applyNumberFormat="1" applyFont="1" applyFill="1" applyBorder="1" applyAlignment="1">
      <alignment horizontal="center" vertical="center"/>
    </xf>
    <xf numFmtId="0" fontId="30" fillId="18" borderId="11" xfId="0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165" fontId="16" fillId="8" borderId="11" xfId="0" applyNumberFormat="1" applyFont="1" applyFill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165" fontId="16" fillId="8" borderId="12" xfId="0" applyNumberFormat="1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/>
    </xf>
    <xf numFmtId="0" fontId="32" fillId="7" borderId="13" xfId="0" applyFont="1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33" fillId="7" borderId="13" xfId="0" applyFont="1" applyFill="1" applyBorder="1" applyAlignment="1">
      <alignment horizontal="center" vertical="center"/>
    </xf>
    <xf numFmtId="164" fontId="34" fillId="7" borderId="13" xfId="0" applyNumberFormat="1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6" fontId="0" fillId="8" borderId="2" xfId="0" applyNumberFormat="1" applyFill="1" applyBorder="1" applyAlignment="1">
      <alignment horizontal="center" vertical="center"/>
    </xf>
    <xf numFmtId="0" fontId="35" fillId="8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0" fontId="35" fillId="16" borderId="2" xfId="0" applyFont="1" applyFill="1" applyBorder="1" applyAlignment="1">
      <alignment horizontal="center" vertical="center"/>
    </xf>
    <xf numFmtId="0" fontId="36" fillId="19" borderId="2" xfId="0" applyFont="1" applyFill="1" applyBorder="1" applyAlignment="1">
      <alignment horizontal="center" vertical="center"/>
    </xf>
    <xf numFmtId="0" fontId="25" fillId="19" borderId="2" xfId="0" applyFont="1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32" fillId="6" borderId="13" xfId="0" applyFont="1" applyFill="1" applyBorder="1" applyAlignment="1">
      <alignment horizontal="center" vertical="center"/>
    </xf>
    <xf numFmtId="0" fontId="33" fillId="20" borderId="13" xfId="0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166" fontId="12" fillId="16" borderId="2" xfId="0" applyNumberFormat="1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5" xfId="0" applyFont="1" applyFill="1" applyBorder="1" applyAlignment="1">
      <alignment horizontal="center" vertical="center" wrapText="1"/>
    </xf>
    <xf numFmtId="0" fontId="20" fillId="3" borderId="16" xfId="0" applyFont="1" applyFill="1" applyBorder="1" applyAlignment="1">
      <alignment horizontal="center" vertical="center" wrapText="1"/>
    </xf>
    <xf numFmtId="0" fontId="12" fillId="16" borderId="17" xfId="0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horizontal="center" vertical="center"/>
    </xf>
    <xf numFmtId="0" fontId="12" fillId="8" borderId="17" xfId="0" applyFont="1" applyFill="1" applyBorder="1" applyAlignment="1">
      <alignment horizontal="center" vertical="center"/>
    </xf>
    <xf numFmtId="0" fontId="35" fillId="8" borderId="18" xfId="0" applyFont="1" applyFill="1" applyBorder="1" applyAlignment="1">
      <alignment horizontal="center" vertical="center"/>
    </xf>
    <xf numFmtId="0" fontId="12" fillId="8" borderId="19" xfId="0" applyFont="1" applyFill="1" applyBorder="1" applyAlignment="1">
      <alignment horizontal="center" vertical="center"/>
    </xf>
    <xf numFmtId="166" fontId="12" fillId="8" borderId="20" xfId="0" applyNumberFormat="1" applyFont="1" applyFill="1" applyBorder="1" applyAlignment="1">
      <alignment horizontal="center" vertical="center"/>
    </xf>
    <xf numFmtId="0" fontId="12" fillId="8" borderId="20" xfId="0" applyFont="1" applyFill="1" applyBorder="1" applyAlignment="1">
      <alignment horizontal="center" vertical="center"/>
    </xf>
    <xf numFmtId="0" fontId="35" fillId="8" borderId="21" xfId="0" applyFont="1" applyFill="1" applyBorder="1" applyAlignment="1">
      <alignment horizontal="center" vertical="center"/>
    </xf>
    <xf numFmtId="0" fontId="0" fillId="20" borderId="20" xfId="0" applyFill="1" applyBorder="1" applyAlignment="1">
      <alignment horizontal="center" vertical="center"/>
    </xf>
    <xf numFmtId="166" fontId="0" fillId="20" borderId="20" xfId="0" applyNumberFormat="1" applyFill="1" applyBorder="1" applyAlignment="1">
      <alignment horizontal="center" vertical="center"/>
    </xf>
    <xf numFmtId="166" fontId="0" fillId="8" borderId="20" xfId="0" applyNumberFormat="1" applyFill="1" applyBorder="1" applyAlignment="1">
      <alignment horizontal="center" vertical="center"/>
    </xf>
    <xf numFmtId="0" fontId="0" fillId="21" borderId="20" xfId="0" applyFill="1" applyBorder="1" applyAlignment="1">
      <alignment horizontal="center" vertical="center"/>
    </xf>
    <xf numFmtId="166" fontId="0" fillId="21" borderId="20" xfId="0" applyNumberFormat="1" applyFill="1" applyBorder="1" applyAlignment="1">
      <alignment horizontal="center" vertical="center"/>
    </xf>
    <xf numFmtId="0" fontId="35" fillId="8" borderId="20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center" vertical="center"/>
    </xf>
    <xf numFmtId="166" fontId="0" fillId="20" borderId="2" xfId="0" applyNumberForma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8" borderId="11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9" fillId="13" borderId="3" xfId="0" applyFont="1" applyFill="1" applyBorder="1" applyAlignment="1">
      <alignment horizontal="center" vertical="center"/>
    </xf>
    <xf numFmtId="165" fontId="39" fillId="13" borderId="3" xfId="0" applyNumberFormat="1" applyFont="1" applyFill="1" applyBorder="1" applyAlignment="1">
      <alignment horizontal="center" vertical="center"/>
    </xf>
    <xf numFmtId="164" fontId="16" fillId="18" borderId="11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3" fillId="14" borderId="9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6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4" fontId="12" fillId="0" borderId="2" xfId="0" applyNumberFormat="1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/>
    </xf>
    <xf numFmtId="0" fontId="12" fillId="0" borderId="20" xfId="0" applyFont="1" applyFill="1" applyBorder="1" applyAlignment="1">
      <alignment horizontal="center" vertical="center"/>
    </xf>
    <xf numFmtId="14" fontId="12" fillId="16" borderId="2" xfId="0" applyNumberFormat="1" applyFont="1" applyFill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6:M47" totalsRowShown="0">
  <autoFilter ref="A36:M47" xr:uid="{00000000-0009-0000-0100-000001000000}"/>
  <tableColumns count="13">
    <tableColumn id="1" xr3:uid="{00000000-0010-0000-0000-000001000000}" name="Name"/>
    <tableColumn id="2" xr3:uid="{00000000-0010-0000-0000-000002000000}" name="Date of Separation"/>
    <tableColumn id="3" xr3:uid="{00000000-0010-0000-0000-000003000000}" name="DOH"/>
    <tableColumn id="4" xr3:uid="{00000000-0010-0000-0000-000004000000}" name="Length of Service"/>
    <tableColumn id="5" xr3:uid="{00000000-0010-0000-0000-000005000000}" name="Eligible for Rehire"/>
    <tableColumn id="6" xr3:uid="{00000000-0010-0000-0000-000006000000}" name="Status"/>
    <tableColumn id="7" xr3:uid="{00000000-0010-0000-0000-000007000000}" name="Location"/>
    <tableColumn id="8" xr3:uid="{00000000-0010-0000-0000-000008000000}" name="Reason for Leaving"/>
    <tableColumn id="9" xr3:uid="{00000000-0010-0000-0000-000009000000}" name="Supervisor"/>
    <tableColumn id="10" xr3:uid="{00000000-0010-0000-0000-00000A000000}" name="Exit Interview Date"/>
    <tableColumn id="11" xr3:uid="{00000000-0010-0000-0000-00000B000000}" name="Job"/>
    <tableColumn id="12" xr3:uid="{00000000-0010-0000-0000-00000C000000}" name="Comments"/>
    <tableColumn id="13" xr3:uid="{00000000-0010-0000-0000-00000D000000}" name="Depart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defaultColWidth="8.7109375" defaultRowHeight="12.75" x14ac:dyDescent="0.2"/>
  <cols>
    <col min="1" max="1" width="57.85546875" style="2" customWidth="1"/>
    <col min="2" max="2" width="11.85546875" style="2" customWidth="1"/>
    <col min="3" max="3" width="16.7109375" style="2" customWidth="1"/>
    <col min="4" max="4" width="18.28515625" style="2" customWidth="1"/>
    <col min="5" max="5" width="20" style="2" customWidth="1"/>
    <col min="6" max="6" width="35.28515625" style="2" customWidth="1"/>
    <col min="7" max="7" width="30" style="2" customWidth="1"/>
    <col min="8" max="8" width="29.7109375" style="2" customWidth="1"/>
    <col min="9" max="9" width="13.28515625" style="2" customWidth="1"/>
    <col min="10" max="10" width="6.85546875" style="2" customWidth="1"/>
    <col min="11" max="11" width="3" style="2" customWidth="1"/>
    <col min="12" max="12" width="12.140625" style="2" customWidth="1"/>
    <col min="13" max="14" width="2" style="2" customWidth="1"/>
    <col min="15" max="16384" width="8.7109375" style="2"/>
  </cols>
  <sheetData>
    <row r="1" spans="1:1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4"/>
      <c r="L1" s="4"/>
      <c r="M1" s="4"/>
      <c r="N1" s="4"/>
    </row>
    <row r="2" spans="1:14" ht="33.75" customHeight="1" x14ac:dyDescent="0.2">
      <c r="A2" s="154" t="s">
        <v>0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</row>
    <row r="3" spans="1:14" ht="27.75" customHeight="1" x14ac:dyDescent="0.2">
      <c r="A3" s="155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</row>
    <row r="4" spans="1:14" ht="7.5" customHeight="1" x14ac:dyDescent="0.2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  <c r="M4" s="6"/>
      <c r="N4" s="6"/>
    </row>
    <row r="5" spans="1:14" ht="30" customHeight="1" x14ac:dyDescent="0.2">
      <c r="A5" s="7" t="s">
        <v>2</v>
      </c>
      <c r="B5" s="8" t="s">
        <v>3</v>
      </c>
      <c r="C5" s="9" t="s">
        <v>4</v>
      </c>
      <c r="D5" s="7" t="s">
        <v>5</v>
      </c>
      <c r="E5" s="10"/>
      <c r="F5" s="7"/>
      <c r="G5" s="8" t="s">
        <v>111</v>
      </c>
      <c r="H5" s="11" t="s">
        <v>7</v>
      </c>
      <c r="I5" s="5"/>
      <c r="J5" s="5"/>
      <c r="K5" s="12"/>
      <c r="L5" s="12"/>
      <c r="M5" s="12"/>
      <c r="N5" s="12"/>
    </row>
    <row r="6" spans="1:14" ht="6" customHeight="1" x14ac:dyDescent="0.2">
      <c r="A6" s="13"/>
      <c r="B6" s="13"/>
      <c r="C6" s="13"/>
      <c r="D6" s="13"/>
      <c r="E6" s="13"/>
      <c r="F6" s="13"/>
      <c r="G6" s="13"/>
      <c r="H6" s="13"/>
      <c r="I6" s="13"/>
      <c r="J6" s="13"/>
      <c r="K6" s="6"/>
      <c r="L6" s="6"/>
      <c r="M6" s="6"/>
      <c r="N6" s="6"/>
    </row>
    <row r="7" spans="1:14" ht="19.5" customHeight="1" x14ac:dyDescent="0.2">
      <c r="A7" s="156" t="s">
        <v>8</v>
      </c>
      <c r="B7" s="156"/>
      <c r="C7" s="156"/>
      <c r="D7" s="156" t="s">
        <v>9</v>
      </c>
      <c r="E7" s="156"/>
      <c r="F7" s="156"/>
      <c r="G7" s="156" t="s">
        <v>10</v>
      </c>
      <c r="H7" s="156"/>
      <c r="I7" s="156"/>
      <c r="J7" s="156" t="s">
        <v>11</v>
      </c>
      <c r="K7" s="156"/>
      <c r="L7" s="156"/>
      <c r="M7" s="6"/>
      <c r="N7" s="6"/>
    </row>
    <row r="8" spans="1:14" ht="36" customHeight="1" x14ac:dyDescent="0.2">
      <c r="A8" s="149">
        <f>VLOOKUP($B$5,Data!$A$2:$K$6,2,FALSE())</f>
        <v>366</v>
      </c>
      <c r="B8" s="149"/>
      <c r="C8" s="149"/>
      <c r="D8" s="150">
        <f>VLOOKUP($B$5,Data!$A$2:$K$6,3,FALSE())</f>
        <v>35</v>
      </c>
      <c r="E8" s="150"/>
      <c r="F8" s="150"/>
      <c r="G8" s="151">
        <f>VLOOKUP($B$5,Data!$A$2:$K$6,4,FALSE())</f>
        <v>9.5628415300546443E-2</v>
      </c>
      <c r="H8" s="151"/>
      <c r="I8" s="151"/>
      <c r="J8" s="151">
        <f>VLOOKUP($B$5,Data!$A$2:$K$6,9,FALSE())</f>
        <v>0.6</v>
      </c>
      <c r="K8" s="151"/>
      <c r="L8" s="151"/>
      <c r="M8" s="6"/>
      <c r="N8" s="6"/>
    </row>
    <row r="9" spans="1:14" ht="15.75" customHeight="1" x14ac:dyDescent="0.2">
      <c r="A9" s="152" t="s">
        <v>12</v>
      </c>
      <c r="B9" s="152"/>
      <c r="C9" s="152"/>
      <c r="D9" s="153" t="str">
        <f>VLOOKUP($B$5,Data!$A$2:$K$6,6,FALSE())&amp;" voluntary / "&amp;VLOOKUP($B$5,Data!$A$2:$K$6,7,FALSE())&amp;" involuntary"</f>
        <v>21 voluntary / 4 involuntary</v>
      </c>
      <c r="E9" s="153"/>
      <c r="F9" s="153"/>
      <c r="G9" s="153" t="str">
        <f>"Avg "&amp;TEXT(VLOOKUP($B$5,Data!$A$2:$K$6,5,FALSE()),"0.0")&amp;"/month"</f>
        <v>Avg 8.8/month</v>
      </c>
      <c r="H9" s="153"/>
      <c r="I9" s="153"/>
      <c r="J9" s="153" t="str">
        <f>"Rehire eligible: "&amp;TEXT(VLOOKUP($B$5,Data!$A$2:$K$6,10,FALSE()),"0%")</f>
        <v>Rehire eligible: 43%</v>
      </c>
      <c r="K9" s="153"/>
      <c r="L9" s="153"/>
      <c r="M9" s="6"/>
      <c r="N9" s="6"/>
    </row>
    <row r="10" spans="1:14" ht="7.5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6"/>
      <c r="L10" s="6"/>
      <c r="M10" s="6"/>
      <c r="N10" s="6"/>
    </row>
    <row r="11" spans="1:14" ht="27.75" customHeight="1" x14ac:dyDescent="0.2">
      <c r="A11" s="146" t="s">
        <v>13</v>
      </c>
      <c r="B11" s="146"/>
      <c r="C11" s="146"/>
      <c r="D11" s="146"/>
      <c r="E11" s="146"/>
      <c r="F11" s="13"/>
      <c r="G11" s="146" t="s">
        <v>14</v>
      </c>
      <c r="H11" s="146"/>
      <c r="I11" s="146"/>
      <c r="J11" s="146"/>
      <c r="K11" s="6"/>
      <c r="L11" s="6"/>
      <c r="M11" s="6"/>
      <c r="N11" s="6"/>
    </row>
    <row r="12" spans="1:14" ht="24" customHeight="1" x14ac:dyDescent="0.2">
      <c r="A12" s="14" t="s">
        <v>15</v>
      </c>
      <c r="B12" s="14" t="s">
        <v>16</v>
      </c>
      <c r="C12" s="14" t="s">
        <v>17</v>
      </c>
      <c r="D12" s="14" t="s">
        <v>18</v>
      </c>
      <c r="E12" s="14" t="s">
        <v>19</v>
      </c>
      <c r="F12" s="13"/>
      <c r="G12" s="14" t="s">
        <v>20</v>
      </c>
      <c r="H12" s="14" t="s">
        <v>21</v>
      </c>
      <c r="I12" s="14" t="s">
        <v>22</v>
      </c>
      <c r="J12" s="14" t="s">
        <v>18</v>
      </c>
      <c r="K12" s="6"/>
      <c r="L12" s="6"/>
      <c r="M12" s="6"/>
      <c r="N12" s="6"/>
    </row>
    <row r="13" spans="1:14" ht="19.5" customHeight="1" x14ac:dyDescent="0.2">
      <c r="A13" s="15" t="s">
        <v>23</v>
      </c>
      <c r="B13" s="16">
        <f>INDEX(Data!$A$11:$M$15,MATCH($B$5,Data!$A$11:$A$15,0),2)</f>
        <v>8</v>
      </c>
      <c r="C13" s="17">
        <f>IF(VLOOKUP($B$5,Data!$A$2:$K$6,3,FALSE())=0,0,B13/VLOOKUP($B$5,Data!$A$2:$K$6,3,FALSE()))</f>
        <v>0.22857142857142856</v>
      </c>
      <c r="D13" s="17">
        <f>IF(VLOOKUP($B$5,Data!$A$2:$K$6,2,FALSE())=0,0,B13/VLOOKUP($B$5,Data!$A$2:$K$6,2,FALSE()))</f>
        <v>2.185792349726776E-2</v>
      </c>
      <c r="E13" s="16">
        <f>B13</f>
        <v>8</v>
      </c>
      <c r="F13" s="13"/>
      <c r="G13" s="18" t="s">
        <v>24</v>
      </c>
      <c r="H13" s="18"/>
      <c r="I13" s="18"/>
      <c r="J13" s="18"/>
      <c r="K13" s="6"/>
      <c r="L13" s="6"/>
      <c r="M13" s="6"/>
      <c r="N13" s="6"/>
    </row>
    <row r="14" spans="1:14" ht="19.5" customHeight="1" x14ac:dyDescent="0.2">
      <c r="A14" s="19" t="s">
        <v>25</v>
      </c>
      <c r="B14" s="20">
        <f>INDEX(Data!$A$11:$M$15,MATCH($B$5,Data!$A$11:$A$15,0),3)</f>
        <v>10</v>
      </c>
      <c r="C14" s="21">
        <f>IF(VLOOKUP($B$5,Data!$A$2:$K$6,3,FALSE())=0,0,B14/VLOOKUP($B$5,Data!$A$2:$K$6,3,FALSE()))</f>
        <v>0.2857142857142857</v>
      </c>
      <c r="D14" s="21">
        <f>IF(VLOOKUP($B$5,Data!$A$2:$K$6,2,FALSE())=0,0,B14/VLOOKUP($B$5,Data!$A$2:$K$6,2,FALSE()))</f>
        <v>2.7322404371584699E-2</v>
      </c>
      <c r="E14" s="20">
        <f t="shared" ref="E14:E24" si="0">E13+B14</f>
        <v>18</v>
      </c>
      <c r="F14" s="13"/>
      <c r="G14" s="16" t="s">
        <v>26</v>
      </c>
      <c r="H14" s="16">
        <f>INDEX(Data!$A$21:$F$21,1,MATCH($B$5,Data!$B$20:$F$20,0)+1)</f>
        <v>0</v>
      </c>
      <c r="I14" s="17">
        <f>IF(VLOOKUP($B$5,Data!$A$2:$K$6,3,FALSE())=0,0,H14/VLOOKUP($B$5,Data!$A$2:$K$6,3,FALSE()))</f>
        <v>0</v>
      </c>
      <c r="J14" s="17">
        <f>IF(VLOOKUP($B$5,Data!$A$2:$K$6,2,FALSE())=0,0,H14/VLOOKUP($B$5,Data!$A$2:$K$6,2,FALSE()))</f>
        <v>0</v>
      </c>
      <c r="K14" s="6"/>
      <c r="L14" s="6"/>
      <c r="M14" s="6"/>
      <c r="N14" s="6"/>
    </row>
    <row r="15" spans="1:14" ht="19.5" customHeight="1" x14ac:dyDescent="0.2">
      <c r="A15" s="15" t="s">
        <v>27</v>
      </c>
      <c r="B15" s="16">
        <f>INDEX(Data!$A$11:$M$15,MATCH($B$5,Data!$A$11:$A$15,0),4)</f>
        <v>10</v>
      </c>
      <c r="C15" s="17">
        <f>IF(VLOOKUP($B$5,Data!$A$2:$K$6,3,FALSE())=0,0,B15/VLOOKUP($B$5,Data!$A$2:$K$6,3,FALSE()))</f>
        <v>0.2857142857142857</v>
      </c>
      <c r="D15" s="17">
        <f>IF(VLOOKUP($B$5,Data!$A$2:$K$6,2,FALSE())=0,0,B15/VLOOKUP($B$5,Data!$A$2:$K$6,2,FALSE()))</f>
        <v>2.7322404371584699E-2</v>
      </c>
      <c r="E15" s="16">
        <f t="shared" si="0"/>
        <v>28</v>
      </c>
      <c r="F15" s="13"/>
      <c r="G15" s="20" t="s">
        <v>28</v>
      </c>
      <c r="H15" s="20">
        <f>INDEX(Data!$A$22:$F$22,1,MATCH($B$5,Data!$B$20:$F$20,0)+1)</f>
        <v>0</v>
      </c>
      <c r="I15" s="21">
        <f>IF(VLOOKUP($B$5,Data!$A$2:$K$6,3,FALSE())=0,0,H15/VLOOKUP($B$5,Data!$A$2:$K$6,3,FALSE()))</f>
        <v>0</v>
      </c>
      <c r="J15" s="21">
        <f>IF(VLOOKUP($B$5,Data!$A$2:$K$6,2,FALSE())=0,0,H15/VLOOKUP($B$5,Data!$A$2:$K$6,2,FALSE()))</f>
        <v>0</v>
      </c>
      <c r="K15" s="6"/>
      <c r="L15" s="6"/>
      <c r="M15" s="6"/>
      <c r="N15" s="6"/>
    </row>
    <row r="16" spans="1:14" ht="19.5" customHeight="1" x14ac:dyDescent="0.2">
      <c r="A16" s="19" t="s">
        <v>29</v>
      </c>
      <c r="B16" s="20">
        <f>INDEX(Data!$A$11:$M$15,MATCH($B$5,Data!$A$11:$A$15,0),5)</f>
        <v>7</v>
      </c>
      <c r="C16" s="21">
        <f>IF(VLOOKUP($B$5,Data!$A$2:$K$6,3,FALSE())=0,0,B16/VLOOKUP($B$5,Data!$A$2:$K$6,3,FALSE()))</f>
        <v>0.2</v>
      </c>
      <c r="D16" s="21">
        <f>IF(VLOOKUP($B$5,Data!$A$2:$K$6,2,FALSE())=0,0,B16/VLOOKUP($B$5,Data!$A$2:$K$6,2,FALSE()))</f>
        <v>1.912568306010929E-2</v>
      </c>
      <c r="E16" s="20">
        <f t="shared" si="0"/>
        <v>35</v>
      </c>
      <c r="F16" s="13"/>
      <c r="G16" s="16" t="s">
        <v>30</v>
      </c>
      <c r="H16" s="16">
        <f>INDEX(Data!$A$23:$F$23,1,MATCH($B$5,Data!$B$20:$F$20,0)+1)</f>
        <v>0</v>
      </c>
      <c r="I16" s="17">
        <f>IF(VLOOKUP($B$5,Data!$A$2:$K$6,3,FALSE())=0,0,H16/VLOOKUP($B$5,Data!$A$2:$K$6,3,FALSE()))</f>
        <v>0</v>
      </c>
      <c r="J16" s="17">
        <f>IF(VLOOKUP($B$5,Data!$A$2:$K$6,2,FALSE())=0,0,H16/VLOOKUP($B$5,Data!$A$2:$K$6,2,FALSE()))</f>
        <v>0</v>
      </c>
      <c r="K16" s="6"/>
      <c r="L16" s="6"/>
      <c r="M16" s="6"/>
      <c r="N16" s="6"/>
    </row>
    <row r="17" spans="1:14" ht="19.5" customHeight="1" x14ac:dyDescent="0.2">
      <c r="A17" s="15" t="s">
        <v>31</v>
      </c>
      <c r="B17" s="16">
        <f>INDEX(Data!$A$11:$M$15,MATCH($B$5,Data!$A$11:$A$15,0),6)</f>
        <v>0</v>
      </c>
      <c r="C17" s="17">
        <f>IF(VLOOKUP($B$5,Data!$A$2:$K$6,3,FALSE())=0,0,B17/VLOOKUP($B$5,Data!$A$2:$K$6,3,FALSE()))</f>
        <v>0</v>
      </c>
      <c r="D17" s="17">
        <f>IF(VLOOKUP($B$5,Data!$A$2:$K$6,2,FALSE())=0,0,B17/VLOOKUP($B$5,Data!$A$2:$K$6,2,FALSE()))</f>
        <v>0</v>
      </c>
      <c r="E17" s="16">
        <f t="shared" si="0"/>
        <v>35</v>
      </c>
      <c r="F17" s="13"/>
      <c r="G17" s="20" t="s">
        <v>32</v>
      </c>
      <c r="H17" s="20">
        <f>INDEX(Data!$A$24:$F$24,1,MATCH($B$5,Data!$B$20:$F$20,0)+1)</f>
        <v>0</v>
      </c>
      <c r="I17" s="21">
        <f>IF(VLOOKUP($B$5,Data!$A$2:$K$6,3,FALSE())=0,0,H17/VLOOKUP($B$5,Data!$A$2:$K$6,3,FALSE()))</f>
        <v>0</v>
      </c>
      <c r="J17" s="21">
        <f>IF(VLOOKUP($B$5,Data!$A$2:$K$6,2,FALSE())=0,0,H17/VLOOKUP($B$5,Data!$A$2:$K$6,2,FALSE()))</f>
        <v>0</v>
      </c>
      <c r="K17" s="6"/>
      <c r="L17" s="6"/>
      <c r="M17" s="6"/>
      <c r="N17" s="6"/>
    </row>
    <row r="18" spans="1:14" ht="19.5" customHeight="1" x14ac:dyDescent="0.2">
      <c r="A18" s="19" t="s">
        <v>33</v>
      </c>
      <c r="B18" s="20">
        <f>INDEX(Data!$A$11:$M$15,MATCH($B$5,Data!$A$11:$A$15,0),7)</f>
        <v>0</v>
      </c>
      <c r="C18" s="21">
        <f>IF(VLOOKUP($B$5,Data!$A$2:$K$6,3,FALSE())=0,0,B18/VLOOKUP($B$5,Data!$A$2:$K$6,3,FALSE()))</f>
        <v>0</v>
      </c>
      <c r="D18" s="21">
        <f>IF(VLOOKUP($B$5,Data!$A$2:$K$6,2,FALSE())=0,0,B18/VLOOKUP($B$5,Data!$A$2:$K$6,2,FALSE()))</f>
        <v>0</v>
      </c>
      <c r="E18" s="20">
        <f t="shared" si="0"/>
        <v>35</v>
      </c>
      <c r="F18" s="13"/>
      <c r="G18" s="16" t="s">
        <v>34</v>
      </c>
      <c r="H18" s="16">
        <f>INDEX(Data!$A$25:$F$25,1,MATCH($B$5,Data!$B$20:$F$20,0)+1)</f>
        <v>0</v>
      </c>
      <c r="I18" s="17">
        <f>IF(VLOOKUP($B$5,Data!$A$2:$K$6,3,FALSE())=0,0,H18/VLOOKUP($B$5,Data!$A$2:$K$6,3,FALSE()))</f>
        <v>0</v>
      </c>
      <c r="J18" s="17">
        <f>IF(VLOOKUP($B$5,Data!$A$2:$K$6,2,FALSE())=0,0,H18/VLOOKUP($B$5,Data!$A$2:$K$6,2,FALSE()))</f>
        <v>0</v>
      </c>
      <c r="K18" s="6"/>
      <c r="L18" s="6"/>
      <c r="M18" s="6"/>
      <c r="N18" s="6"/>
    </row>
    <row r="19" spans="1:14" ht="19.5" customHeight="1" x14ac:dyDescent="0.2">
      <c r="A19" s="15" t="s">
        <v>35</v>
      </c>
      <c r="B19" s="16">
        <f>INDEX(Data!$A$11:$M$15,MATCH($B$5,Data!$A$11:$A$15,0),8)</f>
        <v>0</v>
      </c>
      <c r="C19" s="17">
        <f>IF(VLOOKUP($B$5,Data!$A$2:$K$6,3,FALSE())=0,0,B19/VLOOKUP($B$5,Data!$A$2:$K$6,3,FALSE()))</f>
        <v>0</v>
      </c>
      <c r="D19" s="17">
        <f>IF(VLOOKUP($B$5,Data!$A$2:$K$6,2,FALSE())=0,0,B19/VLOOKUP($B$5,Data!$A$2:$K$6,2,FALSE()))</f>
        <v>0</v>
      </c>
      <c r="E19" s="16">
        <f t="shared" si="0"/>
        <v>35</v>
      </c>
      <c r="F19" s="13"/>
      <c r="G19" s="20" t="s">
        <v>36</v>
      </c>
      <c r="H19" s="20">
        <f>INDEX(Data!$A$26:$F$26,1,MATCH($B$5,Data!$B$20:$F$20,0)+1)</f>
        <v>0</v>
      </c>
      <c r="I19" s="21">
        <f>IF(VLOOKUP($B$5,Data!$A$2:$K$6,3,FALSE())=0,0,H19/VLOOKUP($B$5,Data!$A$2:$K$6,3,FALSE()))</f>
        <v>0</v>
      </c>
      <c r="J19" s="21">
        <f>IF(VLOOKUP($B$5,Data!$A$2:$K$6,2,FALSE())=0,0,H19/VLOOKUP($B$5,Data!$A$2:$K$6,2,FALSE()))</f>
        <v>0</v>
      </c>
      <c r="K19" s="6"/>
      <c r="L19" s="6"/>
      <c r="M19" s="6"/>
      <c r="N19" s="6"/>
    </row>
    <row r="20" spans="1:14" ht="19.5" customHeight="1" x14ac:dyDescent="0.2">
      <c r="A20" s="19" t="s">
        <v>37</v>
      </c>
      <c r="B20" s="20">
        <f>INDEX(Data!$A$11:$M$15,MATCH($B$5,Data!$A$11:$A$15,0),9)</f>
        <v>0</v>
      </c>
      <c r="C20" s="21">
        <f>IF(VLOOKUP($B$5,Data!$A$2:$K$6,3,FALSE())=0,0,B20/VLOOKUP($B$5,Data!$A$2:$K$6,3,FALSE()))</f>
        <v>0</v>
      </c>
      <c r="D20" s="21">
        <f>IF(VLOOKUP($B$5,Data!$A$2:$K$6,2,FALSE())=0,0,B20/VLOOKUP($B$5,Data!$A$2:$K$6,2,FALSE()))</f>
        <v>0</v>
      </c>
      <c r="E20" s="20">
        <f t="shared" si="0"/>
        <v>35</v>
      </c>
      <c r="F20" s="13"/>
      <c r="G20" s="16" t="s">
        <v>38</v>
      </c>
      <c r="H20" s="16">
        <f>INDEX(Data!$A$27:$F$27,1,MATCH($B$5,Data!$B$20:$F$20,0)+1)</f>
        <v>0</v>
      </c>
      <c r="I20" s="17">
        <f>IF(VLOOKUP($B$5,Data!$A$2:$K$6,3,FALSE())=0,0,H20/VLOOKUP($B$5,Data!$A$2:$K$6,3,FALSE()))</f>
        <v>0</v>
      </c>
      <c r="J20" s="17">
        <f>IF(VLOOKUP($B$5,Data!$A$2:$K$6,2,FALSE())=0,0,H20/VLOOKUP($B$5,Data!$A$2:$K$6,2,FALSE()))</f>
        <v>0</v>
      </c>
      <c r="K20" s="6"/>
      <c r="L20" s="6"/>
      <c r="M20" s="6"/>
      <c r="N20" s="6"/>
    </row>
    <row r="21" spans="1:14" ht="19.5" customHeight="1" x14ac:dyDescent="0.2">
      <c r="A21" s="15" t="s">
        <v>39</v>
      </c>
      <c r="B21" s="16">
        <f>INDEX(Data!$A$11:$M$15,MATCH($B$5,Data!$A$11:$A$15,0),10)</f>
        <v>0</v>
      </c>
      <c r="C21" s="17">
        <f>IF(VLOOKUP($B$5,Data!$A$2:$K$6,3,FALSE())=0,0,B21/VLOOKUP($B$5,Data!$A$2:$K$6,3,FALSE()))</f>
        <v>0</v>
      </c>
      <c r="D21" s="17">
        <f>IF(VLOOKUP($B$5,Data!$A$2:$K$6,2,FALSE())=0,0,B21/VLOOKUP($B$5,Data!$A$2:$K$6,2,FALSE()))</f>
        <v>0</v>
      </c>
      <c r="E21" s="16">
        <f t="shared" si="0"/>
        <v>35</v>
      </c>
      <c r="F21" s="13"/>
      <c r="G21" s="20" t="s">
        <v>40</v>
      </c>
      <c r="H21" s="20">
        <f>INDEX(Data!$A$28:$F$28,1,MATCH($B$5,Data!$B$20:$F$20,0)+1)</f>
        <v>0</v>
      </c>
      <c r="I21" s="21">
        <f>IF(VLOOKUP($B$5,Data!$A$2:$K$6,3,FALSE())=0,0,H21/VLOOKUP($B$5,Data!$A$2:$K$6,3,FALSE()))</f>
        <v>0</v>
      </c>
      <c r="J21" s="21">
        <f>IF(VLOOKUP($B$5,Data!$A$2:$K$6,2,FALSE())=0,0,H21/VLOOKUP($B$5,Data!$A$2:$K$6,2,FALSE()))</f>
        <v>0</v>
      </c>
      <c r="K21" s="6"/>
      <c r="L21" s="6"/>
      <c r="M21" s="6"/>
      <c r="N21" s="6"/>
    </row>
    <row r="22" spans="1:14" ht="19.5" customHeight="1" x14ac:dyDescent="0.2">
      <c r="A22" s="19" t="s">
        <v>41</v>
      </c>
      <c r="B22" s="20">
        <f>INDEX(Data!$A$11:$M$15,MATCH($B$5,Data!$A$11:$A$15,0),11)</f>
        <v>0</v>
      </c>
      <c r="C22" s="21">
        <f>IF(VLOOKUP($B$5,Data!$A$2:$K$6,3,FALSE())=0,0,B22/VLOOKUP($B$5,Data!$A$2:$K$6,3,FALSE()))</f>
        <v>0</v>
      </c>
      <c r="D22" s="21">
        <f>IF(VLOOKUP($B$5,Data!$A$2:$K$6,2,FALSE())=0,0,B22/VLOOKUP($B$5,Data!$A$2:$K$6,2,FALSE()))</f>
        <v>0</v>
      </c>
      <c r="E22" s="20">
        <f t="shared" si="0"/>
        <v>35</v>
      </c>
      <c r="F22" s="13"/>
      <c r="G22" s="16" t="s">
        <v>42</v>
      </c>
      <c r="H22" s="16">
        <f>INDEX(Data!$A$29:$F$29,1,MATCH($B$5,Data!$B$20:$F$20,0)+1)</f>
        <v>1</v>
      </c>
      <c r="I22" s="17">
        <f>IF(VLOOKUP($B$5,Data!$A$2:$K$6,3,FALSE())=0,0,H22/VLOOKUP($B$5,Data!$A$2:$K$6,3,FALSE()))</f>
        <v>2.8571428571428571E-2</v>
      </c>
      <c r="J22" s="17">
        <f>IF(VLOOKUP($B$5,Data!$A$2:$K$6,2,FALSE())=0,0,H22/VLOOKUP($B$5,Data!$A$2:$K$6,2,FALSE()))</f>
        <v>2.7322404371584699E-3</v>
      </c>
      <c r="K22" s="6"/>
      <c r="L22" s="6"/>
      <c r="M22" s="6"/>
      <c r="N22" s="6"/>
    </row>
    <row r="23" spans="1:14" ht="19.5" customHeight="1" x14ac:dyDescent="0.2">
      <c r="A23" s="15" t="s">
        <v>43</v>
      </c>
      <c r="B23" s="16">
        <f>INDEX(Data!$A$11:$M$15,MATCH($B$5,Data!$A$11:$A$15,0),12)</f>
        <v>0</v>
      </c>
      <c r="C23" s="17">
        <f>IF(VLOOKUP($B$5,Data!$A$2:$K$6,3,FALSE())=0,0,B23/VLOOKUP($B$5,Data!$A$2:$K$6,3,FALSE()))</f>
        <v>0</v>
      </c>
      <c r="D23" s="17">
        <f>IF(VLOOKUP($B$5,Data!$A$2:$K$6,2,FALSE())=0,0,B23/VLOOKUP($B$5,Data!$A$2:$K$6,2,FALSE()))</f>
        <v>0</v>
      </c>
      <c r="E23" s="16">
        <f t="shared" si="0"/>
        <v>35</v>
      </c>
      <c r="F23" s="13"/>
      <c r="G23" s="20" t="s">
        <v>44</v>
      </c>
      <c r="H23" s="20">
        <f>INDEX(Data!$A$30:$F$30,1,MATCH($B$5,Data!$B$20:$F$20,0)+1)</f>
        <v>0</v>
      </c>
      <c r="I23" s="21">
        <f>IF(VLOOKUP($B$5,Data!$A$2:$K$6,3,FALSE())=0,0,H23/VLOOKUP($B$5,Data!$A$2:$K$6,3,FALSE()))</f>
        <v>0</v>
      </c>
      <c r="J23" s="21">
        <f>IF(VLOOKUP($B$5,Data!$A$2:$K$6,2,FALSE())=0,0,H23/VLOOKUP($B$5,Data!$A$2:$K$6,2,FALSE()))</f>
        <v>0</v>
      </c>
      <c r="K23" s="6"/>
      <c r="L23" s="6"/>
      <c r="M23" s="6"/>
      <c r="N23" s="6"/>
    </row>
    <row r="24" spans="1:14" ht="19.5" customHeight="1" x14ac:dyDescent="0.2">
      <c r="A24" s="19" t="s">
        <v>45</v>
      </c>
      <c r="B24" s="20">
        <f>INDEX(Data!$A$11:$M$15,MATCH($B$5,Data!$A$11:$A$15,0),13)</f>
        <v>0</v>
      </c>
      <c r="C24" s="21">
        <f>IF(VLOOKUP($B$5,Data!$A$2:$K$6,3,FALSE())=0,0,B24/VLOOKUP($B$5,Data!$A$2:$K$6,3,FALSE()))</f>
        <v>0</v>
      </c>
      <c r="D24" s="21">
        <f>IF(VLOOKUP($B$5,Data!$A$2:$K$6,2,FALSE())=0,0,B24/VLOOKUP($B$5,Data!$A$2:$K$6,2,FALSE()))</f>
        <v>0</v>
      </c>
      <c r="E24" s="20">
        <f t="shared" si="0"/>
        <v>35</v>
      </c>
      <c r="F24" s="13"/>
      <c r="G24" s="16" t="s">
        <v>46</v>
      </c>
      <c r="H24" s="16">
        <f>INDEX(Data!$A$31:$F$31,1,MATCH($B$5,Data!$B$20:$F$20,0)+1)</f>
        <v>0</v>
      </c>
      <c r="I24" s="17">
        <f>IF(VLOOKUP($B$5,Data!$A$2:$K$6,3,FALSE())=0,0,H24/VLOOKUP($B$5,Data!$A$2:$K$6,3,FALSE()))</f>
        <v>0</v>
      </c>
      <c r="J24" s="17">
        <f>IF(VLOOKUP($B$5,Data!$A$2:$K$6,2,FALSE())=0,0,H24/VLOOKUP($B$5,Data!$A$2:$K$6,2,FALSE()))</f>
        <v>0</v>
      </c>
      <c r="K24" s="6"/>
      <c r="L24" s="6"/>
      <c r="M24" s="6"/>
      <c r="N24" s="6"/>
    </row>
    <row r="25" spans="1:14" ht="19.5" customHeight="1" x14ac:dyDescent="0.2">
      <c r="A25" s="6"/>
      <c r="B25" s="6"/>
      <c r="C25" s="6"/>
      <c r="D25" s="6"/>
      <c r="E25" s="6"/>
      <c r="F25" s="13"/>
      <c r="G25" s="20" t="s">
        <v>47</v>
      </c>
      <c r="H25" s="20">
        <f>INDEX(Data!$A$32:$F$32,1,MATCH($B$5,Data!$B$20:$F$20,0)+1)</f>
        <v>0</v>
      </c>
      <c r="I25" s="21">
        <f>IF(VLOOKUP($B$5,Data!$A$2:$K$6,3,FALSE())=0,0,H25/VLOOKUP($B$5,Data!$A$2:$K$6,3,FALSE()))</f>
        <v>0</v>
      </c>
      <c r="J25" s="21">
        <f>IF(VLOOKUP($B$5,Data!$A$2:$K$6,2,FALSE())=0,0,H25/VLOOKUP($B$5,Data!$A$2:$K$6,2,FALSE()))</f>
        <v>0</v>
      </c>
      <c r="K25" s="6"/>
      <c r="L25" s="6"/>
      <c r="M25" s="6"/>
      <c r="N25" s="6"/>
    </row>
    <row r="26" spans="1:14" ht="27.75" customHeight="1" x14ac:dyDescent="0.2">
      <c r="A26" s="147" t="s">
        <v>48</v>
      </c>
      <c r="B26" s="147"/>
      <c r="C26" s="147"/>
      <c r="D26" s="147"/>
      <c r="E26" s="22"/>
      <c r="F26" s="13"/>
      <c r="G26" s="16" t="s">
        <v>49</v>
      </c>
      <c r="H26" s="16">
        <f>INDEX(Data!$A$33:$F$33,1,MATCH($B$5,Data!$B$20:$F$20,0)+1)</f>
        <v>0</v>
      </c>
      <c r="I26" s="17">
        <f>IF(VLOOKUP($B$5,Data!$A$2:$K$6,3,FALSE())=0,0,H26/VLOOKUP($B$5,Data!$A$2:$K$6,3,FALSE()))</f>
        <v>0</v>
      </c>
      <c r="J26" s="17">
        <f>IF(VLOOKUP($B$5,Data!$A$2:$K$6,2,FALSE())=0,0,H26/VLOOKUP($B$5,Data!$A$2:$K$6,2,FALSE()))</f>
        <v>0</v>
      </c>
      <c r="K26" s="6"/>
      <c r="L26" s="6"/>
      <c r="M26" s="6"/>
      <c r="N26" s="6"/>
    </row>
    <row r="27" spans="1:14" ht="24" customHeight="1" x14ac:dyDescent="0.2">
      <c r="A27" s="14" t="s">
        <v>50</v>
      </c>
      <c r="B27" s="14" t="s">
        <v>21</v>
      </c>
      <c r="C27" s="14" t="s">
        <v>22</v>
      </c>
      <c r="D27" s="23" t="s">
        <v>51</v>
      </c>
      <c r="E27" s="24"/>
      <c r="F27" s="13"/>
      <c r="G27" s="20" t="s">
        <v>52</v>
      </c>
      <c r="H27" s="20">
        <f>INDEX(Data!$A$34:$F$34,1,MATCH($B$5,Data!$B$20:$F$20,0)+1)</f>
        <v>0</v>
      </c>
      <c r="I27" s="21">
        <f>IF(VLOOKUP($B$5,Data!$A$2:$K$6,3,FALSE())=0,0,H27/VLOOKUP($B$5,Data!$A$2:$K$6,3,FALSE()))</f>
        <v>0</v>
      </c>
      <c r="J27" s="21">
        <f>IF(VLOOKUP($B$5,Data!$A$2:$K$6,2,FALSE())=0,0,H27/VLOOKUP($B$5,Data!$A$2:$K$6,2,FALSE()))</f>
        <v>0</v>
      </c>
      <c r="K27" s="6"/>
      <c r="L27" s="6"/>
      <c r="M27" s="6"/>
      <c r="N27" s="6"/>
    </row>
    <row r="28" spans="1:14" ht="19.5" customHeight="1" x14ac:dyDescent="0.2">
      <c r="A28" s="15" t="s">
        <v>53</v>
      </c>
      <c r="B28" s="16">
        <f>INDEX(Data!$A$56:$G$56,1,MATCH($B$5,Data!$C$55:$G$55,0)+2)</f>
        <v>15</v>
      </c>
      <c r="C28" s="17">
        <f>IF(VLOOKUP($B$5,Data!$A$2:$K$6,3,FALSE())=0,0,B28/VLOOKUP($B$5,Data!$A$2:$K$6,3,FALSE()))</f>
        <v>0.42857142857142855</v>
      </c>
      <c r="D28" s="25" t="s">
        <v>54</v>
      </c>
      <c r="E28" s="26"/>
      <c r="F28" s="13"/>
      <c r="G28" s="16" t="s">
        <v>55</v>
      </c>
      <c r="H28" s="16">
        <f>INDEX(Data!$A$35:$F$35,1,MATCH($B$5,Data!$B$20:$F$20,0)+1)</f>
        <v>0</v>
      </c>
      <c r="I28" s="17">
        <f>IF(VLOOKUP($B$5,Data!$A$2:$K$6,3,FALSE())=0,0,H28/VLOOKUP($B$5,Data!$A$2:$K$6,3,FALSE()))</f>
        <v>0</v>
      </c>
      <c r="J28" s="17">
        <f>IF(VLOOKUP($B$5,Data!$A$2:$K$6,2,FALSE())=0,0,H28/VLOOKUP($B$5,Data!$A$2:$K$6,2,FALSE()))</f>
        <v>0</v>
      </c>
      <c r="K28" s="6"/>
      <c r="L28" s="6"/>
      <c r="M28" s="6"/>
      <c r="N28" s="6"/>
    </row>
    <row r="29" spans="1:14" ht="19.5" customHeight="1" x14ac:dyDescent="0.2">
      <c r="A29" s="19" t="s">
        <v>56</v>
      </c>
      <c r="B29" s="20">
        <f>INDEX(Data!$A$57:$G$57,1,MATCH($B$5,Data!$C$55:$G$55,0)+2)</f>
        <v>3</v>
      </c>
      <c r="C29" s="21">
        <f>IF(VLOOKUP($B$5,Data!$A$2:$K$6,3,FALSE())=0,0,B29/VLOOKUP($B$5,Data!$A$2:$K$6,3,FALSE()))</f>
        <v>8.5714285714285715E-2</v>
      </c>
      <c r="D29" s="27" t="s">
        <v>54</v>
      </c>
      <c r="E29" s="26"/>
      <c r="F29" s="13"/>
      <c r="G29" s="20" t="s">
        <v>57</v>
      </c>
      <c r="H29" s="20">
        <f>INDEX(Data!$A$36:$F$36,1,MATCH($B$5,Data!$B$20:$F$20,0)+1)</f>
        <v>0</v>
      </c>
      <c r="I29" s="21">
        <f>IF(VLOOKUP($B$5,Data!$A$2:$K$6,3,FALSE())=0,0,H29/VLOOKUP($B$5,Data!$A$2:$K$6,3,FALSE()))</f>
        <v>0</v>
      </c>
      <c r="J29" s="21">
        <f>IF(VLOOKUP($B$5,Data!$A$2:$K$6,2,FALSE())=0,0,H29/VLOOKUP($B$5,Data!$A$2:$K$6,2,FALSE()))</f>
        <v>0</v>
      </c>
      <c r="K29" s="6"/>
      <c r="L29" s="6"/>
      <c r="M29" s="6"/>
      <c r="N29" s="6"/>
    </row>
    <row r="30" spans="1:14" ht="19.5" customHeight="1" x14ac:dyDescent="0.2">
      <c r="A30" s="15" t="s">
        <v>58</v>
      </c>
      <c r="B30" s="16">
        <f>INDEX(Data!$A$58:$G$58,1,MATCH($B$5,Data!$C$55:$G$55,0)+2)</f>
        <v>3</v>
      </c>
      <c r="C30" s="17">
        <f>IF(VLOOKUP($B$5,Data!$A$2:$K$6,3,FALSE())=0,0,B30/VLOOKUP($B$5,Data!$A$2:$K$6,3,FALSE()))</f>
        <v>8.5714285714285715E-2</v>
      </c>
      <c r="D30" s="28" t="s">
        <v>54</v>
      </c>
      <c r="E30" s="26"/>
      <c r="F30" s="13"/>
      <c r="G30" s="16" t="s">
        <v>59</v>
      </c>
      <c r="H30" s="16">
        <f>INDEX(Data!$A$37:$F$37,1,MATCH($B$5,Data!$B$20:$F$20,0)+1)</f>
        <v>0</v>
      </c>
      <c r="I30" s="17">
        <f>IF(VLOOKUP($B$5,Data!$A$2:$K$6,3,FALSE())=0,0,H30/VLOOKUP($B$5,Data!$A$2:$K$6,3,FALSE()))</f>
        <v>0</v>
      </c>
      <c r="J30" s="17">
        <f>IF(VLOOKUP($B$5,Data!$A$2:$K$6,2,FALSE())=0,0,H30/VLOOKUP($B$5,Data!$A$2:$K$6,2,FALSE()))</f>
        <v>0</v>
      </c>
      <c r="K30" s="6"/>
      <c r="L30" s="6"/>
      <c r="M30" s="6"/>
      <c r="N30" s="6"/>
    </row>
    <row r="31" spans="1:14" ht="19.5" customHeight="1" x14ac:dyDescent="0.2">
      <c r="A31" s="19" t="s">
        <v>60</v>
      </c>
      <c r="B31" s="20">
        <f>INDEX(Data!$A$59:$G$59,1,MATCH($B$5,Data!$C$55:$G$55,0)+2)</f>
        <v>0</v>
      </c>
      <c r="C31" s="21">
        <f>IF(VLOOKUP($B$5,Data!$A$2:$K$6,3,FALSE())=0,0,B31/VLOOKUP($B$5,Data!$A$2:$K$6,3,FALSE()))</f>
        <v>0</v>
      </c>
      <c r="D31" s="27" t="s">
        <v>54</v>
      </c>
      <c r="E31" s="26"/>
      <c r="F31" s="13"/>
      <c r="G31" s="20" t="s">
        <v>61</v>
      </c>
      <c r="H31" s="20">
        <f>INDEX(Data!$A$38:$F$38,1,MATCH($B$5,Data!$B$20:$F$20,0)+1)</f>
        <v>0</v>
      </c>
      <c r="I31" s="21">
        <f>IF(VLOOKUP($B$5,Data!$A$2:$K$6,3,FALSE())=0,0,H31/VLOOKUP($B$5,Data!$A$2:$K$6,3,FALSE()))</f>
        <v>0</v>
      </c>
      <c r="J31" s="21">
        <f>IF(VLOOKUP($B$5,Data!$A$2:$K$6,2,FALSE())=0,0,H31/VLOOKUP($B$5,Data!$A$2:$K$6,2,FALSE()))</f>
        <v>0</v>
      </c>
      <c r="K31" s="6"/>
      <c r="L31" s="6"/>
      <c r="M31" s="6"/>
      <c r="N31" s="6"/>
    </row>
    <row r="32" spans="1:14" ht="19.5" customHeight="1" x14ac:dyDescent="0.2">
      <c r="A32" s="15" t="s">
        <v>62</v>
      </c>
      <c r="B32" s="16">
        <f>INDEX(Data!$A$60:$G$60,1,MATCH($B$5,Data!$C$55:$G$55,0)+2)</f>
        <v>0</v>
      </c>
      <c r="C32" s="17">
        <f>IF(VLOOKUP($B$5,Data!$A$2:$K$6,3,FALSE())=0,0,B32/VLOOKUP($B$5,Data!$A$2:$K$6,3,FALSE()))</f>
        <v>0</v>
      </c>
      <c r="D32" s="28" t="s">
        <v>54</v>
      </c>
      <c r="E32" s="26"/>
      <c r="F32" s="13"/>
      <c r="G32" s="18" t="s">
        <v>63</v>
      </c>
      <c r="H32" s="18"/>
      <c r="I32" s="18"/>
      <c r="J32" s="18"/>
      <c r="K32" s="6"/>
      <c r="L32" s="6"/>
      <c r="M32" s="6"/>
      <c r="N32" s="6"/>
    </row>
    <row r="33" spans="1:14" ht="19.5" customHeight="1" x14ac:dyDescent="0.2">
      <c r="A33" s="19" t="s">
        <v>64</v>
      </c>
      <c r="B33" s="20">
        <f>INDEX(Data!$A$61:$G$61,1,MATCH($B$5,Data!$C$55:$G$55,0)+2)</f>
        <v>4</v>
      </c>
      <c r="C33" s="21">
        <f>IF(VLOOKUP($B$5,Data!$A$2:$K$6,3,FALSE())=0,0,B33/VLOOKUP($B$5,Data!$A$2:$K$6,3,FALSE()))</f>
        <v>0.11428571428571428</v>
      </c>
      <c r="D33" s="27" t="s">
        <v>65</v>
      </c>
      <c r="E33" s="26"/>
      <c r="F33" s="13"/>
      <c r="G33" s="16" t="s">
        <v>66</v>
      </c>
      <c r="H33" s="16">
        <f>INDEX(Data!$A$39:$F$39,1,MATCH($B$5,Data!$B$20:$F$20,0)+1)</f>
        <v>25</v>
      </c>
      <c r="I33" s="17">
        <f>IF(VLOOKUP($B$5,Data!$A$2:$K$6,3,FALSE())=0,0,H33/VLOOKUP($B$5,Data!$A$2:$K$6,3,FALSE()))</f>
        <v>0.7142857142857143</v>
      </c>
      <c r="J33" s="17">
        <f>IF(VLOOKUP($B$5,Data!$A$2:$K$6,2,FALSE())=0,0,H33/VLOOKUP($B$5,Data!$A$2:$K$6,2,FALSE()))</f>
        <v>6.8306010928961755E-2</v>
      </c>
      <c r="K33" s="6"/>
      <c r="L33" s="6"/>
      <c r="M33" s="6"/>
      <c r="N33" s="6"/>
    </row>
    <row r="34" spans="1:14" ht="19.5" customHeight="1" x14ac:dyDescent="0.2">
      <c r="A34" s="15" t="s">
        <v>67</v>
      </c>
      <c r="B34" s="16">
        <f>INDEX(Data!$A$62:$G$62,1,MATCH($B$5,Data!$C$55:$G$55,0)+2)</f>
        <v>0</v>
      </c>
      <c r="C34" s="17">
        <f>IF(VLOOKUP($B$5,Data!$A$2:$K$6,3,FALSE())=0,0,B34/VLOOKUP($B$5,Data!$A$2:$K$6,3,FALSE()))</f>
        <v>0</v>
      </c>
      <c r="D34" s="28" t="s">
        <v>65</v>
      </c>
      <c r="E34" s="26"/>
      <c r="F34" s="13"/>
      <c r="G34" s="20" t="s">
        <v>68</v>
      </c>
      <c r="H34" s="20">
        <f>INDEX(Data!$A$40:$F$40,1,MATCH($B$5,Data!$B$20:$F$20,0)+1)</f>
        <v>3</v>
      </c>
      <c r="I34" s="21">
        <f>IF(VLOOKUP($B$5,Data!$A$2:$K$6,3,FALSE())=0,0,H34/VLOOKUP($B$5,Data!$A$2:$K$6,3,FALSE()))</f>
        <v>8.5714285714285715E-2</v>
      </c>
      <c r="J34" s="21">
        <f>IF(VLOOKUP($B$5,Data!$A$2:$K$6,2,FALSE())=0,0,H34/VLOOKUP($B$5,Data!$A$2:$K$6,2,FALSE()))</f>
        <v>8.1967213114754103E-3</v>
      </c>
      <c r="K34" s="6"/>
      <c r="L34" s="6"/>
      <c r="M34" s="6"/>
      <c r="N34" s="6"/>
    </row>
    <row r="35" spans="1:14" ht="19.5" customHeight="1" x14ac:dyDescent="0.2">
      <c r="A35" s="19" t="s">
        <v>69</v>
      </c>
      <c r="B35" s="20">
        <f>INDEX(Data!$A$63:$G$63,1,MATCH($B$5,Data!$C$55:$G$55,0)+2)</f>
        <v>1</v>
      </c>
      <c r="C35" s="21">
        <f>IF(VLOOKUP($B$5,Data!$A$2:$K$6,3,FALSE())=0,0,B35/VLOOKUP($B$5,Data!$A$2:$K$6,3,FALSE()))</f>
        <v>2.8571428571428571E-2</v>
      </c>
      <c r="D35" s="27" t="s">
        <v>70</v>
      </c>
      <c r="E35" s="26"/>
      <c r="F35" s="13"/>
      <c r="G35" s="16" t="s">
        <v>71</v>
      </c>
      <c r="H35" s="16">
        <f>INDEX(Data!$A$41:$F$41,1,MATCH($B$5,Data!$B$20:$F$20,0)+1)</f>
        <v>0</v>
      </c>
      <c r="I35" s="17">
        <f>IF(VLOOKUP($B$5,Data!$A$2:$K$6,3,FALSE())=0,0,H35/VLOOKUP($B$5,Data!$A$2:$K$6,3,FALSE()))</f>
        <v>0</v>
      </c>
      <c r="J35" s="17">
        <f>IF(VLOOKUP($B$5,Data!$A$2:$K$6,2,FALSE())=0,0,H35/VLOOKUP($B$5,Data!$A$2:$K$6,2,FALSE()))</f>
        <v>0</v>
      </c>
      <c r="K35" s="6"/>
      <c r="L35" s="6"/>
      <c r="M35" s="6"/>
      <c r="N35" s="6"/>
    </row>
    <row r="36" spans="1:14" ht="19.5" customHeight="1" x14ac:dyDescent="0.2">
      <c r="A36" s="15" t="s">
        <v>72</v>
      </c>
      <c r="B36" s="16">
        <f>INDEX(Data!$A$64:$G$64,1,MATCH($B$5,Data!$C$55:$G$55,0)+2)</f>
        <v>0</v>
      </c>
      <c r="C36" s="17">
        <f>IF(VLOOKUP($B$5,Data!$A$2:$K$6,3,FALSE())=0,0,B36/VLOOKUP($B$5,Data!$A$2:$K$6,3,FALSE()))</f>
        <v>0</v>
      </c>
      <c r="D36" s="28" t="s">
        <v>70</v>
      </c>
      <c r="E36" s="26"/>
      <c r="F36" s="13"/>
      <c r="G36" s="18" t="s">
        <v>73</v>
      </c>
      <c r="H36" s="18"/>
      <c r="I36" s="18"/>
      <c r="J36" s="18"/>
      <c r="K36" s="6"/>
      <c r="L36" s="6"/>
      <c r="M36" s="6"/>
      <c r="N36" s="6"/>
    </row>
    <row r="37" spans="1:14" ht="19.5" customHeight="1" x14ac:dyDescent="0.2">
      <c r="A37" s="19" t="s">
        <v>70</v>
      </c>
      <c r="B37" s="20">
        <f>INDEX(Data!$A$65:$G$65,1,MATCH($B$5,Data!$C$55:$G$55,0)+2)</f>
        <v>2</v>
      </c>
      <c r="C37" s="21">
        <f>IF(VLOOKUP($B$5,Data!$A$2:$K$6,3,FALSE())=0,0,B37/VLOOKUP($B$5,Data!$A$2:$K$6,3,FALSE()))</f>
        <v>5.7142857142857141E-2</v>
      </c>
      <c r="D37" s="27" t="s">
        <v>70</v>
      </c>
      <c r="E37" s="26"/>
      <c r="F37" s="13"/>
      <c r="G37" s="16" t="s">
        <v>74</v>
      </c>
      <c r="H37" s="16">
        <f>INDEX(Data!$A$42:$F$42,1,MATCH($B$5,Data!$B$20:$F$20,0)+1)</f>
        <v>1</v>
      </c>
      <c r="I37" s="17">
        <f>IF(VLOOKUP($B$5,Data!$A$2:$K$6,3,FALSE())=0,0,H37/VLOOKUP($B$5,Data!$A$2:$K$6,3,FALSE()))</f>
        <v>2.8571428571428571E-2</v>
      </c>
      <c r="J37" s="17">
        <f>IF(VLOOKUP($B$5,Data!$A$2:$K$6,2,FALSE())=0,0,H37/VLOOKUP($B$5,Data!$A$2:$K$6,2,FALSE()))</f>
        <v>2.7322404371584699E-3</v>
      </c>
      <c r="K37" s="6"/>
      <c r="L37" s="6"/>
      <c r="M37" s="6"/>
      <c r="N37" s="6"/>
    </row>
    <row r="38" spans="1:14" ht="19.5" customHeight="1" x14ac:dyDescent="0.2">
      <c r="A38" s="15" t="s">
        <v>75</v>
      </c>
      <c r="B38" s="16">
        <f>INDEX(Data!$A$66:$G$66,1,MATCH($B$5,Data!$C$55:$G$55,0)+2)</f>
        <v>1</v>
      </c>
      <c r="C38" s="17">
        <f>IF(VLOOKUP($B$5,Data!$A$2:$K$6,3,FALSE())=0,0,B38/VLOOKUP($B$5,Data!$A$2:$K$6,3,FALSE()))</f>
        <v>2.8571428571428571E-2</v>
      </c>
      <c r="D38" s="28" t="s">
        <v>70</v>
      </c>
      <c r="E38" s="26"/>
      <c r="F38" s="13"/>
      <c r="G38" s="20" t="s">
        <v>76</v>
      </c>
      <c r="H38" s="20">
        <f>INDEX(Data!$A$43:$F$43,1,MATCH($B$5,Data!$B$20:$F$20,0)+1)</f>
        <v>0</v>
      </c>
      <c r="I38" s="21">
        <f>IF(VLOOKUP($B$5,Data!$A$2:$K$6,3,FALSE())=0,0,H38/VLOOKUP($B$5,Data!$A$2:$K$6,3,FALSE()))</f>
        <v>0</v>
      </c>
      <c r="J38" s="21">
        <f>IF(VLOOKUP($B$5,Data!$A$2:$K$6,2,FALSE())=0,0,H38/VLOOKUP($B$5,Data!$A$2:$K$6,2,FALSE()))</f>
        <v>0</v>
      </c>
      <c r="K38" s="6"/>
      <c r="L38" s="6"/>
      <c r="M38" s="6"/>
      <c r="N38" s="6"/>
    </row>
    <row r="39" spans="1:14" ht="19.5" customHeight="1" x14ac:dyDescent="0.2">
      <c r="A39" s="19" t="s">
        <v>77</v>
      </c>
      <c r="B39" s="20">
        <f>INDEX(Data!$A$67:$G$67,1,MATCH($B$5,Data!$C$55:$G$55,0)+2)</f>
        <v>1</v>
      </c>
      <c r="C39" s="21">
        <f>IF(VLOOKUP($B$5,Data!$A$2:$K$6,3,FALSE())=0,0,B39/VLOOKUP($B$5,Data!$A$2:$K$6,3,FALSE()))</f>
        <v>2.8571428571428571E-2</v>
      </c>
      <c r="D39" s="27" t="s">
        <v>70</v>
      </c>
      <c r="E39" s="26"/>
      <c r="F39" s="13"/>
      <c r="G39" s="16" t="s">
        <v>78</v>
      </c>
      <c r="H39" s="16">
        <f>INDEX(Data!$A$44:$F$44,1,MATCH($B$5,Data!$B$20:$F$20,0)+1)</f>
        <v>0</v>
      </c>
      <c r="I39" s="17">
        <f>IF(VLOOKUP($B$5,Data!$A$2:$K$6,3,FALSE())=0,0,H39/VLOOKUP($B$5,Data!$A$2:$K$6,3,FALSE()))</f>
        <v>0</v>
      </c>
      <c r="J39" s="17">
        <f>IF(VLOOKUP($B$5,Data!$A$2:$K$6,2,FALSE())=0,0,H39/VLOOKUP($B$5,Data!$A$2:$K$6,2,FALSE()))</f>
        <v>0</v>
      </c>
      <c r="K39" s="6"/>
      <c r="L39" s="6"/>
      <c r="M39" s="6"/>
      <c r="N39" s="6"/>
    </row>
    <row r="40" spans="1:14" ht="19.5" customHeight="1" x14ac:dyDescent="0.2">
      <c r="A40" s="6"/>
      <c r="B40" s="6"/>
      <c r="C40" s="6"/>
      <c r="D40" s="6"/>
      <c r="E40" s="6"/>
      <c r="F40" s="13"/>
      <c r="G40" s="18" t="s">
        <v>79</v>
      </c>
      <c r="H40" s="18"/>
      <c r="I40" s="18"/>
      <c r="J40" s="18"/>
      <c r="K40" s="6"/>
      <c r="L40" s="6"/>
      <c r="M40" s="6"/>
      <c r="N40" s="6"/>
    </row>
    <row r="41" spans="1:14" ht="19.5" customHeight="1" x14ac:dyDescent="0.2">
      <c r="A41" s="29"/>
      <c r="B41" s="29" t="s">
        <v>54</v>
      </c>
      <c r="C41" s="30">
        <f>VLOOKUP($B$5,Data!$A$2:$K$6,6,FALSE())</f>
        <v>21</v>
      </c>
      <c r="D41" s="31">
        <f>IF(VLOOKUP($B$5,Data!$A$2:$K$6,3,FALSE())=0,0,C41/VLOOKUP($B$5,Data!$A$2:$K$6,3,FALSE()))</f>
        <v>0.6</v>
      </c>
      <c r="E41" s="6"/>
      <c r="F41" s="13"/>
      <c r="G41" s="16" t="s">
        <v>80</v>
      </c>
      <c r="H41" s="16">
        <f>INDEX(Data!$A$45:$F$45,1,MATCH($B$5,Data!$B$20:$F$20,0)+1)</f>
        <v>0</v>
      </c>
      <c r="I41" s="17">
        <f>IF(VLOOKUP($B$5,Data!$A$2:$K$6,3,FALSE())=0,0,H41/VLOOKUP($B$5,Data!$A$2:$K$6,3,FALSE()))</f>
        <v>0</v>
      </c>
      <c r="J41" s="17">
        <f>IF(VLOOKUP($B$5,Data!$A$2:$K$6,2,FALSE())=0,0,H41/VLOOKUP($B$5,Data!$A$2:$K$6,2,FALSE()))</f>
        <v>0</v>
      </c>
      <c r="K41" s="6"/>
      <c r="L41" s="6"/>
      <c r="M41" s="6"/>
      <c r="N41" s="6"/>
    </row>
    <row r="42" spans="1:14" ht="19.5" customHeight="1" x14ac:dyDescent="0.2">
      <c r="A42" s="29"/>
      <c r="B42" s="29" t="s">
        <v>65</v>
      </c>
      <c r="C42" s="30">
        <f>VLOOKUP($B$5,Data!$A$2:$K$6,7,FALSE())</f>
        <v>4</v>
      </c>
      <c r="D42" s="31">
        <f>IF(VLOOKUP($B$5,Data!$A$2:$K$6,3,FALSE())=0,0,C42/VLOOKUP($B$5,Data!$A$2:$K$6,3,FALSE()))</f>
        <v>0.11428571428571428</v>
      </c>
      <c r="E42" s="6"/>
      <c r="F42" s="13"/>
      <c r="G42" s="20" t="s">
        <v>81</v>
      </c>
      <c r="H42" s="20">
        <f>INDEX(Data!$A$46:$F$46,1,MATCH($B$5,Data!$B$20:$F$20,0)+1)</f>
        <v>0</v>
      </c>
      <c r="I42" s="21">
        <f>IF(VLOOKUP($B$5,Data!$A$2:$K$6,3,FALSE())=0,0,H42/VLOOKUP($B$5,Data!$A$2:$K$6,3,FALSE()))</f>
        <v>0</v>
      </c>
      <c r="J42" s="21">
        <f>IF(VLOOKUP($B$5,Data!$A$2:$K$6,2,FALSE())=0,0,H42/VLOOKUP($B$5,Data!$A$2:$K$6,2,FALSE()))</f>
        <v>0</v>
      </c>
      <c r="K42" s="6"/>
      <c r="L42" s="6"/>
      <c r="M42" s="6"/>
      <c r="N42" s="6"/>
    </row>
    <row r="43" spans="1:14" ht="19.5" customHeight="1" x14ac:dyDescent="0.2">
      <c r="A43" s="29"/>
      <c r="B43" s="29" t="s">
        <v>70</v>
      </c>
      <c r="C43" s="30">
        <f>VLOOKUP($B$5,Data!$A$2:$K$6,8,FALSE())</f>
        <v>10</v>
      </c>
      <c r="D43" s="31">
        <f>IF(VLOOKUP($B$5,Data!$A$2:$K$6,3,FALSE())=0,0,C43/VLOOKUP($B$5,Data!$A$2:$K$6,3,FALSE()))</f>
        <v>0.2857142857142857</v>
      </c>
      <c r="E43" s="6"/>
      <c r="F43" s="13"/>
      <c r="G43" s="18" t="s">
        <v>82</v>
      </c>
      <c r="H43" s="18"/>
      <c r="I43" s="18"/>
      <c r="J43" s="18"/>
      <c r="K43" s="6"/>
      <c r="L43" s="6"/>
      <c r="M43" s="6"/>
      <c r="N43" s="6"/>
    </row>
    <row r="44" spans="1:14" ht="19.5" customHeight="1" x14ac:dyDescent="0.2">
      <c r="A44" s="6"/>
      <c r="B44" s="6"/>
      <c r="C44" s="6"/>
      <c r="D44" s="6"/>
      <c r="E44" s="6"/>
      <c r="F44" s="13"/>
      <c r="G44" s="16" t="s">
        <v>83</v>
      </c>
      <c r="H44" s="16">
        <f>INDEX(Data!$A$47:$F$47,1,MATCH($B$5,Data!$B$20:$F$20,0)+1)</f>
        <v>1</v>
      </c>
      <c r="I44" s="17">
        <f>IF(VLOOKUP($B$5,Data!$A$2:$K$6,3,FALSE())=0,0,H44/VLOOKUP($B$5,Data!$A$2:$K$6,3,FALSE()))</f>
        <v>2.8571428571428571E-2</v>
      </c>
      <c r="J44" s="17">
        <f>IF(VLOOKUP($B$5,Data!$A$2:$K$6,2,FALSE())=0,0,H44/VLOOKUP($B$5,Data!$A$2:$K$6,2,FALSE()))</f>
        <v>2.7322404371584699E-3</v>
      </c>
      <c r="K44" s="6"/>
      <c r="L44" s="6"/>
      <c r="M44" s="6"/>
      <c r="N44" s="6"/>
    </row>
    <row r="45" spans="1:14" ht="19.5" customHeight="1" x14ac:dyDescent="0.2">
      <c r="A45" s="6"/>
      <c r="B45" s="6"/>
      <c r="C45" s="6"/>
      <c r="D45" s="6"/>
      <c r="E45" s="6"/>
      <c r="F45" s="13"/>
      <c r="G45" s="20" t="s">
        <v>84</v>
      </c>
      <c r="H45" s="20">
        <f>INDEX(Data!$A$48:$F$48,1,MATCH($B$5,Data!$B$20:$F$20,0)+1)</f>
        <v>0</v>
      </c>
      <c r="I45" s="21">
        <f>IF(VLOOKUP($B$5,Data!$A$2:$K$6,3,FALSE())=0,0,H45/VLOOKUP($B$5,Data!$A$2:$K$6,3,FALSE()))</f>
        <v>0</v>
      </c>
      <c r="J45" s="21">
        <f>IF(VLOOKUP($B$5,Data!$A$2:$K$6,2,FALSE())=0,0,H45/VLOOKUP($B$5,Data!$A$2:$K$6,2,FALSE()))</f>
        <v>0</v>
      </c>
      <c r="K45" s="6"/>
      <c r="L45" s="6"/>
      <c r="M45" s="6"/>
      <c r="N45" s="6"/>
    </row>
    <row r="46" spans="1:14" ht="27.75" customHeight="1" x14ac:dyDescent="0.2">
      <c r="A46" s="146" t="s">
        <v>85</v>
      </c>
      <c r="B46" s="146"/>
      <c r="C46" s="146"/>
      <c r="D46" s="146"/>
      <c r="E46" s="146"/>
      <c r="F46" s="13"/>
      <c r="G46" s="18" t="s">
        <v>86</v>
      </c>
      <c r="H46" s="18"/>
      <c r="I46" s="18"/>
      <c r="J46" s="18"/>
      <c r="K46" s="6"/>
      <c r="L46" s="6"/>
      <c r="M46" s="6"/>
      <c r="N46" s="6"/>
    </row>
    <row r="47" spans="1:14" ht="19.5" customHeight="1" x14ac:dyDescent="0.2">
      <c r="A47" s="6"/>
      <c r="B47" s="6"/>
      <c r="C47" s="6"/>
      <c r="D47" s="6"/>
      <c r="E47" s="6"/>
      <c r="F47" s="13"/>
      <c r="G47" s="16" t="s">
        <v>87</v>
      </c>
      <c r="H47" s="16">
        <f>INDEX(Data!$A$49:$F$49,1,MATCH($B$5,Data!$B$20:$F$20,0)+1)</f>
        <v>0</v>
      </c>
      <c r="I47" s="17">
        <f>IF(VLOOKUP($B$5,Data!$A$2:$K$6,3,FALSE())=0,0,H47/VLOOKUP($B$5,Data!$A$2:$K$6,3,FALSE()))</f>
        <v>0</v>
      </c>
      <c r="J47" s="17">
        <f>IF(VLOOKUP($B$5,Data!$A$2:$K$6,2,FALSE())=0,0,H47/VLOOKUP($B$5,Data!$A$2:$K$6,2,FALSE()))</f>
        <v>0</v>
      </c>
      <c r="K47" s="6"/>
      <c r="L47" s="6"/>
      <c r="M47" s="6"/>
      <c r="N47" s="6"/>
    </row>
    <row r="48" spans="1:14" ht="21.75" customHeight="1" x14ac:dyDescent="0.2">
      <c r="A48" s="32" t="s">
        <v>88</v>
      </c>
      <c r="B48" s="33"/>
      <c r="C48" s="34">
        <f>VLOOKUP($B$5,Data!$A$2:$K$6,10,FALSE())</f>
        <v>0.43333333333333335</v>
      </c>
      <c r="D48" s="33"/>
      <c r="E48" s="35"/>
      <c r="F48" s="13"/>
      <c r="G48" s="20" t="s">
        <v>89</v>
      </c>
      <c r="H48" s="20">
        <f>INDEX(Data!$A$50:$F$50,1,MATCH($B$5,Data!$B$20:$F$20,0)+1)</f>
        <v>0</v>
      </c>
      <c r="I48" s="21">
        <f>IF(VLOOKUP($B$5,Data!$A$2:$K$6,3,FALSE())=0,0,H48/VLOOKUP($B$5,Data!$A$2:$K$6,3,FALSE()))</f>
        <v>0</v>
      </c>
      <c r="J48" s="21">
        <f>IF(VLOOKUP($B$5,Data!$A$2:$K$6,2,FALSE())=0,0,H48/VLOOKUP($B$5,Data!$A$2:$K$6,2,FALSE()))</f>
        <v>0</v>
      </c>
      <c r="K48" s="6"/>
      <c r="L48" s="6"/>
      <c r="M48" s="6"/>
      <c r="N48" s="6"/>
    </row>
    <row r="49" spans="1:14" ht="21.75" customHeight="1" x14ac:dyDescent="0.2">
      <c r="A49" s="32" t="s">
        <v>90</v>
      </c>
      <c r="B49" s="33"/>
      <c r="C49" s="34">
        <f>VLOOKUP($B$5,Data!$A$2:$K$6,11,FALSE())</f>
        <v>5.7142857142857141E-2</v>
      </c>
      <c r="D49" s="33"/>
      <c r="E49" s="35"/>
      <c r="F49" s="13"/>
      <c r="G49" s="16" t="s">
        <v>91</v>
      </c>
      <c r="H49" s="16">
        <f>INDEX(Data!$A$51:$F$51,1,MATCH($B$5,Data!$B$20:$F$20,0)+1)</f>
        <v>1</v>
      </c>
      <c r="I49" s="17">
        <f>IF(VLOOKUP($B$5,Data!$A$2:$K$6,3,FALSE())=0,0,H49/VLOOKUP($B$5,Data!$A$2:$K$6,3,FALSE()))</f>
        <v>2.8571428571428571E-2</v>
      </c>
      <c r="J49" s="17">
        <f>IF(VLOOKUP($B$5,Data!$A$2:$K$6,2,FALSE())=0,0,H49/VLOOKUP($B$5,Data!$A$2:$K$6,2,FALSE()))</f>
        <v>2.7322404371584699E-3</v>
      </c>
      <c r="K49" s="6"/>
      <c r="L49" s="6"/>
      <c r="M49" s="6"/>
      <c r="N49" s="6"/>
    </row>
    <row r="50" spans="1:14" ht="19.5" customHeight="1" x14ac:dyDescent="0.2">
      <c r="A50" s="32" t="inlineStr">
        <is>
          <t xml:space="preserve">Rolling 12-month Turnover:</t>
        </is>
      </c>
      <c r="B50" s="6"/>
      <c r="C50" s="34">
        <f>IFERROR((SUMPRODUCT((ISNUMBER('FY 2023 (Jan23-Dec23)'!$B$9:$B$412))*(('FY 2023 (Jan23-Dec23)'!$B$9:$B$412&gt;=TODAY()-365)*('FY 2023 (Jan23-Dec23)'!$B$9:$B$412&lt;=TODAY())))+SUMPRODUCT((ISNUMBER('FY 2024 (Jan24-Dec24)'!$B$9:$B$412))*(('FY 2024 (Jan24-Dec24)'!$B$9:$B$412&gt;=TODAY()-365)*('FY 2024 (Jan24-Dec24)'!$B$9:$B$412&lt;=TODAY())))+SUMPRODUCT((ISNUMBER('FY 2025 (Jan25-Dec25)'!$B$9:$B$412))*(('FY 2025 (Jan25-Dec25)'!$B$9:$B$412&gt;=TODAY()-365)*('FY 2025 (Jan25-Dec25)'!$B$9:$B$412&lt;=TODAY())))+SUMPRODUCT((ISNUMBER('FY 2026 (Jan26-Dec26)'!$B$9:$B$412))*(('FY 2026 (Jan26-Dec26)'!$B$9:$B$412&gt;=TODAY()-365)*('FY 2026 (Jan26-Dec26)'!$B$9:$B$412&lt;=TODAY())))+SUMPRODUCT((ISNUMBER('FY 2027 (Jan27-Dec27)'!$B$9:$B$412))*(('FY 2027 (Jan27-Dec27)'!$B$9:$B$412&gt;=TODAY()-365)*('FY 2027 (Jan27-Dec27)'!$B$9:$B$412&lt;=TODAY()))))/VLOOKUP($B$5,Data!$A$2:$K$6,2,FALSE),0)</f>
      </c>
      <c r="D50" s="6"/>
      <c r="E50" s="6"/>
      <c r="F50" s="13"/>
      <c r="G50" s="18" t="s">
        <v>92</v>
      </c>
      <c r="H50" s="18"/>
      <c r="I50" s="18"/>
      <c r="J50" s="18"/>
      <c r="K50" s="6"/>
      <c r="L50" s="6"/>
      <c r="M50" s="6"/>
      <c r="N50" s="6"/>
    </row>
    <row r="51" spans="1:14" ht="19.5" customHeight="1" x14ac:dyDescent="0.2">
      <c r="A51" s="32" t="inlineStr">
        <is>
          <t xml:space="preserve">Avg Tenure at Separation:</t>
        </is>
      </c>
      <c r="B51" s="6"/>
      <c r="C51" s="34">
        <f>IFERROR(IF(SUMPRODUCT((INDIRECT("'"&amp;$B$5&amp;" (Jan"&amp;RIGHT($B$5,2)&amp;"-Dec"&amp;RIGHT($B$5,2)&amp;")'!B9:B412")&lt;&gt;"")*(INDIRECT("'"&amp;$B$5&amp;" (Jan"&amp;RIGHT($B$5,2)&amp;"-Dec"&amp;RIGHT($B$5,2)&amp;")'!C9:C412")&lt;&gt;""))=0,"N/A (no DOH data)",(SUMPRODUCT((INDIRECT("'"&amp;$B$5&amp;" (Jan"&amp;RIGHT($B$5,2)&amp;"-Dec"&amp;RIGHT($B$5,2)&amp;")'!B9:B412")&lt;&gt;"")*(INDIRECT("'"&amp;$B$5&amp;" (Jan"&amp;RIGHT($B$5,2)&amp;"-Dec"&amp;RIGHT($B$5,2)&amp;")'!C9:C412")&lt;&gt;"")*(INDIRECT("'"&amp;$B$5&amp;" (Jan"&amp;RIGHT($B$5,2)&amp;"-Dec"&amp;RIGHT($B$5,2)&amp;")'!B9:B412")-INDIRECT("'"&amp;$B$5&amp;" (Jan"&amp;RIGHT($B$5,2)&amp;"-Dec"&amp;RIGHT($B$5,2)&amp;")'!C9:C412"))))/SUMPRODUCT((INDIRECT("'"&amp;$B$5&amp;" (Jan"&amp;RIGHT($B$5,2)&amp;"-Dec"&amp;RIGHT($B$5,2)&amp;")'!B9:B412")&lt;&gt;"")*(INDIRECT("'"&amp;$B$5&amp;" (Jan"&amp;RIGHT($B$5,2)&amp;"-Dec"&amp;RIGHT($B$5,2)&amp;")'!C9:C412")&lt;&gt;""))/365.25),"N/A (no DOH data)")</f>
      </c>
      <c r="D51" s="6"/>
      <c r="E51" s="6"/>
      <c r="F51" s="13"/>
      <c r="G51" s="16" t="s">
        <v>70</v>
      </c>
      <c r="H51" s="16">
        <f>INDEX(Data!$A$52:$F$52,1,MATCH($B$5,Data!$B$20:$F$20,0)+1)</f>
        <v>2</v>
      </c>
      <c r="I51" s="17">
        <f>IF(VLOOKUP($B$5,Data!$A$2:$K$6,3,FALSE())=0,0,H51/VLOOKUP($B$5,Data!$A$2:$K$6,3,FALSE()))</f>
        <v>5.7142857142857141E-2</v>
      </c>
      <c r="J51" s="17">
        <f>IF(VLOOKUP($B$5,Data!$A$2:$K$6,2,FALSE())=0,0,H51/VLOOKUP($B$5,Data!$A$2:$K$6,2,FALSE()))</f>
        <v>5.4644808743169399E-3</v>
      </c>
      <c r="K51" s="6"/>
      <c r="L51" s="6"/>
      <c r="M51" s="6"/>
      <c r="N51" s="6"/>
    </row>
    <row r="52" spans="1:14" ht="9.75" customHeight="1" x14ac:dyDescent="0.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6"/>
      <c r="L52" s="6"/>
      <c r="M52" s="6"/>
      <c r="N52" s="6"/>
    </row>
    <row r="53" spans="1:14" ht="36" customHeight="1" x14ac:dyDescent="0.2">
      <c r="A53" s="36" t="s">
        <v>93</v>
      </c>
      <c r="B53" s="37"/>
      <c r="C53" s="37"/>
      <c r="D53" s="148" t="s">
        <v>94</v>
      </c>
      <c r="E53" s="148"/>
      <c r="F53" s="148"/>
      <c r="G53" s="148"/>
      <c r="H53" s="148"/>
      <c r="I53" s="37"/>
      <c r="J53" s="37"/>
      <c r="K53" s="6"/>
      <c r="L53" s="6"/>
      <c r="M53" s="6"/>
      <c r="N53" s="6"/>
    </row>
    <row r="54" spans="1:14" ht="27.75" customHeight="1" x14ac:dyDescent="0.2">
      <c r="A54" s="1" t="s">
        <v>95</v>
      </c>
      <c r="B54" s="1"/>
      <c r="C54" s="1"/>
      <c r="D54" s="1"/>
      <c r="E54" s="1"/>
      <c r="F54" s="1"/>
      <c r="G54" s="1"/>
      <c r="H54" s="1"/>
      <c r="I54" s="1"/>
      <c r="J54" s="6"/>
      <c r="K54" s="6"/>
      <c r="L54" s="6"/>
      <c r="M54" s="6"/>
      <c r="N54" s="6"/>
    </row>
    <row r="55" spans="1:14" ht="24" customHeight="1" x14ac:dyDescent="0.2">
      <c r="A55" s="14" t="s">
        <v>96</v>
      </c>
      <c r="B55" s="14" t="s">
        <v>97</v>
      </c>
      <c r="C55" s="14" t="s">
        <v>98</v>
      </c>
      <c r="D55" s="14" t="s">
        <v>18</v>
      </c>
      <c r="E55" s="14" t="s">
        <v>99</v>
      </c>
      <c r="F55" s="14" t="s">
        <v>100</v>
      </c>
      <c r="G55" s="14" t="s">
        <v>65</v>
      </c>
      <c r="H55" s="14" t="s">
        <v>101</v>
      </c>
      <c r="I55" s="14" t="s">
        <v>102</v>
      </c>
      <c r="J55" s="6"/>
      <c r="K55" s="6"/>
      <c r="L55" s="6"/>
      <c r="M55" s="6"/>
      <c r="N55" s="6"/>
    </row>
    <row r="56" spans="1:14" ht="19.5" customHeight="1" x14ac:dyDescent="0.2">
      <c r="A56" s="15" t="s">
        <v>103</v>
      </c>
      <c r="B56" s="16">
        <f>Data!B76</f>
        <v>339</v>
      </c>
      <c r="C56" s="16">
        <f>Data!C76</f>
        <v>62</v>
      </c>
      <c r="D56" s="17">
        <f>Data!D76</f>
        <v>0.18289085545722714</v>
      </c>
      <c r="E56" s="38">
        <f>Data!E76</f>
        <v>10.333333333333334</v>
      </c>
      <c r="F56" s="16">
        <f>Data!F76</f>
        <v>36</v>
      </c>
      <c r="G56" s="16">
        <f>Data!G76</f>
        <v>4</v>
      </c>
      <c r="H56" s="17">
        <f>Data!H76</f>
        <v>0.58064516129032262</v>
      </c>
      <c r="I56" s="16" t="str">
        <f>Data!I76</f>
        <v>N/A</v>
      </c>
      <c r="J56" s="6"/>
      <c r="K56" s="6"/>
      <c r="L56" s="6"/>
      <c r="M56" s="6"/>
      <c r="N56" s="6"/>
    </row>
    <row r="57" spans="1:14" ht="19.5" customHeight="1" x14ac:dyDescent="0.2">
      <c r="A57" s="19" t="s">
        <v>104</v>
      </c>
      <c r="B57" s="20">
        <f>Data!B77</f>
        <v>339</v>
      </c>
      <c r="C57" s="20">
        <f>Data!C77</f>
        <v>158</v>
      </c>
      <c r="D57" s="21">
        <f>Data!D77</f>
        <v>0.46607669616519176</v>
      </c>
      <c r="E57" s="39">
        <f>Data!E77</f>
        <v>13.166666666666666</v>
      </c>
      <c r="F57" s="20">
        <f>Data!F77</f>
        <v>87</v>
      </c>
      <c r="G57" s="20">
        <f>Data!G77</f>
        <v>13</v>
      </c>
      <c r="H57" s="21">
        <f>Data!H77</f>
        <v>0.55063291139240511</v>
      </c>
      <c r="I57" s="40">
        <f>Data!I77</f>
        <v>0.2831858407079646</v>
      </c>
      <c r="J57" s="6"/>
      <c r="K57" s="6"/>
      <c r="L57" s="6"/>
      <c r="M57" s="6"/>
      <c r="N57" s="6"/>
    </row>
    <row r="58" spans="1:14" ht="19.5" customHeight="1" x14ac:dyDescent="0.2">
      <c r="A58" s="15" t="s">
        <v>105</v>
      </c>
      <c r="B58" s="16">
        <f>Data!B78</f>
        <v>346</v>
      </c>
      <c r="C58" s="16">
        <f>Data!C78</f>
        <v>138</v>
      </c>
      <c r="D58" s="17">
        <f>Data!D78</f>
        <v>0.39884393063583817</v>
      </c>
      <c r="E58" s="38">
        <f>Data!E78</f>
        <v>11.5</v>
      </c>
      <c r="F58" s="16">
        <f>Data!F78</f>
        <v>98</v>
      </c>
      <c r="G58" s="16">
        <f>Data!G78</f>
        <v>5</v>
      </c>
      <c r="H58" s="17">
        <f>Data!H78</f>
        <v>0.71014492753623193</v>
      </c>
      <c r="I58" s="41">
        <f>Data!I78</f>
        <v>-6.7232765529353589E-2</v>
      </c>
      <c r="J58" s="6"/>
      <c r="K58" s="6"/>
      <c r="L58" s="6"/>
      <c r="M58" s="6"/>
      <c r="N58" s="6"/>
    </row>
    <row r="59" spans="1:14" ht="19.5" customHeight="1" x14ac:dyDescent="0.2">
      <c r="A59" s="19" t="s">
        <v>3</v>
      </c>
      <c r="B59" s="20">
        <f>Data!B79</f>
        <v>366</v>
      </c>
      <c r="C59" s="20">
        <f>Data!C79</f>
        <v>35</v>
      </c>
      <c r="D59" s="21">
        <f>Data!D79</f>
        <v>9.5628415300546443E-2</v>
      </c>
      <c r="E59" s="39">
        <f>Data!E79</f>
        <v>8.75</v>
      </c>
      <c r="F59" s="20">
        <f>Data!F79</f>
        <v>21</v>
      </c>
      <c r="G59" s="20">
        <f>Data!G79</f>
        <v>4</v>
      </c>
      <c r="H59" s="21">
        <f>Data!H79</f>
        <v>0.6</v>
      </c>
      <c r="I59" s="40">
        <f>Data!I79</f>
        <v>-0.30321551533529173</v>
      </c>
      <c r="J59" s="6"/>
      <c r="K59" s="6"/>
      <c r="L59" s="6"/>
      <c r="M59" s="6"/>
      <c r="N59" s="6"/>
    </row>
    <row r="60" spans="1:14" ht="19.5" customHeight="1" x14ac:dyDescent="0.2">
      <c r="A60" s="15" t="s">
        <v>106</v>
      </c>
      <c r="B60" s="16">
        <f>Data!B80</f>
        <v>364</v>
      </c>
      <c r="C60" s="16">
        <f>Data!C80</f>
        <v>0</v>
      </c>
      <c r="D60" s="17">
        <f>Data!D80</f>
        <v>0</v>
      </c>
      <c r="E60" s="38">
        <f>Data!E80</f>
        <v>0</v>
      </c>
      <c r="F60" s="16">
        <f>Data!F80</f>
        <v>0</v>
      </c>
      <c r="G60" s="16">
        <f>Data!G80</f>
        <v>0</v>
      </c>
      <c r="H60" s="17">
        <f>Data!H80</f>
        <v>0</v>
      </c>
      <c r="I60" s="41">
        <f>Data!I80</f>
        <v>-9.5628415300546443E-2</v>
      </c>
      <c r="J60" s="6"/>
      <c r="K60" s="6"/>
      <c r="L60" s="6"/>
      <c r="M60" s="6"/>
      <c r="N60" s="6"/>
    </row>
    <row r="61" spans="1:14" ht="1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21.75" customHeight="1" x14ac:dyDescent="0.2">
      <c r="A62" s="42" t="s">
        <v>107</v>
      </c>
      <c r="B62" s="42">
        <f>AVERAGE(B56:B60)</f>
        <v>350.8</v>
      </c>
      <c r="C62" s="42">
        <f>AVERAGE(C56:C60)</f>
        <v>78.599999999999994</v>
      </c>
      <c r="D62" s="43">
        <f>AVERAGE(D56:D60)</f>
        <v>0.22868797951176073</v>
      </c>
      <c r="E62" s="42">
        <f>AVERAGE(E56:E60)</f>
        <v>8.75</v>
      </c>
      <c r="F62" s="42"/>
      <c r="G62" s="42"/>
      <c r="H62" s="43">
        <f>AVERAGE(H56:H60)</f>
        <v>0.48828460004379198</v>
      </c>
      <c r="I62" s="42"/>
      <c r="J62" s="6"/>
      <c r="K62" s="6"/>
      <c r="L62" s="6"/>
      <c r="M62" s="6"/>
      <c r="N62" s="6"/>
    </row>
    <row r="63" spans="1:14" ht="7.5" customHeight="1" x14ac:dyDescent="0.2">
      <c r="A63" s="13"/>
      <c r="B63" s="13"/>
      <c r="C63" s="13"/>
      <c r="D63" s="13"/>
      <c r="E63" s="13"/>
      <c r="F63" s="44"/>
      <c r="G63" s="13"/>
      <c r="H63" s="13"/>
      <c r="I63" s="13"/>
      <c r="J63" s="13"/>
      <c r="K63" s="6"/>
      <c r="L63" s="6"/>
      <c r="M63" s="6"/>
      <c r="N63" s="6"/>
    </row>
    <row r="64" spans="1:14" ht="15" customHeight="1" x14ac:dyDescent="0.2">
      <c r="A64" s="13"/>
      <c r="B64" s="13"/>
      <c r="C64" s="13"/>
      <c r="D64" s="13"/>
      <c r="E64" s="13"/>
      <c r="F64" s="45"/>
      <c r="G64" s="46"/>
      <c r="H64" s="45"/>
      <c r="I64" s="47"/>
      <c r="J64" s="13"/>
      <c r="K64" s="6"/>
      <c r="L64" s="6"/>
      <c r="M64" s="6"/>
      <c r="N64" s="6"/>
    </row>
    <row r="65" spans="1:14" ht="27.75" customHeight="1" x14ac:dyDescent="0.2">
      <c r="A65" s="1" t="s">
        <v>108</v>
      </c>
      <c r="B65" s="1"/>
      <c r="C65" s="1"/>
      <c r="D65" s="1"/>
      <c r="E65" s="1"/>
      <c r="F65" s="1"/>
      <c r="G65" s="1"/>
      <c r="H65" s="1"/>
      <c r="I65" s="1"/>
      <c r="J65" s="6"/>
      <c r="K65" s="6"/>
      <c r="L65" s="6"/>
      <c r="M65" s="6"/>
      <c r="N65" s="6"/>
    </row>
    <row r="66" spans="1:14" ht="24" customHeight="1" x14ac:dyDescent="0.2">
      <c r="A66" s="14" t="s">
        <v>96</v>
      </c>
      <c r="B66" s="14" t="s">
        <v>97</v>
      </c>
      <c r="C66" s="14" t="s">
        <v>98</v>
      </c>
      <c r="D66" s="14" t="s">
        <v>18</v>
      </c>
      <c r="E66" s="14" t="s">
        <v>99</v>
      </c>
      <c r="F66" s="14" t="s">
        <v>100</v>
      </c>
      <c r="G66" s="14" t="s">
        <v>65</v>
      </c>
      <c r="H66" s="14" t="s">
        <v>101</v>
      </c>
      <c r="I66" s="14" t="s">
        <v>102</v>
      </c>
      <c r="J66" s="6"/>
      <c r="K66" s="6"/>
      <c r="L66" s="6"/>
      <c r="M66" s="6"/>
      <c r="N66" s="6"/>
    </row>
    <row r="67" spans="1:14" ht="19.5" customHeight="1" x14ac:dyDescent="0.2">
      <c r="A67" s="15" t="s">
        <v>109</v>
      </c>
      <c r="B67" s="16">
        <f>Data!B111</f>
        <v>339</v>
      </c>
      <c r="C67" s="16">
        <f>Data!C111</f>
        <v>153</v>
      </c>
      <c r="D67" s="17">
        <f>Data!D111</f>
        <v>0.45132743362831901</v>
      </c>
      <c r="E67" s="38">
        <f>Data!E111</f>
        <v>12.75</v>
      </c>
      <c r="F67" s="16">
        <f>Data!F111</f>
        <v>83</v>
      </c>
      <c r="G67" s="16">
        <f>Data!G111</f>
        <v>13</v>
      </c>
      <c r="H67" s="17">
        <f>Data!I111</f>
        <v>0.54248366013071903</v>
      </c>
      <c r="I67" s="16" t="s">
        <v>110</v>
      </c>
      <c r="J67" s="6"/>
      <c r="K67" s="6"/>
      <c r="L67" s="6"/>
      <c r="M67" s="6"/>
      <c r="N67" s="6"/>
    </row>
    <row r="68" spans="1:14" ht="19.5" customHeight="1" x14ac:dyDescent="0.2">
      <c r="A68" s="19" t="s">
        <v>6</v>
      </c>
      <c r="B68" s="20">
        <f>Data!B112</f>
        <v>339</v>
      </c>
      <c r="C68" s="20">
        <f>Data!C112</f>
        <v>136</v>
      </c>
      <c r="D68" s="21">
        <f>Data!D112</f>
        <v>0.40117994100295001</v>
      </c>
      <c r="E68" s="39">
        <f>Data!E112</f>
        <v>11.3333333333333</v>
      </c>
      <c r="F68" s="20">
        <f>Data!F112</f>
        <v>81</v>
      </c>
      <c r="G68" s="20">
        <f>Data!G112</f>
        <v>9</v>
      </c>
      <c r="H68" s="21">
        <f>Data!I112</f>
        <v>0.59558823529411797</v>
      </c>
      <c r="I68" s="21">
        <f>D68-D67</f>
        <v>-5.0147492625368995E-2</v>
      </c>
      <c r="J68" s="6"/>
      <c r="K68" s="6"/>
      <c r="L68" s="6"/>
      <c r="M68" s="6"/>
      <c r="N68" s="6"/>
    </row>
    <row r="69" spans="1:14" ht="19.5" customHeight="1" x14ac:dyDescent="0.2">
      <c r="A69" s="15" t="s">
        <v>111</v>
      </c>
      <c r="B69" s="16">
        <f>Data!B113</f>
        <v>346</v>
      </c>
      <c r="C69" s="16">
        <f>Data!C113</f>
        <v>99</v>
      </c>
      <c r="D69" s="17">
        <f>Data!D113</f>
        <v>0.28612716763005802</v>
      </c>
      <c r="E69" s="38">
        <f>Data!E113</f>
        <v>8.25</v>
      </c>
      <c r="F69" s="16">
        <f>Data!F113</f>
        <v>78</v>
      </c>
      <c r="G69" s="16">
        <f>Data!G113</f>
        <v>4</v>
      </c>
      <c r="H69" s="17">
        <f>Data!I113</f>
        <v>0.78787878787878796</v>
      </c>
      <c r="I69" s="17">
        <f>D69-D68</f>
        <v>-0.11505277337289199</v>
      </c>
      <c r="J69" s="6"/>
      <c r="K69" s="6"/>
      <c r="L69" s="6"/>
      <c r="M69" s="6"/>
      <c r="N69" s="6"/>
    </row>
    <row r="70" spans="1:14" ht="19.5" customHeight="1" x14ac:dyDescent="0.2">
      <c r="A70" s="19" t="s">
        <v>112</v>
      </c>
      <c r="B70" s="20">
        <f>Data!B114</f>
        <v>364</v>
      </c>
      <c r="C70" s="20">
        <f>Data!C114</f>
        <v>0</v>
      </c>
      <c r="D70" s="21">
        <f>Data!D114</f>
        <v>0</v>
      </c>
      <c r="E70" s="39">
        <f>Data!E114</f>
        <v>0</v>
      </c>
      <c r="F70" s="20">
        <f>Data!F114</f>
        <v>0</v>
      </c>
      <c r="G70" s="20">
        <f>Data!G114</f>
        <v>0</v>
      </c>
      <c r="H70" s="21">
        <f>Data!I114</f>
        <v>0</v>
      </c>
      <c r="I70" s="21">
        <f>D70-D69</f>
        <v>-0.28612716763005802</v>
      </c>
      <c r="J70" s="6"/>
      <c r="K70" s="6"/>
      <c r="L70" s="6"/>
      <c r="M70" s="6"/>
      <c r="N70" s="6"/>
    </row>
    <row r="71" spans="1:14" ht="7.5" customHeight="1" x14ac:dyDescent="0.2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6"/>
      <c r="L71" s="6"/>
      <c r="M71" s="6"/>
      <c r="N71" s="6"/>
    </row>
    <row r="72" spans="1:14" ht="27.75" customHeight="1" x14ac:dyDescent="0.2">
      <c r="A72" s="1" t="s">
        <v>113</v>
      </c>
      <c r="B72" s="1"/>
      <c r="C72" s="1"/>
      <c r="D72" s="1"/>
      <c r="E72" s="1"/>
      <c r="F72" s="13"/>
      <c r="G72" s="6"/>
      <c r="H72" s="6"/>
      <c r="I72" s="6"/>
      <c r="J72" s="6"/>
      <c r="K72" s="6"/>
      <c r="L72" s="6"/>
      <c r="M72" s="6"/>
      <c r="N72" s="6"/>
    </row>
    <row r="73" spans="1:14" ht="24" customHeight="1" x14ac:dyDescent="0.2">
      <c r="A73" s="14" t="s">
        <v>15</v>
      </c>
      <c r="B73" s="14" t="s">
        <v>16</v>
      </c>
      <c r="C73" s="14" t="s">
        <v>17</v>
      </c>
      <c r="D73" s="14" t="s">
        <v>18</v>
      </c>
      <c r="E73" s="14" t="s">
        <v>19</v>
      </c>
      <c r="F73" s="24"/>
      <c r="G73" s="6"/>
      <c r="H73" s="6"/>
      <c r="I73" s="6"/>
      <c r="J73" s="6"/>
      <c r="K73" s="6"/>
      <c r="L73" s="6"/>
      <c r="M73" s="6"/>
      <c r="N73" s="6"/>
    </row>
    <row r="74" spans="1:14" ht="19.5" customHeight="1" x14ac:dyDescent="0.2">
      <c r="A74" s="15" t="s">
        <v>35</v>
      </c>
      <c r="B74" s="16">
        <f>INDEX(Data!$A$88:$N$91,MATCH($G$5,Data!$A$88:$A$91,0),2)</f>
        <v>16</v>
      </c>
      <c r="C74" s="17">
        <f>IF(INDEX(Data!$A$111:$J$114,MATCH($G$5,Data!$A$111:$A$114,0),3)=0,0,B74/INDEX(Data!$A$111:$J$114,MATCH($G$5,Data!$A$111:$A$114,0),3))</f>
        <v>0.16161616161616163</v>
      </c>
      <c r="D74" s="17">
        <f>IF(INDEX(Data!$A$111:$J$114,MATCH($G$5,Data!$A$111:$A$114,0),2)=0,0,B74/INDEX(Data!$A$111:$J$114,MATCH($G$5,Data!$A$111:$A$114,0),2))</f>
        <v>4.6242774566473986E-2</v>
      </c>
      <c r="E74" s="16">
        <f>B74</f>
        <v>16</v>
      </c>
      <c r="F74" s="48"/>
      <c r="G74" s="6"/>
      <c r="H74" s="6"/>
      <c r="I74" s="6"/>
      <c r="J74" s="6"/>
      <c r="K74" s="6"/>
      <c r="L74" s="6"/>
      <c r="M74" s="6"/>
      <c r="N74" s="6"/>
    </row>
    <row r="75" spans="1:14" ht="19.5" customHeight="1" x14ac:dyDescent="0.2">
      <c r="A75" s="19" t="s">
        <v>37</v>
      </c>
      <c r="B75" s="20">
        <f>INDEX(Data!$A$88:$N$91,MATCH($G$5,Data!$A$88:$A$91,0),3)</f>
        <v>14</v>
      </c>
      <c r="C75" s="21">
        <f>IF(INDEX(Data!$A$111:$J$114,MATCH($G$5,Data!$A$111:$A$114,0),3)=0,0,B75/INDEX(Data!$A$111:$J$114,MATCH($G$5,Data!$A$111:$A$114,0),3))</f>
        <v>0.14141414141414141</v>
      </c>
      <c r="D75" s="21">
        <f>IF(INDEX(Data!$A$111:$J$114,MATCH($G$5,Data!$A$111:$A$114,0),2)=0,0,B75/INDEX(Data!$A$111:$J$114,MATCH($G$5,Data!$A$111:$A$114,0),2))</f>
        <v>4.046242774566474E-2</v>
      </c>
      <c r="E75" s="20">
        <f t="shared" ref="E75:E85" si="1">E74+B75</f>
        <v>30</v>
      </c>
      <c r="F75" s="48"/>
      <c r="G75" s="6"/>
      <c r="H75" s="6"/>
      <c r="I75" s="6"/>
      <c r="J75" s="6"/>
      <c r="K75" s="6"/>
      <c r="L75" s="6"/>
      <c r="M75" s="6"/>
      <c r="N75" s="6"/>
    </row>
    <row r="76" spans="1:14" ht="19.5" customHeight="1" x14ac:dyDescent="0.2">
      <c r="A76" s="15" t="s">
        <v>39</v>
      </c>
      <c r="B76" s="16">
        <f>INDEX(Data!$A$88:$N$91,MATCH($G$5,Data!$A$88:$A$91,0),4)</f>
        <v>12</v>
      </c>
      <c r="C76" s="17">
        <f>IF(INDEX(Data!$A$111:$J$114,MATCH($G$5,Data!$A$111:$A$114,0),3)=0,0,B76/INDEX(Data!$A$111:$J$114,MATCH($G$5,Data!$A$111:$A$114,0),3))</f>
        <v>0.12121212121212122</v>
      </c>
      <c r="D76" s="17">
        <f>IF(INDEX(Data!$A$111:$J$114,MATCH($G$5,Data!$A$111:$A$114,0),2)=0,0,B76/INDEX(Data!$A$111:$J$114,MATCH($G$5,Data!$A$111:$A$114,0),2))</f>
        <v>3.4682080924855488E-2</v>
      </c>
      <c r="E76" s="16">
        <f t="shared" si="1"/>
        <v>42</v>
      </c>
      <c r="F76" s="48"/>
      <c r="G76" s="6"/>
      <c r="H76" s="6"/>
      <c r="I76" s="6"/>
      <c r="J76" s="6"/>
      <c r="K76" s="6"/>
      <c r="L76" s="6"/>
      <c r="M76" s="6"/>
      <c r="N76" s="6"/>
    </row>
    <row r="77" spans="1:14" ht="19.5" customHeight="1" x14ac:dyDescent="0.2">
      <c r="A77" s="19" t="s">
        <v>41</v>
      </c>
      <c r="B77" s="20">
        <f>INDEX(Data!$A$88:$N$91,MATCH($G$5,Data!$A$88:$A$91,0),5)</f>
        <v>13</v>
      </c>
      <c r="C77" s="21">
        <f>IF(INDEX(Data!$A$111:$J$114,MATCH($G$5,Data!$A$111:$A$114,0),3)=0,0,B77/INDEX(Data!$A$111:$J$114,MATCH($G$5,Data!$A$111:$A$114,0),3))</f>
        <v>0.13131313131313133</v>
      </c>
      <c r="D77" s="21">
        <f>IF(INDEX(Data!$A$111:$J$114,MATCH($G$5,Data!$A$111:$A$114,0),2)=0,0,B77/INDEX(Data!$A$111:$J$114,MATCH($G$5,Data!$A$111:$A$114,0),2))</f>
        <v>3.7572254335260118E-2</v>
      </c>
      <c r="E77" s="20">
        <f t="shared" si="1"/>
        <v>55</v>
      </c>
      <c r="F77" s="48"/>
      <c r="G77" s="6"/>
      <c r="H77" s="6"/>
      <c r="I77" s="6"/>
      <c r="J77" s="6"/>
      <c r="K77" s="6"/>
      <c r="L77" s="6"/>
      <c r="M77" s="6"/>
      <c r="N77" s="6"/>
    </row>
    <row r="78" spans="1:14" ht="19.5" customHeight="1" x14ac:dyDescent="0.2">
      <c r="A78" s="15" t="s">
        <v>43</v>
      </c>
      <c r="B78" s="16">
        <f>INDEX(Data!$A$88:$N$91,MATCH($G$5,Data!$A$88:$A$91,0),6)</f>
        <v>9</v>
      </c>
      <c r="C78" s="17">
        <f>IF(INDEX(Data!$A$111:$J$114,MATCH($G$5,Data!$A$111:$A$114,0),3)=0,0,B78/INDEX(Data!$A$111:$J$114,MATCH($G$5,Data!$A$111:$A$114,0),3))</f>
        <v>9.0909090909090912E-2</v>
      </c>
      <c r="D78" s="17">
        <f>IF(INDEX(Data!$A$111:$J$114,MATCH($G$5,Data!$A$111:$A$114,0),2)=0,0,B78/INDEX(Data!$A$111:$J$114,MATCH($G$5,Data!$A$111:$A$114,0),2))</f>
        <v>2.6011560693641619E-2</v>
      </c>
      <c r="E78" s="16">
        <f t="shared" si="1"/>
        <v>64</v>
      </c>
      <c r="F78" s="48"/>
      <c r="G78" s="6"/>
      <c r="H78" s="6"/>
      <c r="I78" s="6"/>
      <c r="J78" s="6"/>
      <c r="K78" s="6"/>
      <c r="L78" s="6"/>
      <c r="M78" s="6"/>
      <c r="N78" s="6"/>
    </row>
    <row r="79" spans="1:14" ht="19.5" customHeight="1" x14ac:dyDescent="0.2">
      <c r="A79" s="19" t="s">
        <v>45</v>
      </c>
      <c r="B79" s="20">
        <f>INDEX(Data!$A$88:$N$91,MATCH($G$5,Data!$A$88:$A$91,0),7)</f>
        <v>5</v>
      </c>
      <c r="C79" s="21">
        <f>IF(INDEX(Data!$A$111:$J$114,MATCH($G$5,Data!$A$111:$A$114,0),3)=0,0,B79/INDEX(Data!$A$111:$J$114,MATCH($G$5,Data!$A$111:$A$114,0),3))</f>
        <v>5.0505050505050504E-2</v>
      </c>
      <c r="D79" s="21">
        <f>IF(INDEX(Data!$A$111:$J$114,MATCH($G$5,Data!$A$111:$A$114,0),2)=0,0,B79/INDEX(Data!$A$111:$J$114,MATCH($G$5,Data!$A$111:$A$114,0),2))</f>
        <v>1.4450867052023121E-2</v>
      </c>
      <c r="E79" s="20">
        <f t="shared" si="1"/>
        <v>69</v>
      </c>
      <c r="F79" s="48"/>
      <c r="G79" s="6"/>
      <c r="H79" s="6"/>
      <c r="I79" s="6"/>
      <c r="J79" s="6"/>
      <c r="K79" s="6"/>
      <c r="L79" s="6"/>
      <c r="M79" s="6"/>
      <c r="N79" s="6"/>
    </row>
    <row r="80" spans="1:14" ht="19.5" customHeight="1" x14ac:dyDescent="0.2">
      <c r="A80" s="49" t="s">
        <v>23</v>
      </c>
      <c r="B80" s="50">
        <f>INDEX(Data!$A$88:$N$91,MATCH($G$5,Data!$A$88:$A$91,0),8)</f>
        <v>8</v>
      </c>
      <c r="C80" s="51">
        <f>IF(INDEX(Data!$A$111:$J$114,MATCH($G$5,Data!$A$111:$A$114,0),3)=0,0,B80/INDEX(Data!$A$111:$J$114,MATCH($G$5,Data!$A$111:$A$114,0),3))</f>
        <v>8.0808080808080815E-2</v>
      </c>
      <c r="D80" s="51">
        <f>IF(INDEX(Data!$A$111:$J$114,MATCH($G$5,Data!$A$111:$A$114,0),2)=0,0,B80/INDEX(Data!$A$111:$J$114,MATCH($G$5,Data!$A$111:$A$114,0),2))</f>
        <v>2.3121387283236993E-2</v>
      </c>
      <c r="E80" s="50">
        <f t="shared" si="1"/>
        <v>77</v>
      </c>
      <c r="F80" s="48"/>
      <c r="G80" s="6"/>
      <c r="H80" s="6"/>
      <c r="I80" s="6"/>
      <c r="J80" s="6"/>
      <c r="K80" s="6"/>
      <c r="L80" s="6"/>
      <c r="M80" s="6"/>
      <c r="N80" s="6"/>
    </row>
    <row r="81" spans="1:14" ht="19.5" customHeight="1" x14ac:dyDescent="0.2">
      <c r="A81" s="19" t="s">
        <v>25</v>
      </c>
      <c r="B81" s="20">
        <f>INDEX(Data!$A$88:$N$91,MATCH($G$5,Data!$A$88:$A$91,0),9)</f>
        <v>10</v>
      </c>
      <c r="C81" s="21">
        <f>IF(INDEX(Data!$A$111:$J$114,MATCH($G$5,Data!$A$111:$A$114,0),3)=0,0,B81/INDEX(Data!$A$111:$J$114,MATCH($G$5,Data!$A$111:$A$114,0),3))</f>
        <v>0.10101010101010101</v>
      </c>
      <c r="D81" s="21">
        <f>IF(INDEX(Data!$A$111:$J$114,MATCH($G$5,Data!$A$111:$A$114,0),2)=0,0,B81/INDEX(Data!$A$111:$J$114,MATCH($G$5,Data!$A$111:$A$114,0),2))</f>
        <v>2.8901734104046242E-2</v>
      </c>
      <c r="E81" s="20">
        <f t="shared" si="1"/>
        <v>87</v>
      </c>
      <c r="F81" s="48"/>
      <c r="G81" s="6"/>
      <c r="H81" s="6"/>
      <c r="I81" s="6"/>
      <c r="J81" s="6"/>
      <c r="K81" s="6"/>
      <c r="L81" s="6"/>
      <c r="M81" s="6"/>
      <c r="N81" s="6"/>
    </row>
    <row r="82" spans="1:14" ht="19.5" customHeight="1" x14ac:dyDescent="0.2">
      <c r="A82" s="15" t="s">
        <v>27</v>
      </c>
      <c r="B82" s="16">
        <f>INDEX(Data!$A$88:$N$91,MATCH($G$5,Data!$A$88:$A$91,0),10)</f>
        <v>10</v>
      </c>
      <c r="C82" s="17">
        <f>IF(INDEX(Data!$A$111:$J$114,MATCH($G$5,Data!$A$111:$A$114,0),3)=0,0,B82/INDEX(Data!$A$111:$J$114,MATCH($G$5,Data!$A$111:$A$114,0),3))</f>
        <v>0.10101010101010101</v>
      </c>
      <c r="D82" s="17">
        <f>IF(INDEX(Data!$A$111:$J$114,MATCH($G$5,Data!$A$111:$A$114,0),2)=0,0,B82/INDEX(Data!$A$111:$J$114,MATCH($G$5,Data!$A$111:$A$114,0),2))</f>
        <v>2.8901734104046242E-2</v>
      </c>
      <c r="E82" s="16">
        <f t="shared" si="1"/>
        <v>97</v>
      </c>
      <c r="F82" s="48"/>
      <c r="G82" s="6"/>
      <c r="H82" s="6"/>
      <c r="I82" s="6"/>
      <c r="J82" s="6"/>
      <c r="K82" s="6"/>
      <c r="L82" s="6"/>
      <c r="M82" s="6"/>
      <c r="N82" s="6"/>
    </row>
    <row r="83" spans="1:14" ht="19.5" customHeight="1" x14ac:dyDescent="0.2">
      <c r="A83" s="19" t="s">
        <v>29</v>
      </c>
      <c r="B83" s="20">
        <f>INDEX(Data!$A$88:$N$91,MATCH($G$5,Data!$A$88:$A$91,0),11)</f>
        <v>2</v>
      </c>
      <c r="C83" s="21">
        <f>IF(INDEX(Data!$A$111:$J$114,MATCH($G$5,Data!$A$111:$A$114,0),3)=0,0,B83/INDEX(Data!$A$111:$J$114,MATCH($G$5,Data!$A$111:$A$114,0),3))</f>
        <v>2.0202020202020204E-2</v>
      </c>
      <c r="D83" s="21">
        <f>IF(INDEX(Data!$A$111:$J$114,MATCH($G$5,Data!$A$111:$A$114,0),2)=0,0,B83/INDEX(Data!$A$111:$J$114,MATCH($G$5,Data!$A$111:$A$114,0),2))</f>
        <v>5.7803468208092483E-3</v>
      </c>
      <c r="E83" s="20">
        <f t="shared" si="1"/>
        <v>99</v>
      </c>
      <c r="F83" s="48"/>
      <c r="G83" s="6"/>
      <c r="H83" s="6"/>
      <c r="I83" s="6"/>
      <c r="J83" s="6"/>
      <c r="K83" s="6"/>
      <c r="L83" s="6"/>
      <c r="M83" s="6"/>
      <c r="N83" s="6"/>
    </row>
    <row r="84" spans="1:14" ht="19.5" customHeight="1" x14ac:dyDescent="0.2">
      <c r="A84" s="15" t="s">
        <v>31</v>
      </c>
      <c r="B84" s="16">
        <f>INDEX(Data!$A$88:$N$91,MATCH($G$5,Data!$A$88:$A$91,0),12)</f>
        <v>0</v>
      </c>
      <c r="C84" s="17">
        <f>IF(INDEX(Data!$A$111:$J$114,MATCH($G$5,Data!$A$111:$A$114,0),3)=0,0,B84/INDEX(Data!$A$111:$J$114,MATCH($G$5,Data!$A$111:$A$114,0),3))</f>
        <v>0</v>
      </c>
      <c r="D84" s="17">
        <f>IF(INDEX(Data!$A$111:$J$114,MATCH($G$5,Data!$A$111:$A$114,0),2)=0,0,B84/INDEX(Data!$A$111:$J$114,MATCH($G$5,Data!$A$111:$A$114,0),2))</f>
        <v>0</v>
      </c>
      <c r="E84" s="16">
        <f t="shared" si="1"/>
        <v>99</v>
      </c>
      <c r="F84" s="48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2">
      <c r="A85" s="19" t="s">
        <v>33</v>
      </c>
      <c r="B85" s="20">
        <f>INDEX(Data!$A$88:$N$91,MATCH($G$5,Data!$A$88:$A$91,0),13)</f>
        <v>0</v>
      </c>
      <c r="C85" s="21">
        <f>IF(INDEX(Data!$A$111:$J$114,MATCH($G$5,Data!$A$111:$A$114,0),3)=0,0,B85/INDEX(Data!$A$111:$J$114,MATCH($G$5,Data!$A$111:$A$114,0),3))</f>
        <v>0</v>
      </c>
      <c r="D85" s="21">
        <f>IF(INDEX(Data!$A$111:$J$114,MATCH($G$5,Data!$A$111:$A$114,0),2)=0,0,B85/INDEX(Data!$A$111:$J$114,MATCH($G$5,Data!$A$111:$A$114,0),2))</f>
        <v>0</v>
      </c>
      <c r="E85" s="20">
        <f t="shared" si="1"/>
        <v>99</v>
      </c>
      <c r="F85" s="48"/>
      <c r="G85" s="6"/>
      <c r="H85" s="6"/>
      <c r="I85" s="6"/>
      <c r="J85" s="6"/>
      <c r="K85" s="6"/>
      <c r="L85" s="6"/>
      <c r="M85" s="6"/>
      <c r="N85" s="6"/>
    </row>
    <row r="86" spans="1:14" ht="9.75" customHeight="1" x14ac:dyDescent="0.2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6"/>
      <c r="L86" s="6"/>
      <c r="M86" s="6"/>
      <c r="N86" s="6"/>
    </row>
    <row r="87" spans="1:14" ht="27.75" customHeight="1" x14ac:dyDescent="0.2">
      <c r="A87" s="1" t="s">
        <v>114</v>
      </c>
      <c r="B87" s="1"/>
      <c r="C87" s="1"/>
      <c r="D87" s="1"/>
      <c r="E87" s="1"/>
      <c r="F87" s="1"/>
      <c r="G87" s="1"/>
      <c r="H87" s="1"/>
      <c r="I87" s="1"/>
      <c r="J87" s="1"/>
      <c r="K87" s="6"/>
      <c r="L87" s="6"/>
      <c r="M87" s="6"/>
      <c r="N87" s="6"/>
    </row>
    <row r="88" spans="1:14" ht="19.5" customHeight="1" x14ac:dyDescent="0.2">
      <c r="A88" s="53" t="s">
        <v>115</v>
      </c>
      <c r="B88" s="54"/>
      <c r="C88" s="53" t="s">
        <v>10</v>
      </c>
      <c r="D88" s="54"/>
      <c r="E88" s="53" t="s">
        <v>11</v>
      </c>
      <c r="F88" s="54"/>
      <c r="G88" s="53" t="s">
        <v>116</v>
      </c>
      <c r="H88" s="54"/>
      <c r="I88" s="53" t="s">
        <v>117</v>
      </c>
      <c r="J88" s="54"/>
      <c r="K88" s="6"/>
      <c r="L88" s="6"/>
      <c r="M88" s="6"/>
      <c r="N88" s="6"/>
    </row>
    <row r="89" spans="1:14" ht="36" customHeight="1" x14ac:dyDescent="0.2">
      <c r="A89" s="55">
        <f>INDEX(Data!$A$111:$J$114,MATCH($G$5,Data!$A$111:$A$114,0),3)</f>
        <v>99</v>
      </c>
      <c r="B89" s="54"/>
      <c r="C89" s="56">
        <f>INDEX(Data!$A$111:$J$114,MATCH($G$5,Data!$A$111:$A$114,0),4)</f>
        <v>0.28612716763005802</v>
      </c>
      <c r="D89" s="54"/>
      <c r="E89" s="56">
        <f>INDEX(Data!$A$111:$J$114,MATCH($G$5,Data!$A$111:$A$114,0),9)</f>
        <v>0.78787878787878796</v>
      </c>
      <c r="F89" s="54"/>
      <c r="G89" s="57">
        <f>INDEX(Data!$A$111:$J$114,MATCH($G$5,Data!$A$111:$A$114,0),5)</f>
        <v>8.25</v>
      </c>
      <c r="H89" s="54"/>
      <c r="I89" s="56">
        <f>INDEX(Data!$A$111:$J$114,MATCH($G$5,Data!$A$111:$A$114,0),10)</f>
        <v>0.30612244897959201</v>
      </c>
      <c r="J89" s="54"/>
      <c r="K89" s="6"/>
      <c r="L89" s="6"/>
      <c r="M89" s="6"/>
      <c r="N89" s="6"/>
    </row>
    <row r="90" spans="1:14" ht="15.75" customHeight="1" x14ac:dyDescent="0.2">
      <c r="A90" s="58" t="str">
        <f>INDEX(Data!$A$111:$J$114,MATCH($G$5,Data!$A$111:$A$114,0),6)&amp;" voluntary / "&amp;INDEX(Data!$A$111:$J$114,MATCH($G$5,Data!$A$111:$A$114,0),7)&amp;" involuntary"</f>
        <v>78 voluntary / 4 involuntary</v>
      </c>
      <c r="B90" s="54"/>
      <c r="C90" s="59"/>
      <c r="D90" s="54"/>
      <c r="E90" s="60" t="str">
        <f>"Active employees: "&amp;INDEX(Data!$A$111:$J$114,MATCH($G$5,Data!$A$111:$A$114,0),2)</f>
        <v>Active employees: 346</v>
      </c>
      <c r="F90" s="54"/>
      <c r="G90" s="61" t="str">
        <f>"Avg "&amp;TEXT(INDEX(Data!$A$111:$J$114,MATCH($G$5,Data!$A$111:$A$114,0),5),"0.0")&amp;"/month"</f>
        <v>Avg 8.3/month</v>
      </c>
      <c r="H90" s="54"/>
      <c r="I90" s="59"/>
      <c r="J90" s="54"/>
      <c r="K90" s="6"/>
      <c r="L90" s="6"/>
      <c r="M90" s="6"/>
      <c r="N90" s="6"/>
    </row>
    <row r="91" spans="1:14" ht="7.5" customHeight="1" x14ac:dyDescent="0.2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6"/>
      <c r="L91" s="6"/>
      <c r="M91" s="6"/>
      <c r="N91" s="6"/>
    </row>
    <row r="92" spans="1:14" ht="7.5" customHeight="1" x14ac:dyDescent="0.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6"/>
      <c r="L92" s="6"/>
      <c r="M92" s="6"/>
      <c r="N92" s="6"/>
    </row>
    <row r="93" spans="1:14" ht="27.75" customHeight="1" x14ac:dyDescent="0.2">
      <c r="A93" s="1" t="s">
        <v>118</v>
      </c>
      <c r="B93" s="1"/>
      <c r="C93" s="1"/>
      <c r="D93" s="1"/>
      <c r="E93" s="13"/>
      <c r="F93" s="1" t="s">
        <v>119</v>
      </c>
      <c r="G93" s="1"/>
      <c r="H93" s="1"/>
      <c r="I93" s="1"/>
      <c r="J93" s="1"/>
      <c r="K93" s="6"/>
      <c r="L93" s="6"/>
      <c r="M93" s="6"/>
      <c r="N93" s="6"/>
    </row>
    <row r="94" spans="1:14" ht="24" customHeight="1" x14ac:dyDescent="0.2">
      <c r="A94" s="14" t="s">
        <v>20</v>
      </c>
      <c r="B94" s="14" t="s">
        <v>21</v>
      </c>
      <c r="C94" s="14" t="s">
        <v>22</v>
      </c>
      <c r="D94" s="14" t="s">
        <v>18</v>
      </c>
      <c r="E94" s="13"/>
      <c r="F94" s="14" t="s">
        <v>50</v>
      </c>
      <c r="G94" s="14" t="s">
        <v>21</v>
      </c>
      <c r="H94" s="14" t="s">
        <v>22</v>
      </c>
      <c r="I94" s="14" t="s">
        <v>51</v>
      </c>
      <c r="J94" s="6"/>
      <c r="K94" s="6"/>
      <c r="L94" s="6"/>
      <c r="M94" s="6"/>
      <c r="N94" s="6"/>
    </row>
    <row r="95" spans="1:14" ht="21.75" customHeight="1" x14ac:dyDescent="0.2">
      <c r="A95" s="18" t="s">
        <v>24</v>
      </c>
      <c r="B95" s="18"/>
      <c r="C95" s="18"/>
      <c r="D95" s="18"/>
      <c r="E95" s="13"/>
      <c r="F95" s="15" t="s">
        <v>53</v>
      </c>
      <c r="G95" s="16">
        <f>INDEX(Data!$A$176:$G$187,MATCH(F95,Data!$A$176:$A$187,0),MATCH($G$5,Data!$C$175:$F$175,0)+2)</f>
        <v>64</v>
      </c>
      <c r="H95" s="17">
        <f>IF(INDEX(Data!$A$111:$J$114,MATCH($G$5,Data!$A$111:$A$114,0),3)=0,0,G95/INDEX(Data!$A$111:$J$114,MATCH($G$5,Data!$A$111:$A$114,0),3))</f>
        <v>0.64646464646464652</v>
      </c>
      <c r="I95" s="16" t="s">
        <v>54</v>
      </c>
      <c r="J95" s="6"/>
      <c r="K95" s="6"/>
      <c r="L95" s="6"/>
      <c r="M95" s="6"/>
      <c r="N95" s="6"/>
    </row>
    <row r="96" spans="1:14" ht="19.5" customHeight="1" x14ac:dyDescent="0.2">
      <c r="A96" s="16" t="str">
        <f>Data!A136</f>
        <v>President</v>
      </c>
      <c r="B96" s="16">
        <f>INDEX(Data!$A$136:$F$167,MATCH(A96,Data!$A$136:$A$167,0),MATCH($G$5,Data!$B$135:$E$135,0)+1)</f>
        <v>0</v>
      </c>
      <c r="C96" s="17">
        <f>IF(INDEX(Data!$A$111:$J$114,MATCH($G$5,Data!$A$111:$A$114,0),3)=0,0,B96/INDEX(Data!$A$111:$J$114,MATCH($G$5,Data!$A$111:$A$114,0),3))</f>
        <v>0</v>
      </c>
      <c r="D96" s="17">
        <f>IF(INDEX(Data!$A$111:$J$114,MATCH($G$5,Data!$A$111:$A$114,0),2)=0,0,B96/INDEX(Data!$A$111:$J$114,MATCH($G$5,Data!$A$111:$A$114,0),2))</f>
        <v>0</v>
      </c>
      <c r="E96" s="13"/>
      <c r="F96" s="19" t="s">
        <v>56</v>
      </c>
      <c r="G96" s="20">
        <f>INDEX(Data!$A$176:$G$187,MATCH(F96,Data!$A$176:$A$187,0),MATCH($G$5,Data!$C$175:$F$175,0)+2)</f>
        <v>6</v>
      </c>
      <c r="H96" s="21">
        <f>IF(INDEX(Data!$A$111:$J$114,MATCH($G$5,Data!$A$111:$A$114,0),3)=0,0,G96/INDEX(Data!$A$111:$J$114,MATCH($G$5,Data!$A$111:$A$114,0),3))</f>
        <v>6.0606060606060608E-2</v>
      </c>
      <c r="I96" s="20" t="s">
        <v>54</v>
      </c>
      <c r="J96" s="6"/>
      <c r="K96" s="6"/>
      <c r="L96" s="6"/>
      <c r="M96" s="6"/>
      <c r="N96" s="6"/>
    </row>
    <row r="97" spans="1:14" ht="19.5" customHeight="1" x14ac:dyDescent="0.2">
      <c r="A97" s="20" t="str">
        <f>Data!A137</f>
        <v>VP of Operations</v>
      </c>
      <c r="B97" s="20">
        <f>INDEX(Data!$A$136:$F$167,MATCH(A97,Data!$A$136:$A$167,0),MATCH($G$5,Data!$B$135:$E$135,0)+1)</f>
        <v>0</v>
      </c>
      <c r="C97" s="21">
        <f>IF(INDEX(Data!$A$111:$J$114,MATCH($G$5,Data!$A$111:$A$114,0),3)=0,0,B97/INDEX(Data!$A$111:$J$114,MATCH($G$5,Data!$A$111:$A$114,0),3))</f>
        <v>0</v>
      </c>
      <c r="D97" s="21">
        <f>IF(INDEX(Data!$A$111:$J$114,MATCH($G$5,Data!$A$111:$A$114,0),2)=0,0,B97/INDEX(Data!$A$111:$J$114,MATCH($G$5,Data!$A$111:$A$114,0),2))</f>
        <v>0</v>
      </c>
      <c r="E97" s="13"/>
      <c r="F97" s="15" t="s">
        <v>58</v>
      </c>
      <c r="G97" s="16">
        <f>INDEX(Data!$A$176:$G$187,MATCH(F97,Data!$A$176:$A$187,0),MATCH($G$5,Data!$C$175:$F$175,0)+2)</f>
        <v>7</v>
      </c>
      <c r="H97" s="17">
        <f>IF(INDEX(Data!$A$111:$J$114,MATCH($G$5,Data!$A$111:$A$114,0),3)=0,0,G97/INDEX(Data!$A$111:$J$114,MATCH($G$5,Data!$A$111:$A$114,0),3))</f>
        <v>7.0707070707070704E-2</v>
      </c>
      <c r="I97" s="16" t="s">
        <v>54</v>
      </c>
      <c r="J97" s="6"/>
      <c r="K97" s="6"/>
      <c r="L97" s="6"/>
      <c r="M97" s="6"/>
      <c r="N97" s="6"/>
    </row>
    <row r="98" spans="1:14" ht="19.5" customHeight="1" x14ac:dyDescent="0.2">
      <c r="A98" s="16" t="str">
        <f>Data!A138</f>
        <v>VP of Children Services</v>
      </c>
      <c r="B98" s="16">
        <f>INDEX(Data!$A$136:$F$167,MATCH(A98,Data!$A$136:$A$167,0),MATCH($G$5,Data!$B$135:$E$135,0)+1)</f>
        <v>0</v>
      </c>
      <c r="C98" s="17">
        <f>IF(INDEX(Data!$A$111:$J$114,MATCH($G$5,Data!$A$111:$A$114,0),3)=0,0,B98/INDEX(Data!$A$111:$J$114,MATCH($G$5,Data!$A$111:$A$114,0),3))</f>
        <v>0</v>
      </c>
      <c r="D98" s="17">
        <f>IF(INDEX(Data!$A$111:$J$114,MATCH($G$5,Data!$A$111:$A$114,0),2)=0,0,B98/INDEX(Data!$A$111:$J$114,MATCH($G$5,Data!$A$111:$A$114,0),2))</f>
        <v>0</v>
      </c>
      <c r="E98" s="13"/>
      <c r="F98" s="19" t="s">
        <v>60</v>
      </c>
      <c r="G98" s="20">
        <f>INDEX(Data!$A$176:$G$187,MATCH(F98,Data!$A$176:$A$187,0),MATCH($G$5,Data!$C$175:$F$175,0)+2)</f>
        <v>1</v>
      </c>
      <c r="H98" s="21">
        <f>IF(INDEX(Data!$A$111:$J$114,MATCH($G$5,Data!$A$111:$A$114,0),3)=0,0,G98/INDEX(Data!$A$111:$J$114,MATCH($G$5,Data!$A$111:$A$114,0),3))</f>
        <v>1.0101010101010102E-2</v>
      </c>
      <c r="I98" s="20" t="s">
        <v>54</v>
      </c>
      <c r="J98" s="6"/>
      <c r="K98" s="6"/>
      <c r="L98" s="6"/>
      <c r="M98" s="6"/>
      <c r="N98" s="6"/>
    </row>
    <row r="99" spans="1:14" ht="19.5" customHeight="1" x14ac:dyDescent="0.2">
      <c r="A99" s="20" t="str">
        <f>Data!A139</f>
        <v>VP of Professional Services</v>
      </c>
      <c r="B99" s="20">
        <f>INDEX(Data!$A$136:$F$167,MATCH(A99,Data!$A$136:$A$167,0),MATCH($G$5,Data!$B$135:$E$135,0)+1)</f>
        <v>0</v>
      </c>
      <c r="C99" s="21">
        <f>IF(INDEX(Data!$A$111:$J$114,MATCH($G$5,Data!$A$111:$A$114,0),3)=0,0,B99/INDEX(Data!$A$111:$J$114,MATCH($G$5,Data!$A$111:$A$114,0),3))</f>
        <v>0</v>
      </c>
      <c r="D99" s="21">
        <f>IF(INDEX(Data!$A$111:$J$114,MATCH($G$5,Data!$A$111:$A$114,0),2)=0,0,B99/INDEX(Data!$A$111:$J$114,MATCH($G$5,Data!$A$111:$A$114,0),2))</f>
        <v>0</v>
      </c>
      <c r="E99" s="13"/>
      <c r="F99" s="15" t="s">
        <v>62</v>
      </c>
      <c r="G99" s="16">
        <f>INDEX(Data!$A$176:$G$187,MATCH(F99,Data!$A$176:$A$187,0),MATCH($G$5,Data!$C$175:$F$175,0)+2)</f>
        <v>0</v>
      </c>
      <c r="H99" s="17">
        <f>IF(INDEX(Data!$A$111:$J$114,MATCH($G$5,Data!$A$111:$A$114,0),3)=0,0,G99/INDEX(Data!$A$111:$J$114,MATCH($G$5,Data!$A$111:$A$114,0),3))</f>
        <v>0</v>
      </c>
      <c r="I99" s="16" t="s">
        <v>54</v>
      </c>
      <c r="J99" s="6"/>
      <c r="K99" s="6"/>
      <c r="L99" s="6"/>
      <c r="M99" s="6"/>
      <c r="N99" s="6"/>
    </row>
    <row r="100" spans="1:14" ht="19.5" customHeight="1" x14ac:dyDescent="0.2">
      <c r="A100" s="16" t="str">
        <f>Data!A140</f>
        <v>VP of Behavioral Health</v>
      </c>
      <c r="B100" s="16">
        <f>INDEX(Data!$A$136:$F$167,MATCH(A100,Data!$A$136:$A$167,0),MATCH($G$5,Data!$B$135:$E$135,0)+1)</f>
        <v>0</v>
      </c>
      <c r="C100" s="17">
        <f>IF(INDEX(Data!$A$111:$J$114,MATCH($G$5,Data!$A$111:$A$114,0),3)=0,0,B100/INDEX(Data!$A$111:$J$114,MATCH($G$5,Data!$A$111:$A$114,0),3))</f>
        <v>0</v>
      </c>
      <c r="D100" s="17">
        <f>IF(INDEX(Data!$A$111:$J$114,MATCH($G$5,Data!$A$111:$A$114,0),2)=0,0,B100/INDEX(Data!$A$111:$J$114,MATCH($G$5,Data!$A$111:$A$114,0),2))</f>
        <v>0</v>
      </c>
      <c r="E100" s="13"/>
      <c r="F100" s="19" t="s">
        <v>64</v>
      </c>
      <c r="G100" s="20">
        <f>INDEX(Data!$A$176:$G$187,MATCH(F100,Data!$A$176:$A$187,0),MATCH($G$5,Data!$C$175:$F$175,0)+2)</f>
        <v>4</v>
      </c>
      <c r="H100" s="21">
        <f>IF(INDEX(Data!$A$111:$J$114,MATCH($G$5,Data!$A$111:$A$114,0),3)=0,0,G100/INDEX(Data!$A$111:$J$114,MATCH($G$5,Data!$A$111:$A$114,0),3))</f>
        <v>4.0404040404040407E-2</v>
      </c>
      <c r="I100" s="20" t="s">
        <v>65</v>
      </c>
      <c r="J100" s="6"/>
      <c r="K100" s="6"/>
      <c r="L100" s="6"/>
      <c r="M100" s="6"/>
      <c r="N100" s="6"/>
    </row>
    <row r="101" spans="1:14" ht="19.5" customHeight="1" x14ac:dyDescent="0.2">
      <c r="A101" s="20" t="str">
        <f>Data!A141</f>
        <v>VP of Human Resources</v>
      </c>
      <c r="B101" s="20">
        <f>INDEX(Data!$A$136:$F$167,MATCH(A101,Data!$A$136:$A$167,0),MATCH($G$5,Data!$B$135:$E$135,0)+1)</f>
        <v>0</v>
      </c>
      <c r="C101" s="21">
        <f>IF(INDEX(Data!$A$111:$J$114,MATCH($G$5,Data!$A$111:$A$114,0),3)=0,0,B101/INDEX(Data!$A$111:$J$114,MATCH($G$5,Data!$A$111:$A$114,0),3))</f>
        <v>0</v>
      </c>
      <c r="D101" s="21">
        <f>IF(INDEX(Data!$A$111:$J$114,MATCH($G$5,Data!$A$111:$A$114,0),2)=0,0,B101/INDEX(Data!$A$111:$J$114,MATCH($G$5,Data!$A$111:$A$114,0),2))</f>
        <v>0</v>
      </c>
      <c r="E101" s="13"/>
      <c r="F101" s="15" t="s">
        <v>67</v>
      </c>
      <c r="G101" s="16">
        <f>INDEX(Data!$A$176:$G$187,MATCH(F101,Data!$A$176:$A$187,0),MATCH($G$5,Data!$C$175:$F$175,0)+2)</f>
        <v>0</v>
      </c>
      <c r="H101" s="17">
        <f>IF(INDEX(Data!$A$111:$J$114,MATCH($G$5,Data!$A$111:$A$114,0),3)=0,0,G101/INDEX(Data!$A$111:$J$114,MATCH($G$5,Data!$A$111:$A$114,0),3))</f>
        <v>0</v>
      </c>
      <c r="I101" s="16" t="s">
        <v>65</v>
      </c>
      <c r="J101" s="6"/>
      <c r="K101" s="6"/>
      <c r="L101" s="6"/>
      <c r="M101" s="6"/>
      <c r="N101" s="6"/>
    </row>
    <row r="102" spans="1:14" ht="19.5" customHeight="1" x14ac:dyDescent="0.2">
      <c r="A102" s="16" t="str">
        <f>Data!A142</f>
        <v>VP of Employment Services</v>
      </c>
      <c r="B102" s="16">
        <f>INDEX(Data!$A$136:$F$167,MATCH(A102,Data!$A$136:$A$167,0),MATCH($G$5,Data!$B$135:$E$135,0)+1)</f>
        <v>0</v>
      </c>
      <c r="C102" s="17">
        <f>IF(INDEX(Data!$A$111:$J$114,MATCH($G$5,Data!$A$111:$A$114,0),3)=0,0,B102/INDEX(Data!$A$111:$J$114,MATCH($G$5,Data!$A$111:$A$114,0),3))</f>
        <v>0</v>
      </c>
      <c r="D102" s="17">
        <f>IF(INDEX(Data!$A$111:$J$114,MATCH($G$5,Data!$A$111:$A$114,0),2)=0,0,B102/INDEX(Data!$A$111:$J$114,MATCH($G$5,Data!$A$111:$A$114,0),2))</f>
        <v>0</v>
      </c>
      <c r="E102" s="13"/>
      <c r="F102" s="19" t="s">
        <v>69</v>
      </c>
      <c r="G102" s="20">
        <f>INDEX(Data!$A$176:$G$187,MATCH(F102,Data!$A$176:$A$187,0),MATCH($G$5,Data!$C$175:$F$175,0)+2)</f>
        <v>8</v>
      </c>
      <c r="H102" s="21">
        <f>IF(INDEX(Data!$A$111:$J$114,MATCH($G$5,Data!$A$111:$A$114,0),3)=0,0,G102/INDEX(Data!$A$111:$J$114,MATCH($G$5,Data!$A$111:$A$114,0),3))</f>
        <v>8.0808080808080815E-2</v>
      </c>
      <c r="I102" s="20" t="s">
        <v>70</v>
      </c>
      <c r="J102" s="6"/>
      <c r="K102" s="6"/>
      <c r="L102" s="6"/>
      <c r="M102" s="6"/>
      <c r="N102" s="6"/>
    </row>
    <row r="103" spans="1:14" ht="19.5" customHeight="1" x14ac:dyDescent="0.2">
      <c r="A103" s="20" t="str">
        <f>Data!A143</f>
        <v>VP of Family Support</v>
      </c>
      <c r="B103" s="20">
        <f>INDEX(Data!$A$136:$F$167,MATCH(A103,Data!$A$136:$A$167,0),MATCH($G$5,Data!$B$135:$E$135,0)+1)</f>
        <v>0</v>
      </c>
      <c r="C103" s="21">
        <f>IF(INDEX(Data!$A$111:$J$114,MATCH($G$5,Data!$A$111:$A$114,0),3)=0,0,B103/INDEX(Data!$A$111:$J$114,MATCH($G$5,Data!$A$111:$A$114,0),3))</f>
        <v>0</v>
      </c>
      <c r="D103" s="21">
        <f>IF(INDEX(Data!$A$111:$J$114,MATCH($G$5,Data!$A$111:$A$114,0),2)=0,0,B103/INDEX(Data!$A$111:$J$114,MATCH($G$5,Data!$A$111:$A$114,0),2))</f>
        <v>0</v>
      </c>
      <c r="E103" s="13"/>
      <c r="F103" s="15" t="s">
        <v>72</v>
      </c>
      <c r="G103" s="16">
        <f>INDEX(Data!$A$176:$G$187,MATCH(F103,Data!$A$176:$A$187,0),MATCH($G$5,Data!$C$175:$F$175,0)+2)</f>
        <v>1</v>
      </c>
      <c r="H103" s="17">
        <f>IF(INDEX(Data!$A$111:$J$114,MATCH($G$5,Data!$A$111:$A$114,0),3)=0,0,G103/INDEX(Data!$A$111:$J$114,MATCH($G$5,Data!$A$111:$A$114,0),3))</f>
        <v>1.0101010101010102E-2</v>
      </c>
      <c r="I103" s="16" t="s">
        <v>70</v>
      </c>
      <c r="J103" s="6"/>
      <c r="K103" s="6"/>
      <c r="L103" s="6"/>
      <c r="M103" s="6"/>
      <c r="N103" s="6"/>
    </row>
    <row r="104" spans="1:14" ht="19.5" customHeight="1" x14ac:dyDescent="0.2">
      <c r="A104" s="16" t="str">
        <f>Data!A144</f>
        <v>VP of Finance</v>
      </c>
      <c r="B104" s="16">
        <f>INDEX(Data!$A$136:$F$167,MATCH(A104,Data!$A$136:$A$167,0),MATCH($G$5,Data!$B$135:$E$135,0)+1)</f>
        <v>1</v>
      </c>
      <c r="C104" s="17">
        <f>IF(INDEX(Data!$A$111:$J$114,MATCH($G$5,Data!$A$111:$A$114,0),3)=0,0,B104/INDEX(Data!$A$111:$J$114,MATCH($G$5,Data!$A$111:$A$114,0),3))</f>
        <v>1.0101010101010102E-2</v>
      </c>
      <c r="D104" s="17">
        <f>IF(INDEX(Data!$A$111:$J$114,MATCH($G$5,Data!$A$111:$A$114,0),2)=0,0,B104/INDEX(Data!$A$111:$J$114,MATCH($G$5,Data!$A$111:$A$114,0),2))</f>
        <v>2.8901734104046241E-3</v>
      </c>
      <c r="E104" s="13"/>
      <c r="F104" s="19" t="s">
        <v>70</v>
      </c>
      <c r="G104" s="20">
        <f>INDEX(Data!$A$176:$G$187,MATCH(F104,Data!$A$176:$A$187,0),MATCH($G$5,Data!$C$175:$F$175,0)+2)</f>
        <v>6</v>
      </c>
      <c r="H104" s="21">
        <f>IF(INDEX(Data!$A$111:$J$114,MATCH($G$5,Data!$A$111:$A$114,0),3)=0,0,G104/INDEX(Data!$A$111:$J$114,MATCH($G$5,Data!$A$111:$A$114,0),3))</f>
        <v>6.0606060606060608E-2</v>
      </c>
      <c r="I104" s="20" t="s">
        <v>70</v>
      </c>
      <c r="J104" s="6"/>
      <c r="K104" s="6"/>
      <c r="L104" s="6"/>
      <c r="M104" s="6"/>
      <c r="N104" s="6"/>
    </row>
    <row r="105" spans="1:14" ht="19.5" customHeight="1" x14ac:dyDescent="0.2">
      <c r="A105" s="20" t="str">
        <f>Data!A145</f>
        <v>Director of Operations</v>
      </c>
      <c r="B105" s="20">
        <f>INDEX(Data!$A$136:$F$167,MATCH(A105,Data!$A$136:$A$167,0),MATCH($G$5,Data!$B$135:$E$135,0)+1)</f>
        <v>0</v>
      </c>
      <c r="C105" s="21">
        <f>IF(INDEX(Data!$A$111:$J$114,MATCH($G$5,Data!$A$111:$A$114,0),3)=0,0,B105/INDEX(Data!$A$111:$J$114,MATCH($G$5,Data!$A$111:$A$114,0),3))</f>
        <v>0</v>
      </c>
      <c r="D105" s="21">
        <f>IF(INDEX(Data!$A$111:$J$114,MATCH($G$5,Data!$A$111:$A$114,0),2)=0,0,B105/INDEX(Data!$A$111:$J$114,MATCH($G$5,Data!$A$111:$A$114,0),2))</f>
        <v>0</v>
      </c>
      <c r="E105" s="13"/>
      <c r="F105" s="15" t="s">
        <v>75</v>
      </c>
      <c r="G105" s="16">
        <f>INDEX(Data!$A$176:$G$187,MATCH(F105,Data!$A$176:$A$187,0),MATCH($G$5,Data!$C$175:$F$175,0)+2)</f>
        <v>1</v>
      </c>
      <c r="H105" s="17">
        <f>IF(INDEX(Data!$A$111:$J$114,MATCH($G$5,Data!$A$111:$A$114,0),3)=0,0,G105/INDEX(Data!$A$111:$J$114,MATCH($G$5,Data!$A$111:$A$114,0),3))</f>
        <v>1.0101010101010102E-2</v>
      </c>
      <c r="I105" s="16" t="s">
        <v>70</v>
      </c>
      <c r="J105" s="6"/>
      <c r="K105" s="6"/>
      <c r="L105" s="6"/>
      <c r="M105" s="6"/>
      <c r="N105" s="6"/>
    </row>
    <row r="106" spans="1:14" ht="19.5" customHeight="1" x14ac:dyDescent="0.2">
      <c r="A106" s="16" t="str">
        <f>Data!A146</f>
        <v>Director of Children Services</v>
      </c>
      <c r="B106" s="16">
        <f>INDEX(Data!$A$136:$F$167,MATCH(A106,Data!$A$136:$A$167,0),MATCH($G$5,Data!$B$135:$E$135,0)+1)</f>
        <v>1</v>
      </c>
      <c r="C106" s="17">
        <f>IF(INDEX(Data!$A$111:$J$114,MATCH($G$5,Data!$A$111:$A$114,0),3)=0,0,B106/INDEX(Data!$A$111:$J$114,MATCH($G$5,Data!$A$111:$A$114,0),3))</f>
        <v>1.0101010101010102E-2</v>
      </c>
      <c r="D106" s="17">
        <f>IF(INDEX(Data!$A$111:$J$114,MATCH($G$5,Data!$A$111:$A$114,0),2)=0,0,B106/INDEX(Data!$A$111:$J$114,MATCH($G$5,Data!$A$111:$A$114,0),2))</f>
        <v>2.8901734104046241E-3</v>
      </c>
      <c r="E106" s="13"/>
      <c r="F106" s="19" t="s">
        <v>77</v>
      </c>
      <c r="G106" s="20">
        <f>INDEX(Data!$A$176:$G$187,MATCH(F106,Data!$A$176:$A$187,0),MATCH($G$5,Data!$C$175:$F$175,0)+2)</f>
        <v>1</v>
      </c>
      <c r="H106" s="21">
        <f>IF(INDEX(Data!$A$111:$J$114,MATCH($G$5,Data!$A$111:$A$114,0),3)=0,0,G106/INDEX(Data!$A$111:$J$114,MATCH($G$5,Data!$A$111:$A$114,0),3))</f>
        <v>1.0101010101010102E-2</v>
      </c>
      <c r="I106" s="20" t="s">
        <v>70</v>
      </c>
      <c r="J106" s="6"/>
      <c r="K106" s="6"/>
      <c r="L106" s="6"/>
      <c r="M106" s="6"/>
      <c r="N106" s="6"/>
    </row>
    <row r="107" spans="1:14" ht="19.5" customHeight="1" x14ac:dyDescent="0.2">
      <c r="A107" s="20" t="str">
        <f>Data!A147</f>
        <v>Director of Professional Services</v>
      </c>
      <c r="B107" s="20">
        <f>INDEX(Data!$A$136:$F$167,MATCH(A107,Data!$A$136:$A$167,0),MATCH($G$5,Data!$B$135:$E$135,0)+1)</f>
        <v>1</v>
      </c>
      <c r="C107" s="21">
        <f>IF(INDEX(Data!$A$111:$J$114,MATCH($G$5,Data!$A$111:$A$114,0),3)=0,0,B107/INDEX(Data!$A$111:$J$114,MATCH($G$5,Data!$A$111:$A$114,0),3))</f>
        <v>1.0101010101010102E-2</v>
      </c>
      <c r="D107" s="21">
        <f>IF(INDEX(Data!$A$111:$J$114,MATCH($G$5,Data!$A$111:$A$114,0),2)=0,0,B107/INDEX(Data!$A$111:$J$114,MATCH($G$5,Data!$A$111:$A$114,0),2))</f>
        <v>2.8901734104046241E-3</v>
      </c>
      <c r="E107" s="13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9.5" customHeight="1" x14ac:dyDescent="0.2">
      <c r="A108" s="16" t="str">
        <f>Data!A148</f>
        <v>Director of Behavioral Health</v>
      </c>
      <c r="B108" s="16">
        <f>INDEX(Data!$A$136:$F$167,MATCH(A108,Data!$A$136:$A$167,0),MATCH($G$5,Data!$B$135:$E$135,0)+1)</f>
        <v>0</v>
      </c>
      <c r="C108" s="17">
        <f>IF(INDEX(Data!$A$111:$J$114,MATCH($G$5,Data!$A$111:$A$114,0),3)=0,0,B108/INDEX(Data!$A$111:$J$114,MATCH($G$5,Data!$A$111:$A$114,0),3))</f>
        <v>0</v>
      </c>
      <c r="D108" s="17">
        <f>IF(INDEX(Data!$A$111:$J$114,MATCH($G$5,Data!$A$111:$A$114,0),2)=0,0,B108/INDEX(Data!$A$111:$J$114,MATCH($G$5,Data!$A$111:$A$114,0),2))</f>
        <v>0</v>
      </c>
      <c r="E108" s="13"/>
      <c r="F108" s="42" t="s">
        <v>120</v>
      </c>
      <c r="G108" s="42">
        <f>INDEX(Data!$A$111:$J$114,MATCH($G$5,Data!$A$111:$A$114,0),6)</f>
        <v>78</v>
      </c>
      <c r="H108" s="43">
        <f>IF(INDEX(Data!$A$111:$J$114,MATCH($G$5,Data!$A$111:$A$114,0),3)=0,0,G108/INDEX(Data!$A$111:$J$114,MATCH($G$5,Data!$A$111:$A$114,0),3))</f>
        <v>0.78787878787878785</v>
      </c>
      <c r="I108" s="62"/>
      <c r="J108" s="6"/>
      <c r="K108" s="6"/>
      <c r="L108" s="6"/>
      <c r="M108" s="6"/>
      <c r="N108" s="6"/>
    </row>
    <row r="109" spans="1:14" ht="19.5" customHeight="1" x14ac:dyDescent="0.2">
      <c r="A109" s="20" t="str">
        <f>Data!A149</f>
        <v>Director of Human Resources</v>
      </c>
      <c r="B109" s="20">
        <f>INDEX(Data!$A$136:$F$167,MATCH(A109,Data!$A$136:$A$167,0),MATCH($G$5,Data!$B$135:$E$135,0)+1)</f>
        <v>0</v>
      </c>
      <c r="C109" s="21">
        <f>IF(INDEX(Data!$A$111:$J$114,MATCH($G$5,Data!$A$111:$A$114,0),3)=0,0,B109/INDEX(Data!$A$111:$J$114,MATCH($G$5,Data!$A$111:$A$114,0),3))</f>
        <v>0</v>
      </c>
      <c r="D109" s="21">
        <f>IF(INDEX(Data!$A$111:$J$114,MATCH($G$5,Data!$A$111:$A$114,0),2)=0,0,B109/INDEX(Data!$A$111:$J$114,MATCH($G$5,Data!$A$111:$A$114,0),2))</f>
        <v>0</v>
      </c>
      <c r="E109" s="13"/>
      <c r="F109" s="42" t="s">
        <v>121</v>
      </c>
      <c r="G109" s="42">
        <f>INDEX(Data!$A$111:$J$114,MATCH($G$5,Data!$A$111:$A$114,0),7)</f>
        <v>4</v>
      </c>
      <c r="H109" s="43">
        <f>IF(INDEX(Data!$A$111:$J$114,MATCH($G$5,Data!$A$111:$A$114,0),3)=0,0,G109/INDEX(Data!$A$111:$J$114,MATCH($G$5,Data!$A$111:$A$114,0),3))</f>
        <v>4.0404040404040407E-2</v>
      </c>
      <c r="I109" s="62"/>
      <c r="J109" s="6"/>
      <c r="K109" s="6"/>
      <c r="L109" s="6"/>
      <c r="M109" s="6"/>
      <c r="N109" s="6"/>
    </row>
    <row r="110" spans="1:14" ht="19.5" customHeight="1" x14ac:dyDescent="0.2">
      <c r="A110" s="16" t="str">
        <f>Data!A150</f>
        <v>Director of Finance</v>
      </c>
      <c r="B110" s="16">
        <f>INDEX(Data!$A$136:$F$167,MATCH(A110,Data!$A$136:$A$167,0),MATCH($G$5,Data!$B$135:$E$135,0)+1)</f>
        <v>0</v>
      </c>
      <c r="C110" s="17">
        <f>IF(INDEX(Data!$A$111:$J$114,MATCH($G$5,Data!$A$111:$A$114,0),3)=0,0,B110/INDEX(Data!$A$111:$J$114,MATCH($G$5,Data!$A$111:$A$114,0),3))</f>
        <v>0</v>
      </c>
      <c r="D110" s="17">
        <f>IF(INDEX(Data!$A$111:$J$114,MATCH($G$5,Data!$A$111:$A$114,0),2)=0,0,B110/INDEX(Data!$A$111:$J$114,MATCH($G$5,Data!$A$111:$A$114,0),2))</f>
        <v>0</v>
      </c>
      <c r="E110" s="13"/>
      <c r="F110" s="42" t="s">
        <v>122</v>
      </c>
      <c r="G110" s="42">
        <f>INDEX(Data!$A$111:$J$114,MATCH($G$5,Data!$A$111:$A$114,0),8)</f>
        <v>17</v>
      </c>
      <c r="H110" s="43">
        <f>IF(INDEX(Data!$A$111:$J$114,MATCH($G$5,Data!$A$111:$A$114,0),3)=0,0,G110/INDEX(Data!$A$111:$J$114,MATCH($G$5,Data!$A$111:$A$114,0),3))</f>
        <v>0.17171717171717171</v>
      </c>
      <c r="I110" s="62"/>
      <c r="J110" s="6"/>
      <c r="K110" s="6"/>
      <c r="L110" s="6"/>
      <c r="M110" s="6"/>
      <c r="N110" s="6"/>
    </row>
    <row r="111" spans="1:14" ht="19.5" customHeight="1" x14ac:dyDescent="0.2">
      <c r="A111" s="20" t="str">
        <f>Data!A151</f>
        <v>Director of Employment Services</v>
      </c>
      <c r="B111" s="20">
        <f>INDEX(Data!$A$136:$F$167,MATCH(A111,Data!$A$136:$A$167,0),MATCH($G$5,Data!$B$135:$E$135,0)+1)</f>
        <v>0</v>
      </c>
      <c r="C111" s="21">
        <f>IF(INDEX(Data!$A$111:$J$114,MATCH($G$5,Data!$A$111:$A$114,0),3)=0,0,B111/INDEX(Data!$A$111:$J$114,MATCH($G$5,Data!$A$111:$A$114,0),3))</f>
        <v>0</v>
      </c>
      <c r="D111" s="21">
        <f>IF(INDEX(Data!$A$111:$J$114,MATCH($G$5,Data!$A$111:$A$114,0),2)=0,0,B111/INDEX(Data!$A$111:$J$114,MATCH($G$5,Data!$A$111:$A$114,0),2))</f>
        <v>0</v>
      </c>
      <c r="E111" s="13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9.5" customHeight="1" x14ac:dyDescent="0.2">
      <c r="A112" s="16" t="str">
        <f>Data!A152</f>
        <v>Director of Family Support</v>
      </c>
      <c r="B112" s="16">
        <f>INDEX(Data!$A$136:$F$167,MATCH(A112,Data!$A$136:$A$167,0),MATCH($G$5,Data!$B$135:$E$135,0)+1)</f>
        <v>0</v>
      </c>
      <c r="C112" s="17">
        <f>IF(INDEX(Data!$A$111:$J$114,MATCH($G$5,Data!$A$111:$A$114,0),3)=0,0,B112/INDEX(Data!$A$111:$J$114,MATCH($G$5,Data!$A$111:$A$114,0),3))</f>
        <v>0</v>
      </c>
      <c r="D112" s="17">
        <f>IF(INDEX(Data!$A$111:$J$114,MATCH($G$5,Data!$A$111:$A$114,0),2)=0,0,B112/INDEX(Data!$A$111:$J$114,MATCH($G$5,Data!$A$111:$A$114,0),2))</f>
        <v>0</v>
      </c>
      <c r="E112" s="13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9.5" customHeight="1" x14ac:dyDescent="0.2">
      <c r="A113" s="20" t="str">
        <f>Data!A153</f>
        <v>Director of QA</v>
      </c>
      <c r="B113" s="20">
        <f>INDEX(Data!$A$136:$F$167,MATCH(A113,Data!$A$136:$A$167,0),MATCH($G$5,Data!$B$135:$E$135,0)+1)</f>
        <v>0</v>
      </c>
      <c r="C113" s="21">
        <f>IF(INDEX(Data!$A$111:$J$114,MATCH($G$5,Data!$A$111:$A$114,0),3)=0,0,B113/INDEX(Data!$A$111:$J$114,MATCH($G$5,Data!$A$111:$A$114,0),3))</f>
        <v>0</v>
      </c>
      <c r="D113" s="21">
        <f>IF(INDEX(Data!$A$111:$J$114,MATCH($G$5,Data!$A$111:$A$114,0),2)=0,0,B113/INDEX(Data!$A$111:$J$114,MATCH($G$5,Data!$A$111:$A$114,0),2))</f>
        <v>0</v>
      </c>
      <c r="E113" s="13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21.75" customHeight="1" x14ac:dyDescent="0.2">
      <c r="A114" s="18" t="s">
        <v>63</v>
      </c>
      <c r="B114" s="18"/>
      <c r="C114" s="18"/>
      <c r="D114" s="18"/>
      <c r="E114" s="13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9.5" customHeight="1" x14ac:dyDescent="0.2">
      <c r="A115" s="16" t="str">
        <f>Data!A154</f>
        <v>DSP</v>
      </c>
      <c r="B115" s="16">
        <f>INDEX(Data!$A$136:$F$167,MATCH(A115,Data!$A$136:$A$167,0),MATCH($G$5,Data!$B$135:$E$135,0)+1)</f>
        <v>52</v>
      </c>
      <c r="C115" s="17">
        <f>IF(INDEX(Data!$A$111:$J$114,MATCH($G$5,Data!$A$111:$A$114,0),3)=0,0,B115/INDEX(Data!$A$111:$J$114,MATCH($G$5,Data!$A$111:$A$114,0),3))</f>
        <v>0.5252525252525253</v>
      </c>
      <c r="D115" s="17">
        <f>IF(INDEX(Data!$A$111:$J$114,MATCH($G$5,Data!$A$111:$A$114,0),2)=0,0,B115/INDEX(Data!$A$111:$J$114,MATCH($G$5,Data!$A$111:$A$114,0),2))</f>
        <v>0.15028901734104047</v>
      </c>
      <c r="E115" s="13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9.5" customHeight="1" x14ac:dyDescent="0.2">
      <c r="A116" s="20" t="str">
        <f>Data!A155</f>
        <v>HM</v>
      </c>
      <c r="B116" s="20">
        <f>INDEX(Data!$A$136:$F$167,MATCH(A116,Data!$A$136:$A$167,0),MATCH($G$5,Data!$B$135:$E$135,0)+1)</f>
        <v>8</v>
      </c>
      <c r="C116" s="21">
        <f>IF(INDEX(Data!$A$111:$J$114,MATCH($G$5,Data!$A$111:$A$114,0),3)=0,0,B116/INDEX(Data!$A$111:$J$114,MATCH($G$5,Data!$A$111:$A$114,0),3))</f>
        <v>8.0808080808080815E-2</v>
      </c>
      <c r="D116" s="21">
        <f>IF(INDEX(Data!$A$111:$J$114,MATCH($G$5,Data!$A$111:$A$114,0),2)=0,0,B116/INDEX(Data!$A$111:$J$114,MATCH($G$5,Data!$A$111:$A$114,0),2))</f>
        <v>2.3121387283236993E-2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9.5" customHeight="1" x14ac:dyDescent="0.2">
      <c r="A117" s="16" t="str">
        <f>Data!A156</f>
        <v>RM</v>
      </c>
      <c r="B117" s="16">
        <f>INDEX(Data!$A$136:$F$167,MATCH(A117,Data!$A$136:$A$167,0),MATCH($G$5,Data!$B$135:$E$135,0)+1)</f>
        <v>0</v>
      </c>
      <c r="C117" s="17">
        <f>IF(INDEX(Data!$A$111:$J$114,MATCH($G$5,Data!$A$111:$A$114,0),3)=0,0,B117/INDEX(Data!$A$111:$J$114,MATCH($G$5,Data!$A$111:$A$114,0),3))</f>
        <v>0</v>
      </c>
      <c r="D117" s="17">
        <f>IF(INDEX(Data!$A$111:$J$114,MATCH($G$5,Data!$A$111:$A$114,0),2)=0,0,B117/INDEX(Data!$A$111:$J$114,MATCH($G$5,Data!$A$111:$A$114,0),2))</f>
        <v>0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21.75" customHeight="1" x14ac:dyDescent="0.2">
      <c r="A118" s="18" t="s">
        <v>73</v>
      </c>
      <c r="B118" s="18"/>
      <c r="C118" s="18"/>
      <c r="D118" s="18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9.5" customHeight="1" x14ac:dyDescent="0.2">
      <c r="A119" s="20" t="str">
        <f>Data!A157</f>
        <v>CM</v>
      </c>
      <c r="B119" s="20">
        <f>INDEX(Data!$A$136:$F$167,MATCH(A119,Data!$A$136:$A$167,0),MATCH($G$5,Data!$B$135:$E$135,0)+1)</f>
        <v>6</v>
      </c>
      <c r="C119" s="21">
        <f>IF(INDEX(Data!$A$111:$J$114,MATCH($G$5,Data!$A$111:$A$114,0),3)=0,0,B119/INDEX(Data!$A$111:$J$114,MATCH($G$5,Data!$A$111:$A$114,0),3))</f>
        <v>6.0606060606060608E-2</v>
      </c>
      <c r="D119" s="21">
        <f>IF(INDEX(Data!$A$111:$J$114,MATCH($G$5,Data!$A$111:$A$114,0),2)=0,0,B119/INDEX(Data!$A$111:$J$114,MATCH($G$5,Data!$A$111:$A$114,0),2))</f>
        <v>1.7341040462427744E-2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9.5" customHeight="1" x14ac:dyDescent="0.2">
      <c r="A120" s="16" t="str">
        <f>Data!A158</f>
        <v>EI</v>
      </c>
      <c r="B120" s="16">
        <f>INDEX(Data!$A$136:$F$167,MATCH(A120,Data!$A$136:$A$167,0),MATCH($G$5,Data!$B$135:$E$135,0)+1)</f>
        <v>3</v>
      </c>
      <c r="C120" s="17">
        <f>IF(INDEX(Data!$A$111:$J$114,MATCH($G$5,Data!$A$111:$A$114,0),3)=0,0,B120/INDEX(Data!$A$111:$J$114,MATCH($G$5,Data!$A$111:$A$114,0),3))</f>
        <v>3.0303030303030304E-2</v>
      </c>
      <c r="D120" s="17">
        <f>IF(INDEX(Data!$A$111:$J$114,MATCH($G$5,Data!$A$111:$A$114,0),2)=0,0,B120/INDEX(Data!$A$111:$J$114,MATCH($G$5,Data!$A$111:$A$114,0),2))</f>
        <v>8.670520231213872E-3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9.5" customHeight="1" x14ac:dyDescent="0.2">
      <c r="A121" s="20" t="str">
        <f>Data!A159</f>
        <v>Family Support</v>
      </c>
      <c r="B121" s="20">
        <f>INDEX(Data!$A$136:$F$167,MATCH(A121,Data!$A$136:$A$167,0),MATCH($G$5,Data!$B$135:$E$135,0)+1)</f>
        <v>1</v>
      </c>
      <c r="C121" s="21">
        <f>IF(INDEX(Data!$A$111:$J$114,MATCH($G$5,Data!$A$111:$A$114,0),3)=0,0,B121/INDEX(Data!$A$111:$J$114,MATCH($G$5,Data!$A$111:$A$114,0),3))</f>
        <v>1.0101010101010102E-2</v>
      </c>
      <c r="D121" s="21">
        <f>IF(INDEX(Data!$A$111:$J$114,MATCH($G$5,Data!$A$111:$A$114,0),2)=0,0,B121/INDEX(Data!$A$111:$J$114,MATCH($G$5,Data!$A$111:$A$114,0),2))</f>
        <v>2.8901734104046241E-3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21.75" customHeight="1" x14ac:dyDescent="0.2">
      <c r="A122" s="18" t="s">
        <v>79</v>
      </c>
      <c r="B122" s="18"/>
      <c r="C122" s="18"/>
      <c r="D122" s="18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9.5" customHeight="1" x14ac:dyDescent="0.2">
      <c r="A123" s="16" t="str">
        <f>Data!A160</f>
        <v>Teacher</v>
      </c>
      <c r="B123" s="16">
        <f>INDEX(Data!$A$136:$F$167,MATCH(A123,Data!$A$136:$A$167,0),MATCH($G$5,Data!$B$135:$E$135,0)+1)</f>
        <v>2</v>
      </c>
      <c r="C123" s="17">
        <f>IF(INDEX(Data!$A$111:$J$114,MATCH($G$5,Data!$A$111:$A$114,0),3)=0,0,B123/INDEX(Data!$A$111:$J$114,MATCH($G$5,Data!$A$111:$A$114,0),3))</f>
        <v>2.0202020202020204E-2</v>
      </c>
      <c r="D123" s="17">
        <f>IF(INDEX(Data!$A$111:$J$114,MATCH($G$5,Data!$A$111:$A$114,0),2)=0,0,B123/INDEX(Data!$A$111:$J$114,MATCH($G$5,Data!$A$111:$A$114,0),2))</f>
        <v>5.7803468208092483E-3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9.5" customHeight="1" x14ac:dyDescent="0.2">
      <c r="A124" s="20" t="str">
        <f>Data!A161</f>
        <v>Assistant Teacher</v>
      </c>
      <c r="B124" s="20">
        <f>INDEX(Data!$A$136:$F$167,MATCH(A124,Data!$A$136:$A$167,0),MATCH($G$5,Data!$B$135:$E$135,0)+1)</f>
        <v>4</v>
      </c>
      <c r="C124" s="21">
        <f>IF(INDEX(Data!$A$111:$J$114,MATCH($G$5,Data!$A$111:$A$114,0),3)=0,0,B124/INDEX(Data!$A$111:$J$114,MATCH($G$5,Data!$A$111:$A$114,0),3))</f>
        <v>4.0404040404040407E-2</v>
      </c>
      <c r="D124" s="21">
        <f>IF(INDEX(Data!$A$111:$J$114,MATCH($G$5,Data!$A$111:$A$114,0),2)=0,0,B124/INDEX(Data!$A$111:$J$114,MATCH($G$5,Data!$A$111:$A$114,0),2))</f>
        <v>1.1560693641618497E-2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21.75" customHeight="1" x14ac:dyDescent="0.2">
      <c r="A125" s="18" t="s">
        <v>82</v>
      </c>
      <c r="B125" s="18"/>
      <c r="C125" s="18"/>
      <c r="D125" s="18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9.5" customHeight="1" x14ac:dyDescent="0.2">
      <c r="A126" s="16" t="str">
        <f>Data!A162</f>
        <v>Sub/Floater</v>
      </c>
      <c r="B126" s="16">
        <f>INDEX(Data!$A$136:$F$167,MATCH(A126,Data!$A$136:$A$167,0),MATCH($G$5,Data!$B$135:$E$135,0)+1)</f>
        <v>7</v>
      </c>
      <c r="C126" s="17">
        <f>IF(INDEX(Data!$A$111:$J$114,MATCH($G$5,Data!$A$111:$A$114,0),3)=0,0,B126/INDEX(Data!$A$111:$J$114,MATCH($G$5,Data!$A$111:$A$114,0),3))</f>
        <v>7.0707070707070704E-2</v>
      </c>
      <c r="D126" s="17">
        <f>IF(INDEX(Data!$A$111:$J$114,MATCH($G$5,Data!$A$111:$A$114,0),2)=0,0,B126/INDEX(Data!$A$111:$J$114,MATCH($G$5,Data!$A$111:$A$114,0),2))</f>
        <v>2.023121387283237E-2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9.5" customHeight="1" x14ac:dyDescent="0.2">
      <c r="A127" s="20" t="str">
        <f>Data!A163</f>
        <v>Job Coach/WI</v>
      </c>
      <c r="B127" s="20">
        <f>INDEX(Data!$A$136:$F$167,MATCH(A127,Data!$A$136:$A$167,0),MATCH($G$5,Data!$B$135:$E$135,0)+1)</f>
        <v>0</v>
      </c>
      <c r="C127" s="21">
        <f>IF(INDEX(Data!$A$111:$J$114,MATCH($G$5,Data!$A$111:$A$114,0),3)=0,0,B127/INDEX(Data!$A$111:$J$114,MATCH($G$5,Data!$A$111:$A$114,0),3))</f>
        <v>0</v>
      </c>
      <c r="D127" s="21">
        <f>IF(INDEX(Data!$A$111:$J$114,MATCH($G$5,Data!$A$111:$A$114,0),2)=0,0,B127/INDEX(Data!$A$111:$J$114,MATCH($G$5,Data!$A$111:$A$114,0),2))</f>
        <v>0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21.75" customHeight="1" x14ac:dyDescent="0.2">
      <c r="A128" s="18" t="s">
        <v>86</v>
      </c>
      <c r="B128" s="18"/>
      <c r="C128" s="18"/>
      <c r="D128" s="18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9.5" customHeight="1" x14ac:dyDescent="0.2">
      <c r="A129" s="16" t="str">
        <f>Data!A164</f>
        <v>Finance</v>
      </c>
      <c r="B129" s="16">
        <f>INDEX(Data!$A$136:$F$167,MATCH(A129,Data!$A$136:$A$167,0),MATCH($G$5,Data!$B$135:$E$135,0)+1)</f>
        <v>3</v>
      </c>
      <c r="C129" s="17">
        <f>IF(INDEX(Data!$A$111:$J$114,MATCH($G$5,Data!$A$111:$A$114,0),3)=0,0,B129/INDEX(Data!$A$111:$J$114,MATCH($G$5,Data!$A$111:$A$114,0),3))</f>
        <v>3.0303030303030304E-2</v>
      </c>
      <c r="D129" s="17">
        <f>IF(INDEX(Data!$A$111:$J$114,MATCH($G$5,Data!$A$111:$A$114,0),2)=0,0,B129/INDEX(Data!$A$111:$J$114,MATCH($G$5,Data!$A$111:$A$114,0),2))</f>
        <v>8.670520231213872E-3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9.5" customHeight="1" x14ac:dyDescent="0.2">
      <c r="A130" s="20" t="str">
        <f>Data!A165</f>
        <v>HR</v>
      </c>
      <c r="B130" s="20">
        <f>INDEX(Data!$A$136:$F$167,MATCH(A130,Data!$A$136:$A$167,0),MATCH($G$5,Data!$B$135:$E$135,0)+1)</f>
        <v>3</v>
      </c>
      <c r="C130" s="21">
        <f>IF(INDEX(Data!$A$111:$J$114,MATCH($G$5,Data!$A$111:$A$114,0),3)=0,0,B130/INDEX(Data!$A$111:$J$114,MATCH($G$5,Data!$A$111:$A$114,0),3))</f>
        <v>3.0303030303030304E-2</v>
      </c>
      <c r="D130" s="21">
        <f>IF(INDEX(Data!$A$111:$J$114,MATCH($G$5,Data!$A$111:$A$114,0),2)=0,0,B130/INDEX(Data!$A$111:$J$114,MATCH($G$5,Data!$A$111:$A$114,0),2))</f>
        <v>8.670520231213872E-3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9.5" customHeight="1" x14ac:dyDescent="0.2">
      <c r="A131" s="16" t="str">
        <f>Data!A166</f>
        <v>QA</v>
      </c>
      <c r="B131" s="16">
        <f>INDEX(Data!$A$136:$F$167,MATCH(A131,Data!$A$136:$A$167,0),MATCH($G$5,Data!$B$135:$E$135,0)+1)</f>
        <v>3</v>
      </c>
      <c r="C131" s="17">
        <f>IF(INDEX(Data!$A$111:$J$114,MATCH($G$5,Data!$A$111:$A$114,0),3)=0,0,B131/INDEX(Data!$A$111:$J$114,MATCH($G$5,Data!$A$111:$A$114,0),3))</f>
        <v>3.0303030303030304E-2</v>
      </c>
      <c r="D131" s="17">
        <f>IF(INDEX(Data!$A$111:$J$114,MATCH($G$5,Data!$A$111:$A$114,0),2)=0,0,B131/INDEX(Data!$A$111:$J$114,MATCH($G$5,Data!$A$111:$A$114,0),2))</f>
        <v>8.670520231213872E-3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21.75" customHeight="1" x14ac:dyDescent="0.2">
      <c r="A132" s="18" t="s">
        <v>92</v>
      </c>
      <c r="B132" s="18"/>
      <c r="C132" s="18"/>
      <c r="D132" s="18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9.5" customHeight="1" x14ac:dyDescent="0.2">
      <c r="A133" s="20" t="str">
        <f>Data!A167</f>
        <v>Other</v>
      </c>
      <c r="B133" s="20">
        <f>INDEX(Data!$A$136:$F$167,MATCH(A133,Data!$A$136:$A$167,0),MATCH($G$5,Data!$B$135:$E$135,0)+1)</f>
        <v>4</v>
      </c>
      <c r="C133" s="21">
        <f>IF(INDEX(Data!$A$111:$J$114,MATCH($G$5,Data!$A$111:$A$114,0),3)=0,0,B133/INDEX(Data!$A$111:$J$114,MATCH($G$5,Data!$A$111:$A$114,0),3))</f>
        <v>4.0404040404040407E-2</v>
      </c>
      <c r="D133" s="21">
        <f>IF(INDEX(Data!$A$111:$J$114,MATCH($G$5,Data!$A$111:$A$114,0),2)=0,0,B133/INDEX(Data!$A$111:$J$114,MATCH($G$5,Data!$A$111:$A$114,0),2))</f>
        <v>1.1560693641618497E-2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</row>
  </sheetData>
  <mergeCells count="19">
    <mergeCell ref="A2:N2"/>
    <mergeCell ref="A3:N3"/>
    <mergeCell ref="A7:C7"/>
    <mergeCell ref="D7:F7"/>
    <mergeCell ref="G7:I7"/>
    <mergeCell ref="J7:L7"/>
    <mergeCell ref="A8:C8"/>
    <mergeCell ref="D8:F8"/>
    <mergeCell ref="G8:I8"/>
    <mergeCell ref="J8:L8"/>
    <mergeCell ref="A9:C9"/>
    <mergeCell ref="D9:F9"/>
    <mergeCell ref="G9:I9"/>
    <mergeCell ref="J9:L9"/>
    <mergeCell ref="A11:E11"/>
    <mergeCell ref="G11:J11"/>
    <mergeCell ref="A26:D26"/>
    <mergeCell ref="A46:E46"/>
    <mergeCell ref="D53:H53"/>
  </mergeCells>
  <dataValidations count="2">
    <dataValidation type="list" error="Please select a valid calendar year" prompt="Select Calendar Year" sqref="B5" xr:uid="{00000000-0002-0000-0000-000000000000}">
      <formula1>"FY 2023,FY 2024,FY 2025,FY 2026,FY 2027"</formula1>
      <formula2>0</formula2>
    </dataValidation>
    <dataValidation type="list" error="Please select a valid EVC fiscal year" prompt="Select EVC Fiscal Year" sqref="G5" xr:uid="{00000000-0002-0000-0000-000001000000}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86AB"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defaultColWidth="8.7109375" defaultRowHeight="15" x14ac:dyDescent="0.25"/>
  <cols>
    <col min="1" max="1" width="28" customWidth="1"/>
    <col min="2" max="9" width="14" customWidth="1"/>
  </cols>
  <sheetData>
    <row r="1" spans="1:8" ht="7.5" customHeight="1" x14ac:dyDescent="0.25">
      <c r="A1" s="63"/>
      <c r="B1" s="63"/>
      <c r="C1" s="63"/>
      <c r="D1" s="63"/>
      <c r="E1" s="63"/>
      <c r="F1" s="63"/>
      <c r="G1" s="63"/>
      <c r="H1" s="63"/>
    </row>
    <row r="2" spans="1:8" ht="31.5" customHeight="1" x14ac:dyDescent="0.25">
      <c r="A2" s="160" t="s">
        <v>123</v>
      </c>
      <c r="B2" s="160"/>
      <c r="C2" s="160"/>
      <c r="D2" s="160"/>
      <c r="E2" s="160"/>
      <c r="F2" s="160"/>
      <c r="G2" s="160"/>
      <c r="H2" s="160"/>
    </row>
    <row r="3" spans="1:8" ht="19.5" customHeight="1" x14ac:dyDescent="0.25">
      <c r="A3" s="161" t="s">
        <v>124</v>
      </c>
      <c r="B3" s="161"/>
      <c r="C3" s="161"/>
      <c r="D3" s="161"/>
      <c r="E3" s="161"/>
      <c r="F3" s="161"/>
      <c r="G3" s="161"/>
      <c r="H3" s="161"/>
    </row>
    <row r="4" spans="1:8" ht="6" customHeight="1" x14ac:dyDescent="0.25">
      <c r="A4" s="6"/>
      <c r="B4" s="6"/>
      <c r="C4" s="6"/>
      <c r="D4" s="6"/>
      <c r="E4" s="6"/>
      <c r="F4" s="6"/>
      <c r="G4" s="6"/>
      <c r="H4" s="6"/>
    </row>
    <row r="5" spans="1:8" ht="21.75" customHeight="1" x14ac:dyDescent="0.25">
      <c r="A5" s="162" t="s">
        <v>125</v>
      </c>
      <c r="B5" s="162"/>
      <c r="C5" s="162"/>
      <c r="D5" s="162"/>
      <c r="E5" s="162"/>
      <c r="F5" s="162"/>
      <c r="G5" s="162"/>
      <c r="H5" s="162"/>
    </row>
    <row r="6" spans="1:8" ht="3.75" customHeight="1" x14ac:dyDescent="0.25">
      <c r="A6" s="6"/>
      <c r="B6" s="6"/>
      <c r="C6" s="6"/>
      <c r="D6" s="6"/>
      <c r="E6" s="6"/>
      <c r="F6" s="6"/>
      <c r="G6" s="6"/>
      <c r="H6" s="6"/>
    </row>
    <row r="7" spans="1:8" ht="15" customHeight="1" x14ac:dyDescent="0.25">
      <c r="A7" s="64" t="s">
        <v>126</v>
      </c>
      <c r="B7" s="64" t="s">
        <v>103</v>
      </c>
      <c r="C7" s="64" t="s">
        <v>104</v>
      </c>
      <c r="D7" s="64" t="s">
        <v>105</v>
      </c>
      <c r="E7" s="64" t="s">
        <v>3</v>
      </c>
      <c r="F7" s="64" t="s">
        <v>106</v>
      </c>
      <c r="G7" s="64" t="s">
        <v>127</v>
      </c>
      <c r="H7" s="64" t="s">
        <v>128</v>
      </c>
    </row>
    <row r="8" spans="1:8" ht="15.75" customHeight="1" x14ac:dyDescent="0.25">
      <c r="A8" s="65" t="s">
        <v>129</v>
      </c>
      <c r="B8" s="66">
        <f>Data!D2</f>
        <v>0.18289085545722714</v>
      </c>
      <c r="C8" s="66">
        <f>Data!D3</f>
        <v>0.46607669616519176</v>
      </c>
      <c r="D8" s="66">
        <f>Data!D4</f>
        <v>0.39884393063583817</v>
      </c>
      <c r="E8" s="66">
        <f>Data!D5</f>
        <v>9.5628415300546443E-2</v>
      </c>
      <c r="F8" s="66">
        <f>Data!D6</f>
        <v>0</v>
      </c>
      <c r="G8" s="67">
        <f>AVERAGE(B8:F8)</f>
        <v>0.22868797951176073</v>
      </c>
      <c r="H8" s="68" t="str">
        <f>IF(F8&gt;E8,"↑",IF(F8&lt;E8,"↓","→"))</f>
        <v>↓</v>
      </c>
    </row>
    <row r="9" spans="1:8" ht="15.75" customHeight="1" x14ac:dyDescent="0.25">
      <c r="A9" s="69" t="s">
        <v>130</v>
      </c>
      <c r="B9" s="70">
        <f>Data!C2</f>
        <v>62</v>
      </c>
      <c r="C9" s="70">
        <f>Data!C3</f>
        <v>158</v>
      </c>
      <c r="D9" s="70">
        <f>Data!C4</f>
        <v>138</v>
      </c>
      <c r="E9" s="70">
        <f>Data!C5</f>
        <v>35</v>
      </c>
      <c r="F9" s="70">
        <f>Data!C6</f>
        <v>0</v>
      </c>
      <c r="G9" s="71">
        <f>AVERAGE(B9:F9)</f>
        <v>78.599999999999994</v>
      </c>
      <c r="H9" s="72" t="str">
        <f>IF(F9&gt;E9,"↑",IF(F9&lt;E9,"↓","→"))</f>
        <v>↓</v>
      </c>
    </row>
    <row r="10" spans="1:8" ht="15.75" customHeight="1" x14ac:dyDescent="0.25">
      <c r="A10" s="65" t="s">
        <v>131</v>
      </c>
      <c r="B10" s="66">
        <f>Data!I2</f>
        <v>0.58064516129032262</v>
      </c>
      <c r="C10" s="66">
        <f>Data!I3</f>
        <v>0.55063291139240511</v>
      </c>
      <c r="D10" s="66">
        <f>Data!I4</f>
        <v>0.71014492753623193</v>
      </c>
      <c r="E10" s="66">
        <f>Data!I5</f>
        <v>0.6</v>
      </c>
      <c r="F10" s="66">
        <f>Data!I6</f>
        <v>0</v>
      </c>
      <c r="G10" s="67">
        <f>AVERAGE(B10:F10)</f>
        <v>0.48828460004379198</v>
      </c>
      <c r="H10" s="68" t="str">
        <f>IF(F10&gt;E10,"↑",IF(F10&lt;E10,"↓","→"))</f>
        <v>↓</v>
      </c>
    </row>
    <row r="11" spans="1:8" ht="15.75" customHeight="1" x14ac:dyDescent="0.25">
      <c r="A11" s="69" t="s">
        <v>132</v>
      </c>
      <c r="B11" s="73">
        <f>Data!E2</f>
        <v>10.333333333333334</v>
      </c>
      <c r="C11" s="73">
        <f>Data!E3</f>
        <v>13.166666666666666</v>
      </c>
      <c r="D11" s="73">
        <f>Data!E4</f>
        <v>11.5</v>
      </c>
      <c r="E11" s="73">
        <f>Data!E5</f>
        <v>8.75</v>
      </c>
      <c r="F11" s="73">
        <f>Data!E6</f>
        <v>0</v>
      </c>
      <c r="G11" s="74">
        <f>AVERAGE(B11:F11)</f>
        <v>8.75</v>
      </c>
      <c r="H11" s="72" t="str">
        <f>IF(F11&gt;E11,"↑",IF(F11&lt;E11,"↓","→"))</f>
        <v>↓</v>
      </c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ht="21.75" customHeight="1" x14ac:dyDescent="0.25">
      <c r="A13" s="162" t="s">
        <v>133</v>
      </c>
      <c r="B13" s="162"/>
      <c r="C13" s="162"/>
      <c r="D13" s="162"/>
      <c r="E13" s="162"/>
      <c r="F13" s="162"/>
      <c r="G13" s="162"/>
      <c r="H13" s="6"/>
    </row>
    <row r="14" spans="1:8" ht="3.75" customHeight="1" x14ac:dyDescent="0.25">
      <c r="A14" s="6"/>
      <c r="B14" s="6"/>
      <c r="C14" s="6"/>
      <c r="D14" s="6"/>
      <c r="E14" s="6"/>
      <c r="F14" s="6"/>
      <c r="G14" s="6"/>
      <c r="H14" s="6"/>
    </row>
    <row r="15" spans="1:8" ht="15" customHeight="1" x14ac:dyDescent="0.25">
      <c r="A15" s="64" t="s">
        <v>134</v>
      </c>
      <c r="B15" s="64" t="s">
        <v>103</v>
      </c>
      <c r="C15" s="64" t="s">
        <v>104</v>
      </c>
      <c r="D15" s="64" t="s">
        <v>105</v>
      </c>
      <c r="E15" s="64" t="s">
        <v>3</v>
      </c>
      <c r="F15" s="64" t="s">
        <v>106</v>
      </c>
      <c r="G15" s="64" t="s">
        <v>135</v>
      </c>
      <c r="H15" s="6"/>
    </row>
    <row r="16" spans="1:8" ht="15" customHeight="1" x14ac:dyDescent="0.25">
      <c r="A16" s="75" t="s">
        <v>24</v>
      </c>
      <c r="B16" s="75"/>
      <c r="C16" s="75"/>
      <c r="D16" s="75"/>
      <c r="E16" s="75"/>
      <c r="F16" s="75"/>
      <c r="G16" s="75"/>
      <c r="H16" s="6"/>
    </row>
    <row r="17" spans="1:8" ht="15" customHeight="1" x14ac:dyDescent="0.25">
      <c r="A17" s="76" t="s">
        <v>26</v>
      </c>
      <c r="B17" s="77">
        <f>Data!B21</f>
        <v>0</v>
      </c>
      <c r="C17" s="77">
        <f>Data!C21</f>
        <v>0</v>
      </c>
      <c r="D17" s="77">
        <f>Data!D21</f>
        <v>0</v>
      </c>
      <c r="E17" s="77">
        <f>Data!E21</f>
        <v>0</v>
      </c>
      <c r="F17" s="77">
        <f>Data!F21</f>
        <v>0</v>
      </c>
      <c r="G17" s="78">
        <f t="shared" ref="G17:G34" si="0">SUM(B17:F17)</f>
        <v>0</v>
      </c>
      <c r="H17" s="6"/>
    </row>
    <row r="18" spans="1:8" ht="15" customHeight="1" x14ac:dyDescent="0.25">
      <c r="A18" s="79" t="s">
        <v>28</v>
      </c>
      <c r="B18" s="80">
        <f>Data!B22</f>
        <v>0</v>
      </c>
      <c r="C18" s="80">
        <f>Data!C22</f>
        <v>0</v>
      </c>
      <c r="D18" s="80">
        <f>Data!D22</f>
        <v>0</v>
      </c>
      <c r="E18" s="80">
        <f>Data!E22</f>
        <v>0</v>
      </c>
      <c r="F18" s="80">
        <f>Data!F22</f>
        <v>0</v>
      </c>
      <c r="G18" s="81">
        <f t="shared" si="0"/>
        <v>0</v>
      </c>
      <c r="H18" s="6"/>
    </row>
    <row r="19" spans="1:8" ht="15" customHeight="1" x14ac:dyDescent="0.25">
      <c r="A19" s="76" t="s">
        <v>30</v>
      </c>
      <c r="B19" s="77">
        <f>Data!B23</f>
        <v>0</v>
      </c>
      <c r="C19" s="77">
        <f>Data!C23</f>
        <v>0</v>
      </c>
      <c r="D19" s="77">
        <f>Data!D23</f>
        <v>0</v>
      </c>
      <c r="E19" s="77">
        <f>Data!E23</f>
        <v>0</v>
      </c>
      <c r="F19" s="77">
        <f>Data!F23</f>
        <v>0</v>
      </c>
      <c r="G19" s="78">
        <f t="shared" si="0"/>
        <v>0</v>
      </c>
      <c r="H19" s="6"/>
    </row>
    <row r="20" spans="1:8" ht="15" customHeight="1" x14ac:dyDescent="0.25">
      <c r="A20" s="79" t="s">
        <v>32</v>
      </c>
      <c r="B20" s="80">
        <f>Data!B24</f>
        <v>0</v>
      </c>
      <c r="C20" s="80">
        <f>Data!C24</f>
        <v>0</v>
      </c>
      <c r="D20" s="80">
        <f>Data!D24</f>
        <v>0</v>
      </c>
      <c r="E20" s="80">
        <f>Data!E24</f>
        <v>0</v>
      </c>
      <c r="F20" s="80">
        <f>Data!F24</f>
        <v>0</v>
      </c>
      <c r="G20" s="81">
        <f t="shared" si="0"/>
        <v>0</v>
      </c>
      <c r="H20" s="6"/>
    </row>
    <row r="21" spans="1:8" ht="15" customHeight="1" x14ac:dyDescent="0.25">
      <c r="A21" s="76" t="s">
        <v>34</v>
      </c>
      <c r="B21" s="77">
        <f>Data!B25</f>
        <v>0</v>
      </c>
      <c r="C21" s="77">
        <f>Data!C25</f>
        <v>0</v>
      </c>
      <c r="D21" s="77">
        <f>Data!D25</f>
        <v>0</v>
      </c>
      <c r="E21" s="77">
        <f>Data!E25</f>
        <v>0</v>
      </c>
      <c r="F21" s="77">
        <f>Data!F25</f>
        <v>0</v>
      </c>
      <c r="G21" s="78">
        <f t="shared" si="0"/>
        <v>0</v>
      </c>
      <c r="H21" s="6"/>
    </row>
    <row r="22" spans="1:8" ht="15" customHeight="1" x14ac:dyDescent="0.25">
      <c r="A22" s="79" t="s">
        <v>36</v>
      </c>
      <c r="B22" s="80">
        <f>Data!B26</f>
        <v>0</v>
      </c>
      <c r="C22" s="80">
        <f>Data!C26</f>
        <v>0</v>
      </c>
      <c r="D22" s="80">
        <f>Data!D26</f>
        <v>0</v>
      </c>
      <c r="E22" s="80">
        <f>Data!E26</f>
        <v>0</v>
      </c>
      <c r="F22" s="80">
        <f>Data!F26</f>
        <v>0</v>
      </c>
      <c r="G22" s="81">
        <f t="shared" si="0"/>
        <v>0</v>
      </c>
      <c r="H22" s="6"/>
    </row>
    <row r="23" spans="1:8" ht="15" customHeight="1" x14ac:dyDescent="0.25">
      <c r="A23" s="76" t="s">
        <v>38</v>
      </c>
      <c r="B23" s="77">
        <f>Data!B27</f>
        <v>0</v>
      </c>
      <c r="C23" s="77">
        <f>Data!C27</f>
        <v>0</v>
      </c>
      <c r="D23" s="77">
        <f>Data!D27</f>
        <v>0</v>
      </c>
      <c r="E23" s="77">
        <f>Data!E27</f>
        <v>0</v>
      </c>
      <c r="F23" s="77">
        <f>Data!F27</f>
        <v>0</v>
      </c>
      <c r="G23" s="78">
        <f t="shared" si="0"/>
        <v>0</v>
      </c>
      <c r="H23" s="6"/>
    </row>
    <row r="24" spans="1:8" ht="15" customHeight="1" x14ac:dyDescent="0.25">
      <c r="A24" s="79" t="s">
        <v>40</v>
      </c>
      <c r="B24" s="80">
        <f>Data!B28</f>
        <v>0</v>
      </c>
      <c r="C24" s="80">
        <f>Data!C28</f>
        <v>0</v>
      </c>
      <c r="D24" s="80">
        <f>Data!D28</f>
        <v>0</v>
      </c>
      <c r="E24" s="80">
        <f>Data!E28</f>
        <v>0</v>
      </c>
      <c r="F24" s="80">
        <f>Data!F28</f>
        <v>0</v>
      </c>
      <c r="G24" s="81">
        <f t="shared" si="0"/>
        <v>0</v>
      </c>
      <c r="H24" s="6"/>
    </row>
    <row r="25" spans="1:8" ht="15" customHeight="1" x14ac:dyDescent="0.25">
      <c r="A25" s="76" t="s">
        <v>42</v>
      </c>
      <c r="B25" s="77">
        <f>Data!B29</f>
        <v>0</v>
      </c>
      <c r="C25" s="77">
        <f>Data!C29</f>
        <v>0</v>
      </c>
      <c r="D25" s="77">
        <f>Data!D29</f>
        <v>0</v>
      </c>
      <c r="E25" s="77">
        <f>Data!E29</f>
        <v>1</v>
      </c>
      <c r="F25" s="77">
        <f>Data!F29</f>
        <v>0</v>
      </c>
      <c r="G25" s="78">
        <f t="shared" si="0"/>
        <v>1</v>
      </c>
      <c r="H25" s="6"/>
    </row>
    <row r="26" spans="1:8" ht="15" customHeight="1" x14ac:dyDescent="0.25">
      <c r="A26" s="79" t="s">
        <v>44</v>
      </c>
      <c r="B26" s="80">
        <f>Data!B30</f>
        <v>0</v>
      </c>
      <c r="C26" s="80">
        <f>Data!C30</f>
        <v>0</v>
      </c>
      <c r="D26" s="80">
        <f>Data!D30</f>
        <v>0</v>
      </c>
      <c r="E26" s="80">
        <f>Data!E30</f>
        <v>0</v>
      </c>
      <c r="F26" s="80">
        <f>Data!F30</f>
        <v>0</v>
      </c>
      <c r="G26" s="81">
        <f t="shared" si="0"/>
        <v>0</v>
      </c>
      <c r="H26" s="6"/>
    </row>
    <row r="27" spans="1:8" ht="15" customHeight="1" x14ac:dyDescent="0.25">
      <c r="A27" s="76" t="s">
        <v>46</v>
      </c>
      <c r="B27" s="77">
        <f>Data!B31</f>
        <v>0</v>
      </c>
      <c r="C27" s="77">
        <f>Data!C31</f>
        <v>1</v>
      </c>
      <c r="D27" s="77">
        <f>Data!D31</f>
        <v>1</v>
      </c>
      <c r="E27" s="77">
        <f>Data!E31</f>
        <v>0</v>
      </c>
      <c r="F27" s="77">
        <f>Data!F31</f>
        <v>0</v>
      </c>
      <c r="G27" s="78">
        <f t="shared" si="0"/>
        <v>2</v>
      </c>
      <c r="H27" s="6"/>
    </row>
    <row r="28" spans="1:8" ht="15" customHeight="1" x14ac:dyDescent="0.25">
      <c r="A28" s="79" t="s">
        <v>47</v>
      </c>
      <c r="B28" s="80">
        <f>Data!B32</f>
        <v>0</v>
      </c>
      <c r="C28" s="80">
        <f>Data!C32</f>
        <v>0</v>
      </c>
      <c r="D28" s="80">
        <f>Data!D32</f>
        <v>1</v>
      </c>
      <c r="E28" s="80">
        <f>Data!E32</f>
        <v>0</v>
      </c>
      <c r="F28" s="80">
        <f>Data!F32</f>
        <v>0</v>
      </c>
      <c r="G28" s="81">
        <f t="shared" si="0"/>
        <v>1</v>
      </c>
      <c r="H28" s="6"/>
    </row>
    <row r="29" spans="1:8" ht="15" customHeight="1" x14ac:dyDescent="0.25">
      <c r="A29" s="76" t="s">
        <v>49</v>
      </c>
      <c r="B29" s="77">
        <f>Data!B33</f>
        <v>0</v>
      </c>
      <c r="C29" s="77">
        <f>Data!C33</f>
        <v>0</v>
      </c>
      <c r="D29" s="77">
        <f>Data!D33</f>
        <v>0</v>
      </c>
      <c r="E29" s="77">
        <f>Data!E33</f>
        <v>0</v>
      </c>
      <c r="F29" s="77">
        <f>Data!F33</f>
        <v>0</v>
      </c>
      <c r="G29" s="78">
        <f t="shared" si="0"/>
        <v>0</v>
      </c>
      <c r="H29" s="6"/>
    </row>
    <row r="30" spans="1:8" ht="15" customHeight="1" x14ac:dyDescent="0.25">
      <c r="A30" s="79" t="s">
        <v>52</v>
      </c>
      <c r="B30" s="80">
        <f>Data!B34</f>
        <v>0</v>
      </c>
      <c r="C30" s="80">
        <f>Data!C34</f>
        <v>1</v>
      </c>
      <c r="D30" s="80">
        <f>Data!D34</f>
        <v>0</v>
      </c>
      <c r="E30" s="80">
        <f>Data!E34</f>
        <v>0</v>
      </c>
      <c r="F30" s="80">
        <f>Data!F34</f>
        <v>0</v>
      </c>
      <c r="G30" s="81">
        <f t="shared" si="0"/>
        <v>1</v>
      </c>
      <c r="H30" s="6"/>
    </row>
    <row r="31" spans="1:8" ht="15" customHeight="1" x14ac:dyDescent="0.25">
      <c r="A31" s="76" t="s">
        <v>55</v>
      </c>
      <c r="B31" s="77">
        <f>Data!B35</f>
        <v>0</v>
      </c>
      <c r="C31" s="77">
        <f>Data!C35</f>
        <v>0</v>
      </c>
      <c r="D31" s="77">
        <f>Data!D35</f>
        <v>0</v>
      </c>
      <c r="E31" s="77">
        <f>Data!E35</f>
        <v>0</v>
      </c>
      <c r="F31" s="77">
        <f>Data!F35</f>
        <v>0</v>
      </c>
      <c r="G31" s="78">
        <f t="shared" si="0"/>
        <v>0</v>
      </c>
      <c r="H31" s="6"/>
    </row>
    <row r="32" spans="1:8" ht="15" customHeight="1" x14ac:dyDescent="0.25">
      <c r="A32" s="79" t="s">
        <v>57</v>
      </c>
      <c r="B32" s="80">
        <f>Data!B36</f>
        <v>0</v>
      </c>
      <c r="C32" s="80">
        <f>Data!C36</f>
        <v>0</v>
      </c>
      <c r="D32" s="80">
        <f>Data!D36</f>
        <v>0</v>
      </c>
      <c r="E32" s="80">
        <f>Data!E36</f>
        <v>0</v>
      </c>
      <c r="F32" s="80">
        <f>Data!F36</f>
        <v>0</v>
      </c>
      <c r="G32" s="81">
        <f t="shared" si="0"/>
        <v>0</v>
      </c>
      <c r="H32" s="6"/>
    </row>
    <row r="33" spans="1:8" ht="15" customHeight="1" x14ac:dyDescent="0.25">
      <c r="A33" s="76" t="s">
        <v>59</v>
      </c>
      <c r="B33" s="77">
        <f>Data!B37</f>
        <v>0</v>
      </c>
      <c r="C33" s="77">
        <f>Data!C37</f>
        <v>0</v>
      </c>
      <c r="D33" s="77">
        <f>Data!D37</f>
        <v>0</v>
      </c>
      <c r="E33" s="77">
        <f>Data!E37</f>
        <v>0</v>
      </c>
      <c r="F33" s="77">
        <f>Data!F37</f>
        <v>0</v>
      </c>
      <c r="G33" s="78">
        <f t="shared" si="0"/>
        <v>0</v>
      </c>
      <c r="H33" s="6"/>
    </row>
    <row r="34" spans="1:8" ht="15" customHeight="1" x14ac:dyDescent="0.25">
      <c r="A34" s="79" t="s">
        <v>61</v>
      </c>
      <c r="B34" s="80">
        <f>Data!B38</f>
        <v>0</v>
      </c>
      <c r="C34" s="80">
        <f>Data!C38</f>
        <v>0</v>
      </c>
      <c r="D34" s="80">
        <f>Data!D38</f>
        <v>0</v>
      </c>
      <c r="E34" s="80">
        <f>Data!E38</f>
        <v>0</v>
      </c>
      <c r="F34" s="80">
        <f>Data!F38</f>
        <v>0</v>
      </c>
      <c r="G34" s="81">
        <f t="shared" si="0"/>
        <v>0</v>
      </c>
      <c r="H34" s="6"/>
    </row>
    <row r="35" spans="1:8" ht="15" customHeight="1" x14ac:dyDescent="0.25">
      <c r="A35" s="75" t="s">
        <v>63</v>
      </c>
      <c r="B35" s="75"/>
      <c r="C35" s="75"/>
      <c r="D35" s="75"/>
      <c r="E35" s="75"/>
      <c r="F35" s="75"/>
      <c r="G35" s="75"/>
      <c r="H35" s="6"/>
    </row>
    <row r="36" spans="1:8" ht="15" customHeight="1" x14ac:dyDescent="0.25">
      <c r="A36" s="65" t="s">
        <v>66</v>
      </c>
      <c r="B36" s="77">
        <f>Data!B39</f>
        <v>45</v>
      </c>
      <c r="C36" s="77">
        <f>Data!C39</f>
        <v>120</v>
      </c>
      <c r="D36" s="77">
        <f>Data!D39</f>
        <v>75</v>
      </c>
      <c r="E36" s="77">
        <f>Data!E39</f>
        <v>25</v>
      </c>
      <c r="F36" s="77">
        <f>Data!F39</f>
        <v>0</v>
      </c>
      <c r="G36" s="78">
        <f>SUM(B36:F36)</f>
        <v>265</v>
      </c>
      <c r="H36" s="6"/>
    </row>
    <row r="37" spans="1:8" ht="15" customHeight="1" x14ac:dyDescent="0.25">
      <c r="A37" s="69" t="s">
        <v>68</v>
      </c>
      <c r="B37" s="80">
        <f>Data!B40</f>
        <v>0</v>
      </c>
      <c r="C37" s="80">
        <f>Data!C40</f>
        <v>8</v>
      </c>
      <c r="D37" s="80">
        <f>Data!D40</f>
        <v>5</v>
      </c>
      <c r="E37" s="80">
        <f>Data!E40</f>
        <v>3</v>
      </c>
      <c r="F37" s="80">
        <f>Data!F40</f>
        <v>0</v>
      </c>
      <c r="G37" s="81">
        <f>SUM(B37:F37)</f>
        <v>16</v>
      </c>
      <c r="H37" s="6"/>
    </row>
    <row r="38" spans="1:8" ht="15" customHeight="1" x14ac:dyDescent="0.25">
      <c r="A38" s="65" t="s">
        <v>71</v>
      </c>
      <c r="B38" s="77">
        <f>Data!B41</f>
        <v>0</v>
      </c>
      <c r="C38" s="77">
        <f>Data!C41</f>
        <v>3</v>
      </c>
      <c r="D38" s="77">
        <f>Data!D41</f>
        <v>0</v>
      </c>
      <c r="E38" s="77">
        <f>Data!E41</f>
        <v>0</v>
      </c>
      <c r="F38" s="77">
        <f>Data!F41</f>
        <v>0</v>
      </c>
      <c r="G38" s="78">
        <f>SUM(B38:F38)</f>
        <v>3</v>
      </c>
      <c r="H38" s="6"/>
    </row>
    <row r="39" spans="1:8" ht="15" customHeight="1" x14ac:dyDescent="0.25">
      <c r="A39" s="75" t="s">
        <v>73</v>
      </c>
      <c r="B39" s="75"/>
      <c r="C39" s="75"/>
      <c r="D39" s="75"/>
      <c r="E39" s="75"/>
      <c r="F39" s="75"/>
      <c r="G39" s="75"/>
      <c r="H39" s="6"/>
    </row>
    <row r="40" spans="1:8" ht="15" customHeight="1" x14ac:dyDescent="0.25">
      <c r="A40" s="65" t="s">
        <v>74</v>
      </c>
      <c r="B40" s="77">
        <f>Data!B42</f>
        <v>0</v>
      </c>
      <c r="C40" s="77">
        <f>Data!C42</f>
        <v>1</v>
      </c>
      <c r="D40" s="77">
        <f>Data!D42</f>
        <v>6</v>
      </c>
      <c r="E40" s="77">
        <f>Data!E42</f>
        <v>1</v>
      </c>
      <c r="F40" s="77">
        <f>Data!F42</f>
        <v>0</v>
      </c>
      <c r="G40" s="78">
        <f>SUM(B40:F40)</f>
        <v>8</v>
      </c>
      <c r="H40" s="6"/>
    </row>
    <row r="41" spans="1:8" ht="15" customHeight="1" x14ac:dyDescent="0.25">
      <c r="A41" s="69" t="s">
        <v>76</v>
      </c>
      <c r="B41" s="80">
        <f>Data!B43</f>
        <v>4</v>
      </c>
      <c r="C41" s="80">
        <f>Data!C43</f>
        <v>5</v>
      </c>
      <c r="D41" s="80">
        <f>Data!D43</f>
        <v>6</v>
      </c>
      <c r="E41" s="80">
        <f>Data!E43</f>
        <v>0</v>
      </c>
      <c r="F41" s="80">
        <f>Data!F43</f>
        <v>0</v>
      </c>
      <c r="G41" s="81">
        <f>SUM(B41:F41)</f>
        <v>15</v>
      </c>
      <c r="H41" s="6"/>
    </row>
    <row r="42" spans="1:8" ht="15" customHeight="1" x14ac:dyDescent="0.25">
      <c r="A42" s="65" t="s">
        <v>78</v>
      </c>
      <c r="B42" s="77">
        <f>Data!B44</f>
        <v>0</v>
      </c>
      <c r="C42" s="77">
        <f>Data!C44</f>
        <v>1</v>
      </c>
      <c r="D42" s="77">
        <f>Data!D44</f>
        <v>2</v>
      </c>
      <c r="E42" s="77">
        <f>Data!E44</f>
        <v>0</v>
      </c>
      <c r="F42" s="77">
        <f>Data!F44</f>
        <v>0</v>
      </c>
      <c r="G42" s="78">
        <f>SUM(B42:F42)</f>
        <v>3</v>
      </c>
      <c r="H42" s="6"/>
    </row>
    <row r="43" spans="1:8" ht="15" customHeight="1" x14ac:dyDescent="0.25">
      <c r="A43" s="75" t="s">
        <v>79</v>
      </c>
      <c r="B43" s="75"/>
      <c r="C43" s="75"/>
      <c r="D43" s="75"/>
      <c r="E43" s="75"/>
      <c r="F43" s="75"/>
      <c r="G43" s="75"/>
      <c r="H43" s="6"/>
    </row>
    <row r="44" spans="1:8" ht="15" customHeight="1" x14ac:dyDescent="0.25">
      <c r="A44" s="65" t="s">
        <v>80</v>
      </c>
      <c r="B44" s="77">
        <f>Data!B45</f>
        <v>0</v>
      </c>
      <c r="C44" s="77">
        <f>Data!C45</f>
        <v>3</v>
      </c>
      <c r="D44" s="77">
        <f>Data!D45</f>
        <v>4</v>
      </c>
      <c r="E44" s="77">
        <f>Data!E45</f>
        <v>0</v>
      </c>
      <c r="F44" s="77">
        <f>Data!F45</f>
        <v>0</v>
      </c>
      <c r="G44" s="78">
        <f>SUM(B44:F44)</f>
        <v>7</v>
      </c>
      <c r="H44" s="6"/>
    </row>
    <row r="45" spans="1:8" ht="15" customHeight="1" x14ac:dyDescent="0.25">
      <c r="A45" s="69" t="s">
        <v>81</v>
      </c>
      <c r="B45" s="80">
        <f>Data!B46</f>
        <v>0</v>
      </c>
      <c r="C45" s="80">
        <f>Data!C46</f>
        <v>3</v>
      </c>
      <c r="D45" s="80">
        <f>Data!D46</f>
        <v>4</v>
      </c>
      <c r="E45" s="80">
        <f>Data!E46</f>
        <v>0</v>
      </c>
      <c r="F45" s="80">
        <f>Data!F46</f>
        <v>0</v>
      </c>
      <c r="G45" s="81">
        <f>SUM(B45:F45)</f>
        <v>7</v>
      </c>
      <c r="H45" s="6"/>
    </row>
    <row r="46" spans="1:8" ht="15" customHeight="1" x14ac:dyDescent="0.25">
      <c r="A46" s="75" t="s">
        <v>82</v>
      </c>
      <c r="B46" s="75"/>
      <c r="C46" s="75"/>
      <c r="D46" s="75"/>
      <c r="E46" s="75"/>
      <c r="F46" s="75"/>
      <c r="G46" s="75"/>
      <c r="H46" s="6"/>
    </row>
    <row r="47" spans="1:8" ht="15" customHeight="1" x14ac:dyDescent="0.25">
      <c r="A47" s="65" t="s">
        <v>83</v>
      </c>
      <c r="B47" s="77">
        <f>Data!B47</f>
        <v>5</v>
      </c>
      <c r="C47" s="77">
        <f>Data!C47</f>
        <v>1</v>
      </c>
      <c r="D47" s="77">
        <f>Data!D47</f>
        <v>14</v>
      </c>
      <c r="E47" s="77">
        <f>Data!E47</f>
        <v>1</v>
      </c>
      <c r="F47" s="77">
        <f>Data!F47</f>
        <v>0</v>
      </c>
      <c r="G47" s="78">
        <f>SUM(B47:F47)</f>
        <v>21</v>
      </c>
      <c r="H47" s="6"/>
    </row>
    <row r="48" spans="1:8" ht="15" customHeight="1" x14ac:dyDescent="0.25">
      <c r="A48" s="69" t="s">
        <v>84</v>
      </c>
      <c r="B48" s="80">
        <f>Data!B48</f>
        <v>0</v>
      </c>
      <c r="C48" s="80">
        <f>Data!C48</f>
        <v>5</v>
      </c>
      <c r="D48" s="80">
        <f>Data!D48</f>
        <v>2</v>
      </c>
      <c r="E48" s="80">
        <f>Data!E48</f>
        <v>0</v>
      </c>
      <c r="F48" s="80">
        <f>Data!F48</f>
        <v>0</v>
      </c>
      <c r="G48" s="81">
        <f>SUM(B48:F48)</f>
        <v>7</v>
      </c>
      <c r="H48" s="6"/>
    </row>
    <row r="49" spans="1:8" ht="15" customHeight="1" x14ac:dyDescent="0.25">
      <c r="A49" s="75" t="s">
        <v>86</v>
      </c>
      <c r="B49" s="75"/>
      <c r="C49" s="75"/>
      <c r="D49" s="75"/>
      <c r="E49" s="75"/>
      <c r="F49" s="75"/>
      <c r="G49" s="75"/>
      <c r="H49" s="6"/>
    </row>
    <row r="50" spans="1:8" ht="15" customHeight="1" x14ac:dyDescent="0.25">
      <c r="A50" s="65" t="s">
        <v>87</v>
      </c>
      <c r="B50" s="77">
        <f>Data!B49</f>
        <v>0</v>
      </c>
      <c r="C50" s="77">
        <f>Data!C49</f>
        <v>0</v>
      </c>
      <c r="D50" s="77">
        <f>Data!D49</f>
        <v>3</v>
      </c>
      <c r="E50" s="77">
        <f>Data!E49</f>
        <v>0</v>
      </c>
      <c r="F50" s="77">
        <f>Data!F49</f>
        <v>0</v>
      </c>
      <c r="G50" s="78">
        <f>SUM(B50:F50)</f>
        <v>3</v>
      </c>
      <c r="H50" s="6"/>
    </row>
    <row r="51" spans="1:8" ht="15" customHeight="1" x14ac:dyDescent="0.25">
      <c r="A51" s="69" t="s">
        <v>89</v>
      </c>
      <c r="B51" s="80">
        <f>Data!B50</f>
        <v>0</v>
      </c>
      <c r="C51" s="80">
        <f>Data!C50</f>
        <v>0</v>
      </c>
      <c r="D51" s="80">
        <f>Data!D50</f>
        <v>6</v>
      </c>
      <c r="E51" s="80">
        <f>Data!E50</f>
        <v>0</v>
      </c>
      <c r="F51" s="80">
        <f>Data!F50</f>
        <v>0</v>
      </c>
      <c r="G51" s="81">
        <f>SUM(B51:F51)</f>
        <v>6</v>
      </c>
      <c r="H51" s="6"/>
    </row>
    <row r="52" spans="1:8" ht="15" customHeight="1" x14ac:dyDescent="0.25">
      <c r="A52" s="65" t="s">
        <v>91</v>
      </c>
      <c r="B52" s="77">
        <f>Data!B51</f>
        <v>0</v>
      </c>
      <c r="C52" s="77">
        <f>Data!C51</f>
        <v>0</v>
      </c>
      <c r="D52" s="77">
        <f>Data!D51</f>
        <v>1</v>
      </c>
      <c r="E52" s="77">
        <f>Data!E51</f>
        <v>1</v>
      </c>
      <c r="F52" s="77">
        <f>Data!F51</f>
        <v>0</v>
      </c>
      <c r="G52" s="78">
        <f>SUM(B52:F52)</f>
        <v>2</v>
      </c>
      <c r="H52" s="6"/>
    </row>
    <row r="53" spans="1:8" ht="15" customHeight="1" x14ac:dyDescent="0.25">
      <c r="A53" s="75" t="s">
        <v>92</v>
      </c>
      <c r="B53" s="75"/>
      <c r="C53" s="75"/>
      <c r="D53" s="75"/>
      <c r="E53" s="75"/>
      <c r="F53" s="75"/>
      <c r="G53" s="75"/>
      <c r="H53" s="6"/>
    </row>
    <row r="54" spans="1:8" ht="15" customHeight="1" x14ac:dyDescent="0.25">
      <c r="A54" s="65" t="s">
        <v>70</v>
      </c>
      <c r="B54" s="77">
        <f>Data!B52</f>
        <v>8</v>
      </c>
      <c r="C54" s="77">
        <f>Data!C52</f>
        <v>6</v>
      </c>
      <c r="D54" s="77">
        <f>Data!D52</f>
        <v>8</v>
      </c>
      <c r="E54" s="77">
        <f>Data!E52</f>
        <v>2</v>
      </c>
      <c r="F54" s="77">
        <f>Data!F52</f>
        <v>0</v>
      </c>
      <c r="G54" s="78">
        <f>SUM(B54:F54)</f>
        <v>24</v>
      </c>
      <c r="H54" s="6"/>
    </row>
    <row r="55" spans="1:8" x14ac:dyDescent="0.25">
      <c r="A55" s="6"/>
      <c r="B55" s="6"/>
      <c r="C55" s="6"/>
      <c r="D55" s="6"/>
      <c r="E55" s="6"/>
      <c r="F55" s="6"/>
      <c r="G55" s="6"/>
      <c r="H55" s="6"/>
    </row>
    <row r="56" spans="1:8" x14ac:dyDescent="0.25">
      <c r="A56" s="6"/>
      <c r="B56" s="6"/>
      <c r="C56" s="6"/>
      <c r="D56" s="6"/>
      <c r="E56" s="6"/>
      <c r="F56" s="6"/>
      <c r="G56" s="6"/>
      <c r="H56" s="6"/>
    </row>
    <row r="57" spans="1:8" ht="21.75" customHeight="1" x14ac:dyDescent="0.25">
      <c r="A57" s="162" t="s">
        <v>136</v>
      </c>
      <c r="B57" s="162"/>
      <c r="C57" s="162"/>
      <c r="D57" s="162"/>
      <c r="E57" s="162"/>
      <c r="F57" s="162"/>
      <c r="G57" s="162"/>
      <c r="H57" s="6"/>
    </row>
    <row r="58" spans="1:8" ht="3.75" customHeight="1" x14ac:dyDescent="0.25">
      <c r="A58" s="6"/>
      <c r="B58" s="6"/>
      <c r="C58" s="6"/>
      <c r="D58" s="6"/>
      <c r="E58" s="6"/>
      <c r="F58" s="6"/>
      <c r="G58" s="6"/>
      <c r="H58" s="6"/>
    </row>
    <row r="59" spans="1:8" ht="15" customHeight="1" x14ac:dyDescent="0.25">
      <c r="A59" s="64" t="s">
        <v>15</v>
      </c>
      <c r="B59" s="64" t="s">
        <v>103</v>
      </c>
      <c r="C59" s="64" t="s">
        <v>104</v>
      </c>
      <c r="D59" s="64" t="s">
        <v>105</v>
      </c>
      <c r="E59" s="64" t="s">
        <v>3</v>
      </c>
      <c r="F59" s="64" t="s">
        <v>106</v>
      </c>
      <c r="G59" s="64" t="s">
        <v>127</v>
      </c>
      <c r="H59" s="6"/>
    </row>
    <row r="60" spans="1:8" ht="15" customHeight="1" x14ac:dyDescent="0.25">
      <c r="A60" s="65" t="s">
        <v>23</v>
      </c>
      <c r="B60" s="77">
        <f>Data!B11</f>
        <v>0</v>
      </c>
      <c r="C60" s="77">
        <f>Data!B12</f>
        <v>24</v>
      </c>
      <c r="D60" s="77">
        <f>Data!B13</f>
        <v>14</v>
      </c>
      <c r="E60" s="77">
        <f>Data!B14</f>
        <v>8</v>
      </c>
      <c r="F60" s="77">
        <f>Data!B15</f>
        <v>0</v>
      </c>
      <c r="G60" s="65">
        <f t="shared" ref="G60:G71" si="1">AVERAGE(B60:F60)</f>
        <v>9.1999999999999993</v>
      </c>
      <c r="H60" s="6"/>
    </row>
    <row r="61" spans="1:8" ht="15" customHeight="1" x14ac:dyDescent="0.25">
      <c r="A61" s="69" t="s">
        <v>25</v>
      </c>
      <c r="B61" s="80">
        <f>Data!C11</f>
        <v>0</v>
      </c>
      <c r="C61" s="80">
        <f>Data!C12</f>
        <v>11</v>
      </c>
      <c r="D61" s="80">
        <f>Data!C13</f>
        <v>13</v>
      </c>
      <c r="E61" s="80">
        <f>Data!C14</f>
        <v>10</v>
      </c>
      <c r="F61" s="80">
        <f>Data!C15</f>
        <v>0</v>
      </c>
      <c r="G61" s="69">
        <f t="shared" si="1"/>
        <v>6.8</v>
      </c>
      <c r="H61" s="6"/>
    </row>
    <row r="62" spans="1:8" ht="15" customHeight="1" x14ac:dyDescent="0.25">
      <c r="A62" s="65" t="s">
        <v>27</v>
      </c>
      <c r="B62" s="77">
        <f>Data!D11</f>
        <v>0</v>
      </c>
      <c r="C62" s="77">
        <f>Data!D12</f>
        <v>14</v>
      </c>
      <c r="D62" s="77">
        <f>Data!D13</f>
        <v>12</v>
      </c>
      <c r="E62" s="77">
        <f>Data!D14</f>
        <v>10</v>
      </c>
      <c r="F62" s="77">
        <f>Data!D15</f>
        <v>0</v>
      </c>
      <c r="G62" s="65">
        <f t="shared" si="1"/>
        <v>7.2</v>
      </c>
      <c r="H62" s="6"/>
    </row>
    <row r="63" spans="1:8" ht="15" customHeight="1" x14ac:dyDescent="0.25">
      <c r="A63" s="69" t="s">
        <v>29</v>
      </c>
      <c r="B63" s="80">
        <f>Data!E11</f>
        <v>0</v>
      </c>
      <c r="C63" s="80">
        <f>Data!E12</f>
        <v>13</v>
      </c>
      <c r="D63" s="80">
        <f>Data!E13</f>
        <v>7</v>
      </c>
      <c r="E63" s="80">
        <f>Data!E14</f>
        <v>7</v>
      </c>
      <c r="F63" s="80">
        <f>Data!E15</f>
        <v>0</v>
      </c>
      <c r="G63" s="69">
        <f t="shared" si="1"/>
        <v>5.4</v>
      </c>
      <c r="H63" s="6"/>
    </row>
    <row r="64" spans="1:8" ht="15" customHeight="1" x14ac:dyDescent="0.25">
      <c r="A64" s="65" t="s">
        <v>31</v>
      </c>
      <c r="B64" s="77">
        <f>Data!F11</f>
        <v>0</v>
      </c>
      <c r="C64" s="77">
        <f>Data!F12</f>
        <v>17</v>
      </c>
      <c r="D64" s="77">
        <f>Data!F13</f>
        <v>18</v>
      </c>
      <c r="E64" s="77">
        <f>Data!F14</f>
        <v>0</v>
      </c>
      <c r="F64" s="77">
        <f>Data!F15</f>
        <v>0</v>
      </c>
      <c r="G64" s="65">
        <f t="shared" si="1"/>
        <v>7</v>
      </c>
      <c r="H64" s="6"/>
    </row>
    <row r="65" spans="1:8" ht="15" customHeight="1" x14ac:dyDescent="0.25">
      <c r="A65" s="69" t="s">
        <v>33</v>
      </c>
      <c r="B65" s="80">
        <f>Data!G11</f>
        <v>0</v>
      </c>
      <c r="C65" s="80">
        <f>Data!G12</f>
        <v>12</v>
      </c>
      <c r="D65" s="80">
        <f>Data!G13</f>
        <v>5</v>
      </c>
      <c r="E65" s="80">
        <f>Data!G14</f>
        <v>0</v>
      </c>
      <c r="F65" s="80">
        <f>Data!G15</f>
        <v>0</v>
      </c>
      <c r="G65" s="69">
        <f t="shared" si="1"/>
        <v>3.4</v>
      </c>
      <c r="H65" s="6"/>
    </row>
    <row r="66" spans="1:8" ht="15" customHeight="1" x14ac:dyDescent="0.25">
      <c r="A66" s="65" t="s">
        <v>35</v>
      </c>
      <c r="B66" s="77">
        <f>Data!H11</f>
        <v>10</v>
      </c>
      <c r="C66" s="77">
        <f>Data!H12</f>
        <v>13</v>
      </c>
      <c r="D66" s="77">
        <f>Data!H13</f>
        <v>16</v>
      </c>
      <c r="E66" s="77">
        <f>Data!H14</f>
        <v>0</v>
      </c>
      <c r="F66" s="77">
        <f>Data!H15</f>
        <v>0</v>
      </c>
      <c r="G66" s="65">
        <f t="shared" si="1"/>
        <v>7.8</v>
      </c>
      <c r="H66" s="6"/>
    </row>
    <row r="67" spans="1:8" ht="15" customHeight="1" x14ac:dyDescent="0.25">
      <c r="A67" s="69" t="s">
        <v>37</v>
      </c>
      <c r="B67" s="80">
        <f>Data!I11</f>
        <v>9</v>
      </c>
      <c r="C67" s="80">
        <f>Data!I12</f>
        <v>16</v>
      </c>
      <c r="D67" s="80">
        <f>Data!I13</f>
        <v>14</v>
      </c>
      <c r="E67" s="80">
        <f>Data!I14</f>
        <v>0</v>
      </c>
      <c r="F67" s="80">
        <f>Data!I15</f>
        <v>0</v>
      </c>
      <c r="G67" s="69">
        <f t="shared" si="1"/>
        <v>7.8</v>
      </c>
      <c r="H67" s="6"/>
    </row>
    <row r="68" spans="1:8" ht="15" customHeight="1" x14ac:dyDescent="0.25">
      <c r="A68" s="65" t="s">
        <v>39</v>
      </c>
      <c r="B68" s="77">
        <f>Data!J11</f>
        <v>12</v>
      </c>
      <c r="C68" s="77">
        <f>Data!J12</f>
        <v>8</v>
      </c>
      <c r="D68" s="77">
        <f>Data!J13</f>
        <v>12</v>
      </c>
      <c r="E68" s="77">
        <f>Data!J14</f>
        <v>0</v>
      </c>
      <c r="F68" s="77">
        <f>Data!J15</f>
        <v>0</v>
      </c>
      <c r="G68" s="65">
        <f t="shared" si="1"/>
        <v>6.4</v>
      </c>
      <c r="H68" s="6"/>
    </row>
    <row r="69" spans="1:8" ht="15" customHeight="1" x14ac:dyDescent="0.25">
      <c r="A69" s="69" t="s">
        <v>41</v>
      </c>
      <c r="B69" s="80">
        <f>Data!K11</f>
        <v>12</v>
      </c>
      <c r="C69" s="80">
        <f>Data!K12</f>
        <v>7</v>
      </c>
      <c r="D69" s="80">
        <f>Data!K13</f>
        <v>13</v>
      </c>
      <c r="E69" s="80">
        <f>Data!K14</f>
        <v>0</v>
      </c>
      <c r="F69" s="80">
        <f>Data!K15</f>
        <v>0</v>
      </c>
      <c r="G69" s="69">
        <f t="shared" si="1"/>
        <v>6.4</v>
      </c>
      <c r="H69" s="6"/>
    </row>
    <row r="70" spans="1:8" ht="15" customHeight="1" x14ac:dyDescent="0.25">
      <c r="A70" s="65" t="s">
        <v>43</v>
      </c>
      <c r="B70" s="77">
        <f>Data!L11</f>
        <v>10</v>
      </c>
      <c r="C70" s="77">
        <f>Data!L12</f>
        <v>14</v>
      </c>
      <c r="D70" s="77">
        <f>Data!L13</f>
        <v>9</v>
      </c>
      <c r="E70" s="77">
        <f>Data!L14</f>
        <v>0</v>
      </c>
      <c r="F70" s="77">
        <f>Data!L15</f>
        <v>0</v>
      </c>
      <c r="G70" s="65">
        <f t="shared" si="1"/>
        <v>6.6</v>
      </c>
      <c r="H70" s="6"/>
    </row>
    <row r="71" spans="1:8" ht="15" customHeight="1" x14ac:dyDescent="0.25">
      <c r="A71" s="69" t="s">
        <v>45</v>
      </c>
      <c r="B71" s="80">
        <f>Data!M11</f>
        <v>9</v>
      </c>
      <c r="C71" s="80">
        <f>Data!M12</f>
        <v>9</v>
      </c>
      <c r="D71" s="80">
        <f>Data!M13</f>
        <v>5</v>
      </c>
      <c r="E71" s="80">
        <f>Data!M14</f>
        <v>0</v>
      </c>
      <c r="F71" s="80">
        <f>Data!M15</f>
        <v>0</v>
      </c>
      <c r="G71" s="69">
        <f t="shared" si="1"/>
        <v>4.5999999999999996</v>
      </c>
      <c r="H71" s="6"/>
    </row>
    <row r="72" spans="1:8" x14ac:dyDescent="0.25">
      <c r="A72" s="6"/>
      <c r="B72" s="6"/>
      <c r="C72" s="6"/>
      <c r="D72" s="6"/>
      <c r="E72" s="6"/>
      <c r="F72" s="6"/>
      <c r="G72" s="6"/>
      <c r="H72" s="6"/>
    </row>
    <row r="73" spans="1:8" x14ac:dyDescent="0.25">
      <c r="A73" s="6"/>
      <c r="B73" s="6"/>
      <c r="C73" s="6"/>
      <c r="D73" s="6"/>
      <c r="E73" s="6"/>
      <c r="F73" s="6"/>
      <c r="G73" s="6"/>
      <c r="H73" s="6"/>
    </row>
    <row r="74" spans="1:8" ht="27.75" customHeight="1" x14ac:dyDescent="0.25">
      <c r="A74" s="157" t="s">
        <v>137</v>
      </c>
      <c r="B74" s="157"/>
      <c r="C74" s="157"/>
      <c r="D74" s="157"/>
      <c r="E74" s="157"/>
      <c r="F74" s="157"/>
      <c r="G74" s="157"/>
      <c r="H74" s="157"/>
    </row>
    <row r="75" spans="1:8" x14ac:dyDescent="0.25">
      <c r="A75" s="6"/>
      <c r="B75" s="6"/>
      <c r="C75" s="6"/>
      <c r="D75" s="6"/>
      <c r="E75" s="6"/>
      <c r="F75" s="6"/>
      <c r="G75" s="6"/>
      <c r="H75" s="6"/>
    </row>
    <row r="76" spans="1:8" ht="21.75" customHeight="1" x14ac:dyDescent="0.25">
      <c r="A76" s="158" t="s">
        <v>138</v>
      </c>
      <c r="B76" s="158"/>
      <c r="C76" s="158"/>
      <c r="D76" s="158"/>
      <c r="E76" s="158"/>
      <c r="F76" s="158"/>
      <c r="G76" s="158"/>
      <c r="H76" s="6"/>
    </row>
    <row r="77" spans="1:8" x14ac:dyDescent="0.25">
      <c r="A77" s="6"/>
      <c r="B77" s="6"/>
      <c r="C77" s="6"/>
      <c r="D77" s="6"/>
      <c r="E77" s="6"/>
      <c r="F77" s="6"/>
      <c r="G77" s="6"/>
      <c r="H77" s="6"/>
    </row>
    <row r="78" spans="1:8" ht="21.75" customHeight="1" x14ac:dyDescent="0.25">
      <c r="A78" s="82" t="s">
        <v>126</v>
      </c>
      <c r="B78" s="82" t="s">
        <v>104</v>
      </c>
      <c r="C78" s="82" t="s">
        <v>105</v>
      </c>
      <c r="D78" s="82" t="s">
        <v>3</v>
      </c>
      <c r="E78" s="82" t="s">
        <v>106</v>
      </c>
      <c r="F78" s="82" t="s">
        <v>127</v>
      </c>
      <c r="G78" s="82" t="s">
        <v>128</v>
      </c>
      <c r="H78" s="6"/>
    </row>
    <row r="79" spans="1:8" ht="15" customHeight="1" x14ac:dyDescent="0.25">
      <c r="A79" s="83" t="s">
        <v>129</v>
      </c>
      <c r="B79" s="84">
        <v>0.45132743362831901</v>
      </c>
      <c r="C79" s="84">
        <v>0.40117994100295001</v>
      </c>
      <c r="D79" s="84">
        <v>0.28612716763005802</v>
      </c>
      <c r="E79" s="84">
        <v>0</v>
      </c>
      <c r="F79" s="84">
        <v>0.284658635565332</v>
      </c>
      <c r="G79" s="85" t="s">
        <v>139</v>
      </c>
      <c r="H79" s="6"/>
    </row>
    <row r="80" spans="1:8" ht="15" customHeight="1" x14ac:dyDescent="0.25">
      <c r="A80" s="86" t="s">
        <v>130</v>
      </c>
      <c r="B80" s="87">
        <v>153</v>
      </c>
      <c r="C80" s="87">
        <v>136</v>
      </c>
      <c r="D80" s="87">
        <v>99</v>
      </c>
      <c r="E80" s="87">
        <v>0</v>
      </c>
      <c r="F80" s="88">
        <v>97</v>
      </c>
      <c r="G80" s="89" t="s">
        <v>139</v>
      </c>
      <c r="H80" s="6"/>
    </row>
    <row r="81" spans="1:8" ht="15" customHeight="1" x14ac:dyDescent="0.25">
      <c r="A81" s="83" t="s">
        <v>131</v>
      </c>
      <c r="B81" s="84">
        <v>0.54248366013071903</v>
      </c>
      <c r="C81" s="84">
        <v>0.59558823529411797</v>
      </c>
      <c r="D81" s="84">
        <v>0.78787878787878796</v>
      </c>
      <c r="E81" s="84">
        <v>0</v>
      </c>
      <c r="F81" s="84">
        <v>0.64198356110120802</v>
      </c>
      <c r="G81" s="90"/>
      <c r="H81" s="6"/>
    </row>
    <row r="82" spans="1:8" ht="15" customHeight="1" x14ac:dyDescent="0.25">
      <c r="A82" s="86" t="s">
        <v>132</v>
      </c>
      <c r="B82" s="88">
        <v>12.75</v>
      </c>
      <c r="C82" s="88">
        <v>11.3333333333333</v>
      </c>
      <c r="D82" s="88">
        <v>8.25</v>
      </c>
      <c r="E82" s="88">
        <v>0</v>
      </c>
      <c r="F82" s="88">
        <v>8.0833333333333304</v>
      </c>
      <c r="G82" s="89" t="s">
        <v>139</v>
      </c>
      <c r="H82" s="6"/>
    </row>
    <row r="83" spans="1:8" x14ac:dyDescent="0.25">
      <c r="A83" s="6"/>
      <c r="B83" s="6"/>
      <c r="C83" s="6"/>
      <c r="D83" s="6"/>
      <c r="E83" s="6"/>
      <c r="F83" s="6"/>
      <c r="G83" s="6"/>
      <c r="H83" s="6"/>
    </row>
    <row r="84" spans="1:8" x14ac:dyDescent="0.25">
      <c r="A84" s="6"/>
      <c r="B84" s="6"/>
      <c r="C84" s="6"/>
      <c r="D84" s="6"/>
      <c r="E84" s="6"/>
      <c r="F84" s="6"/>
      <c r="G84" s="6"/>
      <c r="H84" s="6"/>
    </row>
    <row r="85" spans="1:8" ht="21.75" customHeight="1" x14ac:dyDescent="0.25">
      <c r="A85" s="159" t="s">
        <v>140</v>
      </c>
      <c r="B85" s="159"/>
      <c r="C85" s="159"/>
      <c r="D85" s="159"/>
      <c r="E85" s="159"/>
      <c r="F85" s="159"/>
      <c r="G85" s="6"/>
      <c r="H85" s="6"/>
    </row>
    <row r="86" spans="1:8" x14ac:dyDescent="0.25">
      <c r="A86" s="6"/>
      <c r="B86" s="6"/>
      <c r="C86" s="6"/>
      <c r="D86" s="6"/>
      <c r="E86" s="6"/>
      <c r="F86" s="6"/>
      <c r="G86" s="6"/>
      <c r="H86" s="6"/>
    </row>
    <row r="87" spans="1:8" ht="21.75" customHeight="1" x14ac:dyDescent="0.25">
      <c r="A87" s="82" t="s">
        <v>15</v>
      </c>
      <c r="B87" s="82" t="s">
        <v>104</v>
      </c>
      <c r="C87" s="82" t="s">
        <v>105</v>
      </c>
      <c r="D87" s="82" t="s">
        <v>3</v>
      </c>
      <c r="E87" s="82" t="s">
        <v>106</v>
      </c>
      <c r="F87" s="82" t="s">
        <v>127</v>
      </c>
      <c r="G87" s="6"/>
      <c r="H87" s="6"/>
    </row>
    <row r="88" spans="1:8" ht="15" customHeight="1" x14ac:dyDescent="0.25">
      <c r="A88" s="83" t="s">
        <v>35</v>
      </c>
      <c r="B88" s="90">
        <v>10</v>
      </c>
      <c r="C88" s="90">
        <v>13</v>
      </c>
      <c r="D88" s="90">
        <v>16</v>
      </c>
      <c r="E88" s="90">
        <v>0</v>
      </c>
      <c r="F88" s="91">
        <v>9.75</v>
      </c>
      <c r="G88" s="6"/>
      <c r="H88" s="6"/>
    </row>
    <row r="89" spans="1:8" ht="15" customHeight="1" x14ac:dyDescent="0.25">
      <c r="A89" s="86" t="s">
        <v>37</v>
      </c>
      <c r="B89" s="87">
        <v>9</v>
      </c>
      <c r="C89" s="87">
        <v>16</v>
      </c>
      <c r="D89" s="87">
        <v>14</v>
      </c>
      <c r="E89" s="87">
        <v>0</v>
      </c>
      <c r="F89" s="88">
        <v>9.75</v>
      </c>
      <c r="G89" s="6"/>
      <c r="H89" s="6"/>
    </row>
    <row r="90" spans="1:8" ht="15" customHeight="1" x14ac:dyDescent="0.25">
      <c r="A90" s="83" t="s">
        <v>39</v>
      </c>
      <c r="B90" s="90">
        <v>12</v>
      </c>
      <c r="C90" s="90">
        <v>8</v>
      </c>
      <c r="D90" s="90">
        <v>12</v>
      </c>
      <c r="E90" s="90">
        <v>0</v>
      </c>
      <c r="F90" s="91">
        <v>8</v>
      </c>
      <c r="G90" s="6"/>
      <c r="H90" s="6"/>
    </row>
    <row r="91" spans="1:8" ht="15" customHeight="1" x14ac:dyDescent="0.25">
      <c r="A91" s="86" t="s">
        <v>41</v>
      </c>
      <c r="B91" s="87">
        <v>12</v>
      </c>
      <c r="C91" s="87">
        <v>7</v>
      </c>
      <c r="D91" s="87">
        <v>13</v>
      </c>
      <c r="E91" s="87">
        <v>0</v>
      </c>
      <c r="F91" s="88">
        <v>8</v>
      </c>
      <c r="G91" s="6"/>
      <c r="H91" s="6"/>
    </row>
    <row r="92" spans="1:8" ht="15" customHeight="1" x14ac:dyDescent="0.25">
      <c r="A92" s="83" t="s">
        <v>43</v>
      </c>
      <c r="B92" s="90">
        <v>10</v>
      </c>
      <c r="C92" s="90">
        <v>14</v>
      </c>
      <c r="D92" s="90">
        <v>9</v>
      </c>
      <c r="E92" s="90">
        <v>0</v>
      </c>
      <c r="F92" s="91">
        <v>8.25</v>
      </c>
      <c r="G92" s="6"/>
      <c r="H92" s="6"/>
    </row>
    <row r="93" spans="1:8" ht="15" customHeight="1" x14ac:dyDescent="0.25">
      <c r="A93" s="86" t="s">
        <v>45</v>
      </c>
      <c r="B93" s="87">
        <v>9</v>
      </c>
      <c r="C93" s="87">
        <v>9</v>
      </c>
      <c r="D93" s="87">
        <v>5</v>
      </c>
      <c r="E93" s="87">
        <v>0</v>
      </c>
      <c r="F93" s="88">
        <v>5.75</v>
      </c>
      <c r="G93" s="6"/>
      <c r="H93" s="6"/>
    </row>
    <row r="94" spans="1:8" ht="15" customHeight="1" x14ac:dyDescent="0.25">
      <c r="A94" s="92" t="s">
        <v>23</v>
      </c>
      <c r="B94" s="93">
        <v>24</v>
      </c>
      <c r="C94" s="93">
        <v>14</v>
      </c>
      <c r="D94" s="93">
        <v>8</v>
      </c>
      <c r="E94" s="93">
        <v>0</v>
      </c>
      <c r="F94" s="94">
        <v>11.5</v>
      </c>
      <c r="G94" s="6"/>
      <c r="H94" s="6"/>
    </row>
    <row r="95" spans="1:8" ht="15" customHeight="1" x14ac:dyDescent="0.25">
      <c r="A95" s="86" t="s">
        <v>25</v>
      </c>
      <c r="B95" s="87">
        <v>11</v>
      </c>
      <c r="C95" s="87">
        <v>13</v>
      </c>
      <c r="D95" s="87">
        <v>10</v>
      </c>
      <c r="E95" s="87">
        <v>0</v>
      </c>
      <c r="F95" s="88">
        <v>8.5</v>
      </c>
      <c r="G95" s="6"/>
      <c r="H95" s="6"/>
    </row>
    <row r="96" spans="1:8" ht="15" customHeight="1" x14ac:dyDescent="0.25">
      <c r="A96" s="83" t="s">
        <v>27</v>
      </c>
      <c r="B96" s="90">
        <v>14</v>
      </c>
      <c r="C96" s="90">
        <v>12</v>
      </c>
      <c r="D96" s="90">
        <v>10</v>
      </c>
      <c r="E96" s="90">
        <v>0</v>
      </c>
      <c r="F96" s="91">
        <v>9</v>
      </c>
      <c r="G96" s="6"/>
      <c r="H96" s="6"/>
    </row>
    <row r="97" spans="1:8" ht="15" customHeight="1" x14ac:dyDescent="0.25">
      <c r="A97" s="86" t="s">
        <v>29</v>
      </c>
      <c r="B97" s="87">
        <v>13</v>
      </c>
      <c r="C97" s="87">
        <v>7</v>
      </c>
      <c r="D97" s="87">
        <v>2</v>
      </c>
      <c r="E97" s="87">
        <v>0</v>
      </c>
      <c r="F97" s="88">
        <v>5.5</v>
      </c>
      <c r="G97" s="6"/>
      <c r="H97" s="6"/>
    </row>
    <row r="98" spans="1:8" ht="15" customHeight="1" x14ac:dyDescent="0.25">
      <c r="A98" s="83" t="s">
        <v>31</v>
      </c>
      <c r="B98" s="90">
        <v>17</v>
      </c>
      <c r="C98" s="90">
        <v>18</v>
      </c>
      <c r="D98" s="90">
        <v>0</v>
      </c>
      <c r="E98" s="90">
        <v>0</v>
      </c>
      <c r="F98" s="91">
        <v>8.75</v>
      </c>
      <c r="G98" s="6"/>
      <c r="H98" s="6"/>
    </row>
    <row r="99" spans="1:8" ht="15" customHeight="1" x14ac:dyDescent="0.25">
      <c r="A99" s="86" t="s">
        <v>33</v>
      </c>
      <c r="B99" s="87">
        <v>12</v>
      </c>
      <c r="C99" s="87">
        <v>5</v>
      </c>
      <c r="D99" s="87">
        <v>0</v>
      </c>
      <c r="E99" s="87">
        <v>0</v>
      </c>
      <c r="F99" s="88">
        <v>4.25</v>
      </c>
      <c r="G99" s="6"/>
      <c r="H99" s="6"/>
    </row>
    <row r="100" spans="1:8" x14ac:dyDescent="0.25">
      <c r="A100" s="6"/>
      <c r="B100" s="6"/>
      <c r="C100" s="6"/>
      <c r="D100" s="6"/>
      <c r="E100" s="6"/>
      <c r="F100" s="6"/>
      <c r="G100" s="6"/>
      <c r="H100" s="6"/>
    </row>
    <row r="101" spans="1:8" x14ac:dyDescent="0.25">
      <c r="A101" s="6"/>
      <c r="B101" s="6"/>
      <c r="C101" s="6"/>
      <c r="D101" s="6"/>
      <c r="E101" s="6"/>
      <c r="F101" s="6"/>
      <c r="G101" s="6"/>
      <c r="H101" s="6"/>
    </row>
    <row r="102" spans="1:8" ht="21.75" customHeight="1" x14ac:dyDescent="0.25">
      <c r="A102" s="159" t="s">
        <v>141</v>
      </c>
      <c r="B102" s="159"/>
      <c r="C102" s="159"/>
      <c r="D102" s="159"/>
      <c r="E102" s="159"/>
      <c r="F102" s="6"/>
      <c r="G102" s="6"/>
      <c r="H102" s="6"/>
    </row>
    <row r="103" spans="1:8" x14ac:dyDescent="0.25">
      <c r="A103" s="6"/>
      <c r="B103" s="6"/>
      <c r="C103" s="6"/>
      <c r="D103" s="6"/>
      <c r="E103" s="6"/>
      <c r="F103" s="6"/>
      <c r="G103" s="6"/>
      <c r="H103" s="6"/>
    </row>
    <row r="104" spans="1:8" ht="21.75" customHeight="1" x14ac:dyDescent="0.25">
      <c r="A104" s="82" t="s">
        <v>142</v>
      </c>
      <c r="B104" s="82" t="s">
        <v>104</v>
      </c>
      <c r="C104" s="82" t="s">
        <v>105</v>
      </c>
      <c r="D104" s="82" t="s">
        <v>3</v>
      </c>
      <c r="E104" s="82" t="s">
        <v>106</v>
      </c>
      <c r="F104" s="6"/>
      <c r="G104" s="6"/>
      <c r="H104" s="6"/>
    </row>
    <row r="105" spans="1:8" ht="15" customHeight="1" x14ac:dyDescent="0.25">
      <c r="A105" s="83" t="s">
        <v>143</v>
      </c>
      <c r="B105" s="90">
        <v>62</v>
      </c>
      <c r="C105" s="90">
        <v>67</v>
      </c>
      <c r="D105" s="90">
        <v>69</v>
      </c>
      <c r="E105" s="90">
        <v>0</v>
      </c>
      <c r="F105" s="6"/>
      <c r="G105" s="6"/>
      <c r="H105" s="6"/>
    </row>
    <row r="106" spans="1:8" ht="15" customHeight="1" x14ac:dyDescent="0.25">
      <c r="A106" s="86" t="s">
        <v>144</v>
      </c>
      <c r="B106" s="87">
        <v>91</v>
      </c>
      <c r="C106" s="87">
        <v>69</v>
      </c>
      <c r="D106" s="87">
        <v>30</v>
      </c>
      <c r="E106" s="87">
        <v>0</v>
      </c>
      <c r="F106" s="6"/>
      <c r="G106" s="6"/>
      <c r="H106" s="6"/>
    </row>
  </sheetData>
  <mergeCells count="9">
    <mergeCell ref="A74:H74"/>
    <mergeCell ref="A76:G76"/>
    <mergeCell ref="A85:F85"/>
    <mergeCell ref="A102:E102"/>
    <mergeCell ref="A2:H2"/>
    <mergeCell ref="A3:H3"/>
    <mergeCell ref="A5:H5"/>
    <mergeCell ref="A13:G13"/>
    <mergeCell ref="A57:G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9C12"/>
  </sheetPr>
  <dimension ref="A1:M414"/>
  <sheetViews>
    <sheetView zoomScaleNormal="100" workbookViewId="0">
      <pane ySplit="6" topLeftCell="A9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145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146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364</v>
      </c>
      <c r="C5" s="97"/>
      <c r="D5" s="95" t="s">
        <v>148</v>
      </c>
      <c r="E5" s="98">
        <f>B39+B73+B107+B141+B175+B209+B243+B277+B311+B345+B379+B413</f>
        <v>0</v>
      </c>
      <c r="F5" s="97"/>
      <c r="G5" s="95" t="s">
        <v>149</v>
      </c>
      <c r="H5" s="99">
        <f>IF(B5=0,0,E5/B5)</f>
        <v>0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150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164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165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166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167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168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169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</row>
    <row r="214" spans="1:13" ht="15" customHeight="1" x14ac:dyDescent="0.25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</row>
    <row r="215" spans="1:13" ht="15" customHeight="1" x14ac:dyDescent="0.25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</row>
    <row r="216" spans="1:13" ht="15" customHeight="1" x14ac:dyDescent="0.25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</row>
    <row r="217" spans="1:13" ht="15" customHeight="1" x14ac:dyDescent="0.25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</row>
    <row r="218" spans="1:13" ht="15" customHeight="1" x14ac:dyDescent="0.25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</row>
    <row r="219" spans="1:13" ht="15" customHeight="1" x14ac:dyDescent="0.25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</row>
    <row r="220" spans="1:13" ht="15" customHeight="1" x14ac:dyDescent="0.25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</row>
    <row r="221" spans="1:13" ht="15" customHeight="1" x14ac:dyDescent="0.25">
      <c r="A221" s="100"/>
      <c r="B221" s="101"/>
      <c r="C221" s="101"/>
      <c r="D221" s="100"/>
      <c r="E221" s="100"/>
      <c r="F221" s="100"/>
      <c r="G221" s="100"/>
      <c r="H221" s="100"/>
      <c r="I221" s="100"/>
      <c r="J221" s="101"/>
      <c r="K221" s="100"/>
      <c r="L221" s="100"/>
      <c r="M221" s="102" t="str">
        <f>IFERROR(VLOOKUP(G221,Reference!$I$2:$J$175,2,FALSE()),"Operations")</f>
        <v>Operations</v>
      </c>
    </row>
    <row r="222" spans="1:13" ht="15" customHeight="1" x14ac:dyDescent="0.25">
      <c r="A222" s="103"/>
      <c r="B222" s="104"/>
      <c r="C222" s="104"/>
      <c r="D222" s="103"/>
      <c r="E222" s="103"/>
      <c r="F222" s="103"/>
      <c r="G222" s="103"/>
      <c r="H222" s="103"/>
      <c r="I222" s="103"/>
      <c r="J222" s="104"/>
      <c r="K222" s="103"/>
      <c r="L222" s="103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170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</row>
    <row r="248" spans="1:13" ht="15" customHeight="1" x14ac:dyDescent="0.25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</row>
    <row r="249" spans="1:13" ht="15" customHeight="1" x14ac:dyDescent="0.25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</row>
    <row r="250" spans="1:13" ht="15" customHeight="1" x14ac:dyDescent="0.25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</row>
    <row r="251" spans="1:13" ht="15" customHeight="1" x14ac:dyDescent="0.25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</row>
    <row r="252" spans="1:13" ht="15" customHeight="1" x14ac:dyDescent="0.25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</row>
    <row r="253" spans="1:13" ht="15" customHeight="1" x14ac:dyDescent="0.25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</row>
    <row r="254" spans="1:13" ht="15" customHeight="1" x14ac:dyDescent="0.25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</row>
    <row r="255" spans="1:13" ht="15" customHeight="1" x14ac:dyDescent="0.25">
      <c r="A255" s="100"/>
      <c r="B255" s="101"/>
      <c r="C255" s="101"/>
      <c r="D255" s="100"/>
      <c r="E255" s="100"/>
      <c r="F255" s="100"/>
      <c r="G255" s="100"/>
      <c r="H255" s="100"/>
      <c r="I255" s="100"/>
      <c r="J255" s="101"/>
      <c r="K255" s="100"/>
      <c r="L255" s="100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0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171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</row>
    <row r="282" spans="1:13" ht="15" customHeight="1" x14ac:dyDescent="0.25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</row>
    <row r="283" spans="1:13" ht="15" customHeight="1" x14ac:dyDescent="0.25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</row>
    <row r="284" spans="1:13" ht="15" customHeight="1" x14ac:dyDescent="0.25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</row>
    <row r="285" spans="1:13" ht="15" customHeight="1" x14ac:dyDescent="0.25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</row>
    <row r="286" spans="1:13" ht="15" customHeight="1" x14ac:dyDescent="0.25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</row>
    <row r="287" spans="1:13" ht="15" customHeight="1" x14ac:dyDescent="0.25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</row>
    <row r="288" spans="1:13" ht="15" customHeight="1" x14ac:dyDescent="0.25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0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172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</row>
    <row r="316" spans="1:13" ht="15" customHeight="1" x14ac:dyDescent="0.25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</row>
    <row r="317" spans="1:13" ht="15" customHeight="1" x14ac:dyDescent="0.25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</row>
    <row r="318" spans="1:13" ht="15" customHeight="1" x14ac:dyDescent="0.25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</row>
    <row r="319" spans="1:13" ht="15" customHeight="1" x14ac:dyDescent="0.25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</row>
    <row r="320" spans="1:13" ht="15" customHeight="1" x14ac:dyDescent="0.25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</row>
    <row r="321" spans="1:13" ht="15" customHeight="1" x14ac:dyDescent="0.25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0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173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</row>
    <row r="350" spans="1:13" ht="15" customHeight="1" x14ac:dyDescent="0.25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</row>
    <row r="351" spans="1:13" ht="15" customHeight="1" x14ac:dyDescent="0.25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</row>
    <row r="352" spans="1:13" ht="15" customHeight="1" x14ac:dyDescent="0.25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</row>
    <row r="353" spans="1:13" ht="15" customHeight="1" x14ac:dyDescent="0.25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</row>
    <row r="354" spans="1:13" ht="15" customHeight="1" x14ac:dyDescent="0.25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</row>
    <row r="355" spans="1:13" ht="15" customHeight="1" x14ac:dyDescent="0.25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</row>
    <row r="356" spans="1:13" ht="15" customHeight="1" x14ac:dyDescent="0.25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</row>
    <row r="357" spans="1:13" ht="15" customHeight="1" x14ac:dyDescent="0.25">
      <c r="A357" s="100"/>
      <c r="B357" s="101"/>
      <c r="C357" s="101"/>
      <c r="D357" s="100"/>
      <c r="E357" s="100"/>
      <c r="F357" s="100"/>
      <c r="G357" s="100"/>
      <c r="H357" s="100"/>
      <c r="I357" s="100"/>
      <c r="J357" s="101"/>
      <c r="K357" s="100"/>
      <c r="L357" s="100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174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100"/>
      <c r="B383" s="101"/>
      <c r="C383" s="101"/>
      <c r="D383" s="100"/>
      <c r="E383" s="100"/>
      <c r="F383" s="100"/>
      <c r="G383" s="100"/>
      <c r="H383" s="100"/>
      <c r="I383" s="100"/>
      <c r="J383" s="101"/>
      <c r="K383" s="100"/>
      <c r="L383" s="100"/>
      <c r="M383" s="102" t="str">
        <f>IFERROR(VLOOKUP(G383,Reference!$I$2:$J$175,2,FALSE()),"Operations")</f>
        <v>Operations</v>
      </c>
    </row>
    <row r="384" spans="1:13" ht="15" customHeight="1" x14ac:dyDescent="0.25">
      <c r="A384" s="103"/>
      <c r="B384" s="104"/>
      <c r="C384" s="104"/>
      <c r="D384" s="103"/>
      <c r="E384" s="103"/>
      <c r="F384" s="103"/>
      <c r="G384" s="103"/>
      <c r="H384" s="103"/>
      <c r="I384" s="103"/>
      <c r="J384" s="104"/>
      <c r="K384" s="103"/>
      <c r="L384" s="103"/>
      <c r="M384" s="105" t="str">
        <f>IFERROR(VLOOKUP(G384,Reference!$I$2:$J$175,2,FALSE()),"Operations")</f>
        <v>Operations</v>
      </c>
    </row>
    <row r="385" spans="1:13" ht="15" customHeight="1" x14ac:dyDescent="0.25">
      <c r="A385" s="100"/>
      <c r="B385" s="101"/>
      <c r="C385" s="101"/>
      <c r="D385" s="100"/>
      <c r="E385" s="100"/>
      <c r="F385" s="100"/>
      <c r="G385" s="100"/>
      <c r="H385" s="100"/>
      <c r="I385" s="100"/>
      <c r="J385" s="101"/>
      <c r="K385" s="100"/>
      <c r="L385" s="100"/>
      <c r="M385" s="102" t="str">
        <f>IFERROR(VLOOKUP(G385,Reference!$I$2:$J$175,2,FALSE()),"Operations")</f>
        <v>Operations</v>
      </c>
    </row>
    <row r="386" spans="1:13" ht="15" customHeight="1" x14ac:dyDescent="0.25">
      <c r="A386" s="103"/>
      <c r="B386" s="104"/>
      <c r="C386" s="104"/>
      <c r="D386" s="103"/>
      <c r="E386" s="103"/>
      <c r="F386" s="103"/>
      <c r="G386" s="103"/>
      <c r="H386" s="103"/>
      <c r="I386" s="103"/>
      <c r="J386" s="104"/>
      <c r="K386" s="103"/>
      <c r="L386" s="103"/>
      <c r="M386" s="105" t="str">
        <f>IFERROR(VLOOKUP(G386,Reference!$I$2:$J$175,2,FALSE()),"Operations")</f>
        <v>Operations</v>
      </c>
    </row>
    <row r="387" spans="1:13" ht="15" customHeight="1" x14ac:dyDescent="0.25">
      <c r="A387" s="100"/>
      <c r="B387" s="101"/>
      <c r="C387" s="101"/>
      <c r="D387" s="100"/>
      <c r="E387" s="100"/>
      <c r="F387" s="100"/>
      <c r="G387" s="100"/>
      <c r="H387" s="100"/>
      <c r="I387" s="100"/>
      <c r="J387" s="101"/>
      <c r="K387" s="100"/>
      <c r="L387" s="100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0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2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2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2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2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2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5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O358"/>
  <sheetViews>
    <sheetView zoomScaleNormal="100" workbookViewId="0">
      <pane ySplit="6" topLeftCell="A98" activePane="bottomLeft" state="frozen"/>
      <selection pane="bottomLeft" activeCell="G58" sqref="G58"/>
    </sheetView>
  </sheetViews>
  <sheetFormatPr defaultColWidth="8.7109375" defaultRowHeight="15" x14ac:dyDescent="0.25"/>
  <cols>
    <col min="1" max="1" width="26" customWidth="1"/>
    <col min="2" max="2" width="18.28515625" customWidth="1"/>
    <col min="3" max="3" width="16" customWidth="1"/>
    <col min="4" max="4" width="20" customWidth="1"/>
    <col min="5" max="5" width="12" customWidth="1"/>
    <col min="6" max="6" width="2.42578125" customWidth="1"/>
    <col min="7" max="7" width="28" customWidth="1"/>
    <col min="8" max="8" width="23.5703125" customWidth="1"/>
    <col min="9" max="9" width="22" customWidth="1"/>
    <col min="10" max="10" width="18.28515625" customWidth="1"/>
    <col min="11" max="11" width="18" customWidth="1"/>
    <col min="12" max="12" width="34" customWidth="1"/>
    <col min="13" max="13" width="20" customWidth="1"/>
  </cols>
  <sheetData>
    <row r="1" spans="1:15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"/>
      <c r="O1" s="6"/>
    </row>
    <row r="2" spans="1:15" ht="31.5" customHeight="1" x14ac:dyDescent="0.25">
      <c r="A2" s="160" t="s">
        <v>175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6"/>
      <c r="O2" s="6"/>
    </row>
    <row r="3" spans="1:15" ht="19.5" customHeight="1" x14ac:dyDescent="0.25">
      <c r="A3" s="164" t="s">
        <v>176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6"/>
      <c r="O3" s="6"/>
    </row>
    <row r="4" spans="1:15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7.75" customHeight="1" x14ac:dyDescent="0.25">
      <c r="A5" s="95" t="s">
        <v>147</v>
      </c>
      <c r="B5" s="109">
        <v>366</v>
      </c>
      <c r="C5" s="97"/>
      <c r="D5" s="95" t="s">
        <v>148</v>
      </c>
      <c r="E5" s="110">
        <f>B18+B33+B51+B85+B119+B153+B187+B221+B255+B289+B323+B357</f>
        <v>35</v>
      </c>
      <c r="F5" s="97"/>
      <c r="G5" s="95" t="s">
        <v>149</v>
      </c>
      <c r="H5" s="99">
        <f>IF(B5=0,0,E5/B5)</f>
        <v>9.5628415300546443E-2</v>
      </c>
      <c r="I5" s="97"/>
      <c r="J5" s="97"/>
      <c r="K5" s="97"/>
      <c r="L5" s="97"/>
      <c r="M5" s="97"/>
      <c r="N5" s="6"/>
      <c r="O5" s="6"/>
    </row>
    <row r="6" spans="1:15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t="21.75" customHeight="1" x14ac:dyDescent="0.25">
      <c r="A7" s="163" t="s">
        <v>177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6"/>
      <c r="O7" s="6"/>
    </row>
    <row r="8" spans="1:15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  <c r="N8" s="6"/>
      <c r="O8" s="6"/>
    </row>
    <row r="9" spans="1:15" ht="15" customHeight="1" x14ac:dyDescent="0.25">
      <c r="A9" s="77" t="s">
        <v>178</v>
      </c>
      <c r="B9" s="111">
        <v>46035</v>
      </c>
      <c r="C9" s="111">
        <v>44655</v>
      </c>
      <c r="D9" s="77" t="str">
        <f t="shared" ref="D9:D16" si="0"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>3 years 9 months</v>
      </c>
      <c r="E9" s="77" t="s">
        <v>179</v>
      </c>
      <c r="F9" s="77" t="s">
        <v>180</v>
      </c>
      <c r="G9" s="77" t="s">
        <v>181</v>
      </c>
      <c r="H9" s="77" t="s">
        <v>64</v>
      </c>
      <c r="I9" s="77" t="s">
        <v>182</v>
      </c>
      <c r="J9" s="77" t="s">
        <v>110</v>
      </c>
      <c r="K9" s="77" t="s">
        <v>66</v>
      </c>
      <c r="L9" s="77"/>
      <c r="M9" s="102" t="str">
        <f>IFERROR(VLOOKUP(G9,Reference!$I$2:$J$175,2,FALSE()),"Operations")</f>
        <v>Operations</v>
      </c>
      <c r="N9" s="6"/>
      <c r="O9" s="6"/>
    </row>
    <row r="10" spans="1:15" ht="15" customHeight="1" x14ac:dyDescent="0.25">
      <c r="A10" s="80" t="s">
        <v>183</v>
      </c>
      <c r="B10" s="112">
        <v>46037</v>
      </c>
      <c r="C10" s="112">
        <v>42660</v>
      </c>
      <c r="D10" s="80" t="str">
        <f t="shared" si="0"/>
        <v>9 years 2 months</v>
      </c>
      <c r="E10" s="80" t="s">
        <v>184</v>
      </c>
      <c r="F10" s="80" t="s">
        <v>180</v>
      </c>
      <c r="G10" s="80" t="s">
        <v>185</v>
      </c>
      <c r="H10" s="80" t="s">
        <v>56</v>
      </c>
      <c r="I10" s="80" t="s">
        <v>186</v>
      </c>
      <c r="J10" s="112">
        <v>46037</v>
      </c>
      <c r="K10" s="80" t="s">
        <v>91</v>
      </c>
      <c r="L10" s="80"/>
      <c r="M10" s="105" t="str">
        <f>IFERROR(VLOOKUP(G10,Reference!$I$2:$J$175,2,FALSE()),"Operations")</f>
        <v>QA</v>
      </c>
      <c r="N10" s="6"/>
      <c r="O10" s="6"/>
    </row>
    <row r="11" spans="1:15" ht="15" customHeight="1" x14ac:dyDescent="0.25">
      <c r="A11" s="77" t="s">
        <v>187</v>
      </c>
      <c r="B11" s="111">
        <v>46038</v>
      </c>
      <c r="C11" s="111">
        <v>45054</v>
      </c>
      <c r="D11" s="77" t="str">
        <f t="shared" si="0"/>
        <v>2 years 8 months</v>
      </c>
      <c r="E11" s="77" t="s">
        <v>184</v>
      </c>
      <c r="F11" s="77" t="s">
        <v>180</v>
      </c>
      <c r="G11" s="77" t="s">
        <v>188</v>
      </c>
      <c r="H11" s="77" t="s">
        <v>58</v>
      </c>
      <c r="I11" s="77" t="s">
        <v>189</v>
      </c>
      <c r="J11" s="111">
        <v>46039</v>
      </c>
      <c r="K11" s="77" t="s">
        <v>68</v>
      </c>
      <c r="L11" s="77"/>
      <c r="M11" s="102" t="str">
        <f>IFERROR(VLOOKUP(G11,Reference!$I$2:$J$175,2,FALSE()),"Operations")</f>
        <v>Operations</v>
      </c>
      <c r="N11" s="6"/>
      <c r="O11" s="6"/>
    </row>
    <row r="12" spans="1:15" ht="15" customHeight="1" x14ac:dyDescent="0.25">
      <c r="A12" s="80" t="s">
        <v>190</v>
      </c>
      <c r="B12" s="112">
        <v>46038</v>
      </c>
      <c r="C12" s="112">
        <v>44369</v>
      </c>
      <c r="D12" s="80" t="str">
        <f t="shared" si="0"/>
        <v>4 years 6 months</v>
      </c>
      <c r="E12" s="80" t="s">
        <v>179</v>
      </c>
      <c r="F12" s="80" t="s">
        <v>191</v>
      </c>
      <c r="G12" s="80" t="s">
        <v>192</v>
      </c>
      <c r="H12" s="80" t="s">
        <v>70</v>
      </c>
      <c r="I12" s="80" t="s">
        <v>193</v>
      </c>
      <c r="J12" s="80" t="s">
        <v>194</v>
      </c>
      <c r="K12" s="80" t="s">
        <v>74</v>
      </c>
      <c r="L12" s="80"/>
      <c r="M12" s="105" t="str">
        <f>IFERROR(VLOOKUP(G12,Reference!$I$2:$J$175,2,FALSE()),"Operations")</f>
        <v>Professional Services</v>
      </c>
      <c r="N12" s="6"/>
      <c r="O12" s="6"/>
    </row>
    <row r="13" spans="1:15" ht="15" customHeight="1" x14ac:dyDescent="0.25">
      <c r="A13" s="77" t="s">
        <v>195</v>
      </c>
      <c r="B13" s="111">
        <v>46044</v>
      </c>
      <c r="C13" s="111">
        <v>45404</v>
      </c>
      <c r="D13" s="77" t="str">
        <f t="shared" si="0"/>
        <v>1 year 9 months</v>
      </c>
      <c r="E13" s="77" t="s">
        <v>179</v>
      </c>
      <c r="F13" s="77" t="s">
        <v>191</v>
      </c>
      <c r="G13" s="77" t="s">
        <v>196</v>
      </c>
      <c r="H13" s="77" t="s">
        <v>70</v>
      </c>
      <c r="I13" s="77" t="s">
        <v>197</v>
      </c>
      <c r="J13" s="77" t="s">
        <v>110</v>
      </c>
      <c r="K13" s="77" t="s">
        <v>66</v>
      </c>
      <c r="L13" s="77"/>
      <c r="M13" s="102" t="str">
        <f>IFERROR(VLOOKUP(G13,Reference!$I$2:$J$175,2,FALSE()),"Operations")</f>
        <v>Operations</v>
      </c>
      <c r="N13" s="6"/>
      <c r="O13" s="6"/>
    </row>
    <row r="14" spans="1:15" ht="15" customHeight="1" x14ac:dyDescent="0.25">
      <c r="A14" s="80" t="s">
        <v>198</v>
      </c>
      <c r="B14" s="112">
        <v>46044</v>
      </c>
      <c r="C14" s="112">
        <v>45958</v>
      </c>
      <c r="D14" s="80" t="str">
        <f t="shared" si="0"/>
        <v>2 months</v>
      </c>
      <c r="E14" s="80" t="s">
        <v>179</v>
      </c>
      <c r="F14" s="80" t="s">
        <v>191</v>
      </c>
      <c r="G14" s="80" t="s">
        <v>199</v>
      </c>
      <c r="H14" s="80" t="s">
        <v>64</v>
      </c>
      <c r="I14" s="80" t="s">
        <v>182</v>
      </c>
      <c r="J14" s="80" t="s">
        <v>110</v>
      </c>
      <c r="K14" s="80" t="s">
        <v>66</v>
      </c>
      <c r="L14" s="80"/>
      <c r="M14" s="105" t="str">
        <f>IFERROR(VLOOKUP(G14,Reference!$I$2:$J$175,2,FALSE()),"Operations")</f>
        <v>Operations</v>
      </c>
      <c r="N14" s="6"/>
      <c r="O14" s="6"/>
    </row>
    <row r="15" spans="1:15" ht="15" customHeight="1" x14ac:dyDescent="0.25">
      <c r="A15" s="77" t="s">
        <v>200</v>
      </c>
      <c r="B15" s="111">
        <v>46051</v>
      </c>
      <c r="C15" s="111">
        <v>45082</v>
      </c>
      <c r="D15" s="77" t="str">
        <f t="shared" si="0"/>
        <v>2 years 7 months</v>
      </c>
      <c r="E15" s="77" t="s">
        <v>179</v>
      </c>
      <c r="F15" s="77" t="s">
        <v>191</v>
      </c>
      <c r="G15" s="77" t="s">
        <v>201</v>
      </c>
      <c r="H15" s="77" t="s">
        <v>58</v>
      </c>
      <c r="I15" s="77" t="s">
        <v>202</v>
      </c>
      <c r="J15" s="77" t="s">
        <v>110</v>
      </c>
      <c r="K15" s="77" t="s">
        <v>66</v>
      </c>
      <c r="L15" s="77"/>
      <c r="M15" s="102" t="str">
        <f>IFERROR(VLOOKUP(G15,Reference!$I$2:$J$175,2,FALSE()),"Operations")</f>
        <v>Operations</v>
      </c>
      <c r="N15" s="6"/>
      <c r="O15" s="6"/>
    </row>
    <row r="16" spans="1:15" ht="15" customHeight="1" x14ac:dyDescent="0.25">
      <c r="A16" s="80" t="s">
        <v>203</v>
      </c>
      <c r="B16" s="112">
        <v>46051</v>
      </c>
      <c r="C16" s="112">
        <v>46036</v>
      </c>
      <c r="D16" s="80" t="str">
        <f t="shared" si="0"/>
        <v>15 days</v>
      </c>
      <c r="E16" s="80" t="s">
        <v>179</v>
      </c>
      <c r="F16" s="80" t="s">
        <v>191</v>
      </c>
      <c r="G16" s="80" t="s">
        <v>204</v>
      </c>
      <c r="H16" s="80" t="s">
        <v>77</v>
      </c>
      <c r="I16" s="80" t="s">
        <v>205</v>
      </c>
      <c r="J16" s="80" t="s">
        <v>110</v>
      </c>
      <c r="K16" s="80" t="s">
        <v>66</v>
      </c>
      <c r="L16" s="80"/>
      <c r="M16" s="105" t="str">
        <f>IFERROR(VLOOKUP(G16,Reference!$I$2:$J$175,2,FALSE()),"Operations")</f>
        <v>Operations</v>
      </c>
      <c r="N16" s="6"/>
      <c r="O16" s="6"/>
    </row>
    <row r="17" spans="1:15" ht="15" customHeight="1" x14ac:dyDescent="0.25">
      <c r="A17" s="103"/>
      <c r="B17" s="104"/>
      <c r="C17" s="104"/>
      <c r="D17" s="103"/>
      <c r="E17" s="103"/>
      <c r="F17" s="103"/>
      <c r="G17" s="103"/>
      <c r="H17" s="103"/>
      <c r="I17" s="103"/>
      <c r="J17" s="104"/>
      <c r="K17" s="103"/>
      <c r="L17" s="103"/>
      <c r="M17" s="105" t="str">
        <f>IFERROR(VLOOKUP(G17,Reference!$I$2:$J$175,2,FALSE()),"Operations")</f>
        <v>Operations</v>
      </c>
      <c r="N17" s="6"/>
      <c r="O17" s="6"/>
    </row>
    <row r="18" spans="1:15" ht="15" customHeight="1" x14ac:dyDescent="0.25">
      <c r="A18" s="106" t="s">
        <v>163</v>
      </c>
      <c r="B18" s="107">
        <f>COUNTA(A9:A17)</f>
        <v>8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6"/>
      <c r="O18" s="6"/>
    </row>
    <row r="19" spans="1:15" ht="6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21.75" customHeight="1" x14ac:dyDescent="0.25">
      <c r="A20" s="163" t="s">
        <v>206</v>
      </c>
      <c r="B20" s="163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6"/>
      <c r="O20" s="6"/>
    </row>
    <row r="21" spans="1:15" ht="19.5" customHeight="1" x14ac:dyDescent="0.25">
      <c r="A21" s="64" t="s">
        <v>151</v>
      </c>
      <c r="B21" s="64" t="s">
        <v>152</v>
      </c>
      <c r="C21" s="64" t="s">
        <v>153</v>
      </c>
      <c r="D21" s="64" t="s">
        <v>154</v>
      </c>
      <c r="E21" s="64" t="s">
        <v>155</v>
      </c>
      <c r="F21" s="64" t="s">
        <v>156</v>
      </c>
      <c r="G21" s="64" t="s">
        <v>157</v>
      </c>
      <c r="H21" s="64" t="s">
        <v>158</v>
      </c>
      <c r="I21" s="64" t="s">
        <v>159</v>
      </c>
      <c r="J21" s="64" t="s">
        <v>160</v>
      </c>
      <c r="K21" s="64" t="s">
        <v>134</v>
      </c>
      <c r="L21" s="64" t="s">
        <v>161</v>
      </c>
      <c r="M21" s="64" t="s">
        <v>162</v>
      </c>
      <c r="N21" s="6"/>
      <c r="O21" s="6"/>
    </row>
    <row r="22" spans="1:15" ht="15" customHeight="1" x14ac:dyDescent="0.25">
      <c r="A22" s="77" t="s">
        <v>207</v>
      </c>
      <c r="B22" s="111">
        <v>46061</v>
      </c>
      <c r="C22" s="111">
        <v>45918</v>
      </c>
      <c r="D22" s="77" t="str">
        <f t="shared" ref="D22:D31" si="1"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>4 months</v>
      </c>
      <c r="E22" s="77" t="s">
        <v>179</v>
      </c>
      <c r="F22" s="77" t="s">
        <v>180</v>
      </c>
      <c r="G22" s="77" t="s">
        <v>208</v>
      </c>
      <c r="H22" s="77" t="s">
        <v>69</v>
      </c>
      <c r="I22" s="77" t="s">
        <v>209</v>
      </c>
      <c r="J22" s="77" t="s">
        <v>110</v>
      </c>
      <c r="K22" s="77" t="s">
        <v>66</v>
      </c>
      <c r="L22" s="77"/>
      <c r="M22" s="102" t="str">
        <f>IFERROR(VLOOKUP(G22,Reference!$I$2:$J$175,2,FALSE()),"Operations")</f>
        <v>Operations</v>
      </c>
      <c r="N22" s="6"/>
      <c r="O22" s="6"/>
    </row>
    <row r="23" spans="1:15" ht="15" customHeight="1" x14ac:dyDescent="0.25">
      <c r="A23" s="80" t="s">
        <v>210</v>
      </c>
      <c r="B23" s="112">
        <v>46056</v>
      </c>
      <c r="C23" s="112">
        <v>45967</v>
      </c>
      <c r="D23" s="80" t="str">
        <f t="shared" si="1"/>
        <v>2 months</v>
      </c>
      <c r="E23" s="80" t="s">
        <v>184</v>
      </c>
      <c r="F23" s="80" t="s">
        <v>191</v>
      </c>
      <c r="G23" s="80" t="s">
        <v>211</v>
      </c>
      <c r="H23" s="80" t="s">
        <v>58</v>
      </c>
      <c r="I23" s="80" t="s">
        <v>212</v>
      </c>
      <c r="J23" s="80" t="s">
        <v>110</v>
      </c>
      <c r="K23" s="80" t="s">
        <v>66</v>
      </c>
      <c r="L23" s="80"/>
      <c r="M23" s="105" t="str">
        <f>IFERROR(VLOOKUP(G23,Reference!$I$2:$J$175,2,FALSE()),"Operations")</f>
        <v>Operations</v>
      </c>
      <c r="N23" s="6"/>
      <c r="O23" s="6"/>
    </row>
    <row r="24" spans="1:15" ht="15" customHeight="1" x14ac:dyDescent="0.25">
      <c r="A24" s="77" t="s">
        <v>202</v>
      </c>
      <c r="B24" s="111">
        <v>46081</v>
      </c>
      <c r="C24" s="111">
        <v>45183</v>
      </c>
      <c r="D24" s="77" t="str">
        <f t="shared" si="1"/>
        <v>2 years 5 months</v>
      </c>
      <c r="E24" s="77" t="s">
        <v>213</v>
      </c>
      <c r="F24" s="77" t="s">
        <v>180</v>
      </c>
      <c r="G24" s="77" t="s">
        <v>214</v>
      </c>
      <c r="H24" s="77" t="s">
        <v>56</v>
      </c>
      <c r="I24" s="77" t="s">
        <v>215</v>
      </c>
      <c r="J24" s="77" t="s">
        <v>216</v>
      </c>
      <c r="K24" s="77" t="s">
        <v>66</v>
      </c>
      <c r="L24" s="77"/>
      <c r="M24" s="102" t="str">
        <f>IFERROR(VLOOKUP(G24,Reference!$I$2:$J$175,2,FALSE()),"Operations")</f>
        <v>Operations</v>
      </c>
      <c r="N24" s="6"/>
      <c r="O24" s="6"/>
    </row>
    <row r="25" spans="1:15" ht="15" customHeight="1" x14ac:dyDescent="0.25">
      <c r="A25" s="80" t="s">
        <v>217</v>
      </c>
      <c r="B25" s="112">
        <v>46081</v>
      </c>
      <c r="C25" s="112">
        <v>45203</v>
      </c>
      <c r="D25" s="80" t="str">
        <f t="shared" si="1"/>
        <v>2 years 4 months</v>
      </c>
      <c r="E25" s="80" t="s">
        <v>184</v>
      </c>
      <c r="F25" s="80" t="s">
        <v>191</v>
      </c>
      <c r="G25" s="80" t="s">
        <v>218</v>
      </c>
      <c r="H25" s="80" t="s">
        <v>56</v>
      </c>
      <c r="I25" s="80" t="s">
        <v>219</v>
      </c>
      <c r="J25" s="80" t="s">
        <v>216</v>
      </c>
      <c r="K25" s="80" t="s">
        <v>66</v>
      </c>
      <c r="L25" s="80"/>
      <c r="M25" s="105" t="str">
        <f>IFERROR(VLOOKUP(G25,Reference!$I$2:$J$175,2,FALSE()),"Operations")</f>
        <v>Operations</v>
      </c>
      <c r="N25" s="6"/>
      <c r="O25" s="6"/>
    </row>
    <row r="26" spans="1:15" ht="15" customHeight="1" x14ac:dyDescent="0.25">
      <c r="A26" s="77" t="s">
        <v>220</v>
      </c>
      <c r="B26" s="111">
        <v>46065</v>
      </c>
      <c r="C26" s="111">
        <v>41095</v>
      </c>
      <c r="D26" s="77" t="str">
        <f t="shared" si="1"/>
        <v>13 years 7 months</v>
      </c>
      <c r="E26" s="77" t="s">
        <v>179</v>
      </c>
      <c r="F26" s="77" t="s">
        <v>180</v>
      </c>
      <c r="G26" s="77" t="s">
        <v>196</v>
      </c>
      <c r="H26" s="77" t="s">
        <v>75</v>
      </c>
      <c r="I26" s="77" t="s">
        <v>221</v>
      </c>
      <c r="J26" s="77" t="s">
        <v>110</v>
      </c>
      <c r="K26" s="77" t="s">
        <v>66</v>
      </c>
      <c r="L26" s="77"/>
      <c r="M26" s="102" t="str">
        <f>IFERROR(VLOOKUP(G26,Reference!$I$2:$J$175,2,FALSE()),"Operations")</f>
        <v>Operations</v>
      </c>
      <c r="N26" s="6"/>
      <c r="O26" s="6"/>
    </row>
    <row r="27" spans="1:15" ht="15" customHeight="1" x14ac:dyDescent="0.25">
      <c r="A27" s="80" t="s">
        <v>222</v>
      </c>
      <c r="B27" s="112">
        <v>46069</v>
      </c>
      <c r="C27" s="112">
        <v>45600</v>
      </c>
      <c r="D27" s="80" t="str">
        <f t="shared" si="1"/>
        <v>1 year 3 months</v>
      </c>
      <c r="E27" s="80" t="s">
        <v>179</v>
      </c>
      <c r="F27" s="80" t="s">
        <v>191</v>
      </c>
      <c r="G27" s="80" t="s">
        <v>223</v>
      </c>
      <c r="H27" s="80" t="s">
        <v>53</v>
      </c>
      <c r="I27" s="80" t="s">
        <v>221</v>
      </c>
      <c r="J27" s="80" t="s">
        <v>110</v>
      </c>
      <c r="K27" s="80" t="s">
        <v>66</v>
      </c>
      <c r="L27" s="80"/>
      <c r="M27" s="105" t="str">
        <f>IFERROR(VLOOKUP(G27,Reference!$I$2:$J$175,2,FALSE()),"Operations")</f>
        <v>Operations</v>
      </c>
      <c r="N27" s="6"/>
      <c r="O27" s="6"/>
    </row>
    <row r="28" spans="1:15" ht="15" customHeight="1" x14ac:dyDescent="0.25">
      <c r="A28" s="77" t="s">
        <v>209</v>
      </c>
      <c r="B28" s="111">
        <v>46079</v>
      </c>
      <c r="C28" s="111">
        <v>45152</v>
      </c>
      <c r="D28" s="77" t="str">
        <f t="shared" si="1"/>
        <v>2 years 6 months</v>
      </c>
      <c r="E28" s="77" t="s">
        <v>179</v>
      </c>
      <c r="F28" s="77" t="s">
        <v>191</v>
      </c>
      <c r="G28" s="77" t="s">
        <v>223</v>
      </c>
      <c r="H28" s="77" t="s">
        <v>53</v>
      </c>
      <c r="I28" s="77" t="s">
        <v>221</v>
      </c>
      <c r="J28" s="77" t="s">
        <v>110</v>
      </c>
      <c r="K28" s="77" t="s">
        <v>68</v>
      </c>
      <c r="L28" s="77"/>
      <c r="M28" s="102" t="str">
        <f>IFERROR(VLOOKUP(G28,Reference!$I$2:$J$175,2,FALSE()),"Operations")</f>
        <v>Operations</v>
      </c>
      <c r="N28" s="6"/>
      <c r="O28" s="6"/>
    </row>
    <row r="29" spans="1:15" ht="15" customHeight="1" x14ac:dyDescent="0.25">
      <c r="A29" s="80" t="s">
        <v>224</v>
      </c>
      <c r="B29" s="112">
        <v>46080</v>
      </c>
      <c r="C29" s="112">
        <v>44711</v>
      </c>
      <c r="D29" s="80" t="str">
        <f t="shared" si="1"/>
        <v>3 years 8 months</v>
      </c>
      <c r="E29" s="80" t="s">
        <v>184</v>
      </c>
      <c r="F29" s="80" t="s">
        <v>191</v>
      </c>
      <c r="G29" s="80" t="s">
        <v>87</v>
      </c>
      <c r="H29" s="80" t="s">
        <v>53</v>
      </c>
      <c r="I29" s="80" t="s">
        <v>225</v>
      </c>
      <c r="J29" s="80" t="s">
        <v>110</v>
      </c>
      <c r="K29" s="80" t="s">
        <v>226</v>
      </c>
      <c r="L29" s="80"/>
      <c r="M29" s="105" t="str">
        <f>IFERROR(VLOOKUP(G29,Reference!$I$2:$J$175,2,FALSE()),"Operations")</f>
        <v>Finance</v>
      </c>
      <c r="N29" s="6"/>
      <c r="O29" s="6"/>
    </row>
    <row r="30" spans="1:15" ht="15" customHeight="1" x14ac:dyDescent="0.25">
      <c r="A30" s="77" t="s">
        <v>227</v>
      </c>
      <c r="B30" s="111">
        <v>46079</v>
      </c>
      <c r="C30" s="111">
        <v>45761</v>
      </c>
      <c r="D30" s="77" t="str">
        <f t="shared" si="1"/>
        <v>10 months</v>
      </c>
      <c r="E30" s="77" t="s">
        <v>179</v>
      </c>
      <c r="F30" s="77" t="s">
        <v>180</v>
      </c>
      <c r="G30" s="77" t="s">
        <v>87</v>
      </c>
      <c r="H30" s="77" t="s">
        <v>64</v>
      </c>
      <c r="I30" s="77" t="s">
        <v>228</v>
      </c>
      <c r="J30" s="77" t="s">
        <v>110</v>
      </c>
      <c r="K30" s="77" t="s">
        <v>229</v>
      </c>
      <c r="L30" s="77"/>
      <c r="M30" s="102" t="str">
        <f>IFERROR(VLOOKUP(G30,Reference!$I$2:$J$175,2,FALSE()),"Operations")</f>
        <v>Finance</v>
      </c>
      <c r="N30" s="6"/>
      <c r="O30" s="6"/>
    </row>
    <row r="31" spans="1:15" ht="15" customHeight="1" x14ac:dyDescent="0.25">
      <c r="A31" s="80" t="s">
        <v>230</v>
      </c>
      <c r="B31" s="112">
        <v>46080</v>
      </c>
      <c r="C31" s="112">
        <v>46062</v>
      </c>
      <c r="D31" s="80" t="str">
        <f t="shared" si="1"/>
        <v>18 days</v>
      </c>
      <c r="E31" s="80" t="s">
        <v>179</v>
      </c>
      <c r="F31" s="80" t="s">
        <v>180</v>
      </c>
      <c r="G31" s="80" t="s">
        <v>185</v>
      </c>
      <c r="H31" s="80" t="s">
        <v>64</v>
      </c>
      <c r="I31" s="80" t="s">
        <v>186</v>
      </c>
      <c r="J31" s="80" t="s">
        <v>110</v>
      </c>
      <c r="K31" s="80" t="s">
        <v>231</v>
      </c>
      <c r="L31" s="80"/>
      <c r="M31" s="105" t="str">
        <f>IFERROR(VLOOKUP(G31,Reference!$I$2:$J$175,2,FALSE()),"Operations")</f>
        <v>QA</v>
      </c>
      <c r="N31" s="6"/>
      <c r="O31" s="6"/>
    </row>
    <row r="32" spans="1:15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  <c r="N32" s="6"/>
      <c r="O32" s="6"/>
    </row>
    <row r="33" spans="1:15" ht="15" customHeight="1" x14ac:dyDescent="0.25">
      <c r="A33" s="106" t="s">
        <v>163</v>
      </c>
      <c r="B33" s="107">
        <f>COUNTA(A22:A32)</f>
        <v>10</v>
      </c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6"/>
      <c r="O33" s="6"/>
    </row>
    <row r="34" spans="1:15" ht="6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21.75" customHeight="1" x14ac:dyDescent="0.25">
      <c r="A35" s="163" t="s">
        <v>232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6"/>
      <c r="O35" s="6"/>
    </row>
    <row r="36" spans="1:15" ht="19.5" customHeight="1" x14ac:dyDescent="0.25">
      <c r="A36" s="113" t="s">
        <v>151</v>
      </c>
      <c r="B36" s="114" t="s">
        <v>152</v>
      </c>
      <c r="C36" s="114" t="s">
        <v>153</v>
      </c>
      <c r="D36" s="114" t="s">
        <v>154</v>
      </c>
      <c r="E36" s="114" t="s">
        <v>155</v>
      </c>
      <c r="F36" s="114" t="s">
        <v>156</v>
      </c>
      <c r="G36" s="114" t="s">
        <v>157</v>
      </c>
      <c r="H36" s="114" t="s">
        <v>158</v>
      </c>
      <c r="I36" s="114" t="s">
        <v>159</v>
      </c>
      <c r="J36" s="114" t="s">
        <v>160</v>
      </c>
      <c r="K36" s="114" t="s">
        <v>134</v>
      </c>
      <c r="L36" s="114" t="s">
        <v>161</v>
      </c>
      <c r="M36" s="115" t="s">
        <v>162</v>
      </c>
      <c r="N36" s="6"/>
      <c r="O36" s="6"/>
    </row>
    <row r="37" spans="1:15" ht="15" customHeight="1" x14ac:dyDescent="0.25">
      <c r="A37" s="116" t="s">
        <v>233</v>
      </c>
      <c r="B37" s="112">
        <v>46083</v>
      </c>
      <c r="C37" s="112">
        <v>45252</v>
      </c>
      <c r="D37" s="80" t="str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>2 years 3 months</v>
      </c>
      <c r="E37" s="80" t="s">
        <v>179</v>
      </c>
      <c r="F37" s="80" t="s">
        <v>191</v>
      </c>
      <c r="G37" s="80" t="s">
        <v>234</v>
      </c>
      <c r="H37" s="80" t="s">
        <v>53</v>
      </c>
      <c r="I37" s="80" t="s">
        <v>235</v>
      </c>
      <c r="J37" s="80" t="s">
        <v>216</v>
      </c>
      <c r="K37" s="80" t="s">
        <v>66</v>
      </c>
      <c r="L37" s="80" t="s">
        <v>236</v>
      </c>
      <c r="M37" s="117" t="str">
        <f>IFERROR(VLOOKUP(G37,Reference!$I$2:$J$175,2,FALSE()),"Operations")</f>
        <v>Operations</v>
      </c>
      <c r="N37" s="6"/>
      <c r="O37" s="6"/>
    </row>
    <row r="38" spans="1:15" ht="15" customHeight="1" x14ac:dyDescent="0.25">
      <c r="A38" s="118" t="s">
        <v>237</v>
      </c>
      <c r="B38" s="111">
        <v>46083</v>
      </c>
      <c r="C38" s="111">
        <v>38933</v>
      </c>
      <c r="D38" s="77" t="str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>19 years 6 months</v>
      </c>
      <c r="E38" s="77" t="s">
        <v>179</v>
      </c>
      <c r="F38" s="77" t="s">
        <v>191</v>
      </c>
      <c r="G38" s="77" t="s">
        <v>234</v>
      </c>
      <c r="H38" s="77" t="s">
        <v>53</v>
      </c>
      <c r="I38" s="77" t="s">
        <v>235</v>
      </c>
      <c r="J38" s="77" t="s">
        <v>216</v>
      </c>
      <c r="K38" s="77" t="s">
        <v>66</v>
      </c>
      <c r="L38" s="77" t="s">
        <v>236</v>
      </c>
      <c r="M38" s="119" t="str">
        <f>IFERROR(VLOOKUP(G38,Reference!$I$2:$J$175,2,FALSE()),"Operations")</f>
        <v>Operations</v>
      </c>
      <c r="N38" s="6"/>
      <c r="O38" s="6"/>
    </row>
    <row r="39" spans="1:15" ht="15" customHeight="1" x14ac:dyDescent="0.25">
      <c r="A39" s="116" t="s">
        <v>238</v>
      </c>
      <c r="B39" s="112">
        <v>46083</v>
      </c>
      <c r="C39" s="112">
        <v>45943</v>
      </c>
      <c r="D39" s="80" t="str">
        <f>IF(OR(B39="",C39=""),"",IF(DATEDIF(C39,B39,"y")&gt;=1,DATEDIF(C39,B39,"y")&amp;IF(DATEDIF(C39,B39,"y")=1," year "," years ")&amp;DATEDIF(C39,B39,"ym")&amp;IF(DATEDIF(C39,B39,"ym")=1," month"," months"),IF(DATEDIF(C39,B39,"m")&gt;=1,DATEDIF(C39,B39,"m")&amp;IF(DATEDIF(C39,B39,"m")=1," month"," months"),DATEDIF(C39,B39,"d")&amp;IF(DATEDIF(C39,B39,"d")=1," day"," days"))))</f>
        <v>4 months</v>
      </c>
      <c r="E39" s="80" t="s">
        <v>179</v>
      </c>
      <c r="F39" s="80" t="s">
        <v>191</v>
      </c>
      <c r="G39" s="80" t="s">
        <v>234</v>
      </c>
      <c r="H39" s="80" t="s">
        <v>53</v>
      </c>
      <c r="I39" s="80" t="s">
        <v>235</v>
      </c>
      <c r="J39" s="80" t="s">
        <v>216</v>
      </c>
      <c r="K39" s="80" t="s">
        <v>66</v>
      </c>
      <c r="L39" s="80" t="s">
        <v>236</v>
      </c>
      <c r="M39" s="117" t="str">
        <f>IFERROR(VLOOKUP(G39,Reference!$I$2:$J$175,2,FALSE()),"Operations")</f>
        <v>Operations</v>
      </c>
      <c r="N39" s="6"/>
      <c r="O39" s="6"/>
    </row>
    <row r="40" spans="1:15" ht="15" customHeight="1" x14ac:dyDescent="0.25">
      <c r="A40" s="118" t="s">
        <v>235</v>
      </c>
      <c r="B40" s="111">
        <v>46084</v>
      </c>
      <c r="C40" s="111">
        <v>40715</v>
      </c>
      <c r="D40" s="77" t="str">
        <f>IF(OR(B40="",C40=""),"",IF(DATEDIF(C40,B40,"y")&gt;=1,DATEDIF(C40,B40,"y")&amp;IF(DATEDIF(C40,B40,"y")=1," year "," years ")&amp;DATEDIF(C40,B40,"ym")&amp;IF(DATEDIF(C40,B40,"ym")=1," month"," months"),IF(DATEDIF(C40,B40,"m")&gt;=1,DATEDIF(C40,B40,"m")&amp;IF(DATEDIF(C40,B40,"m")=1," month"," months"),DATEDIF(C40,B40,"d")&amp;IF(DATEDIF(C40,B40,"d")=1," day"," days"))))</f>
        <v>14 years 8 months</v>
      </c>
      <c r="E40" s="77" t="s">
        <v>184</v>
      </c>
      <c r="F40" s="77" t="s">
        <v>191</v>
      </c>
      <c r="G40" s="77" t="s">
        <v>234</v>
      </c>
      <c r="H40" s="77" t="s">
        <v>53</v>
      </c>
      <c r="I40" s="77" t="s">
        <v>239</v>
      </c>
      <c r="J40" s="77" t="s">
        <v>216</v>
      </c>
      <c r="K40" s="77" t="s">
        <v>68</v>
      </c>
      <c r="L40" s="77" t="s">
        <v>236</v>
      </c>
      <c r="M40" s="119" t="str">
        <f>IFERROR(VLOOKUP(G40,Reference!$I$2:$J$175,2,FALSE()),"Operations")</f>
        <v>Operations</v>
      </c>
      <c r="N40" s="6"/>
      <c r="O40" s="6"/>
    </row>
    <row r="41" spans="1:15" ht="15" customHeight="1" x14ac:dyDescent="0.25">
      <c r="A41" s="118" t="s">
        <v>240</v>
      </c>
      <c r="B41" s="111">
        <v>46085</v>
      </c>
      <c r="C41" s="165">
        <v>46076</v>
      </c>
      <c r="D41" s="77" t="str">
        <f>IF(OR(B41="",C41=""),"",IF(DATEDIF(C41,B41,"y")&gt;=1,DATEDIF(C41,B41,"y")&amp;IF(DATEDIF(C41,B41,"y")=1," year "," years ")&amp;DATEDIF(C41,B41,"ym")&amp;IF(DATEDIF(C41,B41,"ym")=1," month"," months"),IF(DATEDIF(C41,B41,"m")&gt;=1,DATEDIF(C41,B41,"m")&amp;IF(DATEDIF(C41,B41,"m")=1," month"," months"),DATEDIF(C41,B41,"d")&amp;IF(DATEDIF(C41,B41,"d")=1," day"," days"))))</f>
        <v>9 days</v>
      </c>
      <c r="E41" s="77" t="s">
        <v>179</v>
      </c>
      <c r="F41" s="77" t="s">
        <v>191</v>
      </c>
      <c r="G41" s="77" t="s">
        <v>241</v>
      </c>
      <c r="H41" s="77" t="s">
        <v>242</v>
      </c>
      <c r="I41" s="77" t="s">
        <v>243</v>
      </c>
      <c r="J41" s="77" t="s">
        <v>216</v>
      </c>
      <c r="K41" s="77" t="s">
        <v>66</v>
      </c>
      <c r="L41" s="77"/>
      <c r="M41" s="119" t="str">
        <f>IFERROR(VLOOKUP(G41,Reference!$I$2:$J$175,2,FALSE()),"Operations")</f>
        <v>Operations</v>
      </c>
      <c r="N41" s="6"/>
      <c r="O41" s="6"/>
    </row>
    <row r="42" spans="1:15" ht="15" customHeight="1" x14ac:dyDescent="0.25">
      <c r="A42" s="116" t="s">
        <v>244</v>
      </c>
      <c r="B42" s="112">
        <v>46085</v>
      </c>
      <c r="C42" s="112">
        <v>45463</v>
      </c>
      <c r="D42" s="80" t="str">
        <f t="shared" ref="D42:D47" si="2">IF(OR(B42="",C42=""),"",IF(DATEDIF(C42,B42,"y")&gt;=1,DATEDIF(C42,B42,"y")&amp;IF(DATEDIF(C42,B42,"y")=1," year "," years ")&amp;DATEDIF(C42,B42,"ym")&amp;IF(DATEDIF(C42,B42,"ym")=1," month"," months"),IF(DATEDIF(C42,B42,"m")&gt;=1,DATEDIF(C42,B42,"m")&amp;IF(DATEDIF(C42,B42,"m")=1," month"," months"),DATEDIF(C42,B42,"d")&amp;IF(DATEDIF(C42,B42,"d")=1," day"," days"))))</f>
        <v>1 year 8 months</v>
      </c>
      <c r="E42" s="80" t="s">
        <v>184</v>
      </c>
      <c r="F42" s="80" t="s">
        <v>191</v>
      </c>
      <c r="G42" s="80" t="s">
        <v>234</v>
      </c>
      <c r="H42" s="80" t="s">
        <v>53</v>
      </c>
      <c r="I42" s="80" t="s">
        <v>235</v>
      </c>
      <c r="J42" s="80" t="s">
        <v>216</v>
      </c>
      <c r="K42" s="80" t="s">
        <v>66</v>
      </c>
      <c r="L42" s="80" t="s">
        <v>236</v>
      </c>
      <c r="M42" s="117" t="str">
        <f>IFERROR(VLOOKUP(G42,Reference!$I$2:$J$175,2,FALSE()),"Operations")</f>
        <v>Operations</v>
      </c>
      <c r="N42" s="6"/>
      <c r="O42" s="6"/>
    </row>
    <row r="43" spans="1:15" ht="15" customHeight="1" x14ac:dyDescent="0.25">
      <c r="A43" s="116" t="s">
        <v>245</v>
      </c>
      <c r="B43" s="112">
        <v>46086</v>
      </c>
      <c r="C43" s="112">
        <v>45705</v>
      </c>
      <c r="D43" s="80" t="str">
        <f t="shared" si="2"/>
        <v>1 year 0 months</v>
      </c>
      <c r="E43" s="80" t="s">
        <v>184</v>
      </c>
      <c r="F43" s="80" t="s">
        <v>191</v>
      </c>
      <c r="G43" s="80" t="s">
        <v>246</v>
      </c>
      <c r="H43" s="80" t="s">
        <v>53</v>
      </c>
      <c r="I43" s="80" t="s">
        <v>197</v>
      </c>
      <c r="J43" s="80" t="s">
        <v>216</v>
      </c>
      <c r="K43" s="80" t="s">
        <v>66</v>
      </c>
      <c r="L43" s="80"/>
      <c r="M43" s="117" t="str">
        <f>IFERROR(VLOOKUP(G43,Reference!$I$2:$J$175,2,FALSE()),"Operations")</f>
        <v>Operations</v>
      </c>
      <c r="N43" s="6"/>
      <c r="O43" s="6"/>
    </row>
    <row r="44" spans="1:15" ht="15" customHeight="1" x14ac:dyDescent="0.25">
      <c r="A44" s="118" t="s">
        <v>247</v>
      </c>
      <c r="B44" s="111">
        <v>46092</v>
      </c>
      <c r="C44" s="111">
        <v>45875</v>
      </c>
      <c r="D44" s="77" t="str">
        <f t="shared" si="2"/>
        <v>7 months</v>
      </c>
      <c r="E44" s="77" t="s">
        <v>184</v>
      </c>
      <c r="F44" s="77" t="s">
        <v>180</v>
      </c>
      <c r="G44" s="77" t="s">
        <v>248</v>
      </c>
      <c r="H44" s="77" t="s">
        <v>53</v>
      </c>
      <c r="I44" s="166" t="s">
        <v>300</v>
      </c>
      <c r="J44" s="77" t="s">
        <v>216</v>
      </c>
      <c r="K44" s="77" t="s">
        <v>66</v>
      </c>
      <c r="L44" s="77"/>
      <c r="M44" s="119" t="str">
        <f>IFERROR(VLOOKUP(G44,Reference!$I$2:$J$175,2,FALSE()),"Operations")</f>
        <v>Operations</v>
      </c>
      <c r="N44" s="6"/>
      <c r="O44" s="6"/>
    </row>
    <row r="45" spans="1:15" ht="15" customHeight="1" x14ac:dyDescent="0.25">
      <c r="A45" s="116" t="s">
        <v>249</v>
      </c>
      <c r="B45" s="112">
        <v>46097</v>
      </c>
      <c r="C45" s="112">
        <v>45621</v>
      </c>
      <c r="D45" s="80" t="str">
        <f t="shared" si="2"/>
        <v>1 year 3 months</v>
      </c>
      <c r="E45" s="80" t="s">
        <v>184</v>
      </c>
      <c r="F45" s="80" t="s">
        <v>191</v>
      </c>
      <c r="G45" s="80" t="s">
        <v>250</v>
      </c>
      <c r="H45" s="166" t="s">
        <v>53</v>
      </c>
      <c r="I45" s="80" t="s">
        <v>251</v>
      </c>
      <c r="J45" s="80" t="s">
        <v>216</v>
      </c>
      <c r="K45" s="80" t="s">
        <v>66</v>
      </c>
      <c r="L45" s="80"/>
      <c r="M45" s="117" t="str">
        <f>IFERROR(VLOOKUP(G45,Reference!$I$2:$J$175,2,FALSE()),"Operations")</f>
        <v>Operations</v>
      </c>
      <c r="N45" s="6"/>
      <c r="O45" s="6"/>
    </row>
    <row r="46" spans="1:15" ht="15" customHeight="1" x14ac:dyDescent="0.25">
      <c r="A46" s="120" t="s">
        <v>252</v>
      </c>
      <c r="B46" s="121">
        <v>46110</v>
      </c>
      <c r="C46" s="121">
        <v>45839</v>
      </c>
      <c r="D46" s="122" t="str">
        <f t="shared" si="2"/>
        <v>8 months</v>
      </c>
      <c r="E46" s="167" t="s">
        <v>184</v>
      </c>
      <c r="F46" s="122" t="s">
        <v>191</v>
      </c>
      <c r="G46" s="122" t="s">
        <v>253</v>
      </c>
      <c r="H46" s="122" t="s">
        <v>53</v>
      </c>
      <c r="I46" s="122" t="s">
        <v>254</v>
      </c>
      <c r="J46" s="122" t="s">
        <v>216</v>
      </c>
      <c r="K46" s="122" t="s">
        <v>66</v>
      </c>
      <c r="L46" s="122"/>
      <c r="M46" s="123" t="str">
        <f>IFERROR(VLOOKUP(G46,Reference!$I$2:$J$175,2,FALSE()),"Operations")</f>
        <v>Operations</v>
      </c>
      <c r="N46" s="6"/>
      <c r="O46" s="6"/>
    </row>
    <row r="47" spans="1:15" ht="15" customHeight="1" x14ac:dyDescent="0.25">
      <c r="A47" s="124" t="s">
        <v>255</v>
      </c>
      <c r="B47" s="125">
        <v>46112</v>
      </c>
      <c r="C47" s="126">
        <v>46084</v>
      </c>
      <c r="D47" s="127" t="str">
        <f t="shared" si="2"/>
        <v>28 days</v>
      </c>
      <c r="E47" s="127" t="s">
        <v>179</v>
      </c>
      <c r="F47" s="127" t="s">
        <v>180</v>
      </c>
      <c r="G47" s="127" t="s">
        <v>983</v>
      </c>
      <c r="H47" s="127" t="s">
        <v>53</v>
      </c>
      <c r="I47" s="127" t="s">
        <v>1053</v>
      </c>
      <c r="J47" s="128" t="s">
        <v>110</v>
      </c>
      <c r="K47" s="127" t="s">
        <v>66</v>
      </c>
      <c r="L47" s="127"/>
      <c r="M47" s="129" t="str">
        <f>IFERROR(VLOOKUP(G47,Reference!$I$2:$J$175,2,FALSE()),"Operations")</f>
        <v>Operations</v>
      </c>
      <c r="N47" s="6"/>
      <c r="O47" s="6"/>
    </row>
    <row r="48" spans="1:15" ht="15" customHeight="1" x14ac:dyDescent="0.25">
      <c r="A48" s="130" t="s">
        <v>256</v>
      </c>
      <c r="B48" s="131"/>
      <c r="C48" s="131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  <c r="N48" s="6"/>
      <c r="O48" s="6"/>
    </row>
    <row r="49" spans="1:15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  <c r="N49" s="6"/>
      <c r="O49" s="6"/>
    </row>
    <row r="50" spans="1:15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  <c r="N50" s="6"/>
      <c r="O50" s="6"/>
    </row>
    <row r="51" spans="1:15" ht="15" customHeight="1" x14ac:dyDescent="0.25">
      <c r="A51" s="106" t="s">
        <v>163</v>
      </c>
      <c r="B51" s="107">
        <f>COUNTA(A37:A47)</f>
      </c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6"/>
      <c r="O51" s="6"/>
    </row>
    <row r="52" spans="1:15" ht="6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t="21.75" customHeight="1" x14ac:dyDescent="0.25">
      <c r="A53" s="163" t="s">
        <v>257</v>
      </c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6"/>
      <c r="O53" s="6">
        <v>7</v>
      </c>
    </row>
    <row r="54" spans="1:15" ht="19.5" customHeight="1" x14ac:dyDescent="0.25">
      <c r="A54" s="64" t="s">
        <v>151</v>
      </c>
      <c r="B54" s="64" t="s">
        <v>152</v>
      </c>
      <c r="C54" s="64" t="s">
        <v>153</v>
      </c>
      <c r="D54" s="64" t="s">
        <v>154</v>
      </c>
      <c r="E54" s="64" t="s">
        <v>155</v>
      </c>
      <c r="F54" s="64" t="s">
        <v>156</v>
      </c>
      <c r="G54" s="64" t="s">
        <v>157</v>
      </c>
      <c r="H54" s="64" t="s">
        <v>158</v>
      </c>
      <c r="I54" s="64" t="s">
        <v>159</v>
      </c>
      <c r="J54" s="64" t="s">
        <v>160</v>
      </c>
      <c r="K54" s="64" t="s">
        <v>134</v>
      </c>
      <c r="L54" s="64" t="s">
        <v>161</v>
      </c>
      <c r="M54" s="64" t="s">
        <v>162</v>
      </c>
      <c r="N54" s="6"/>
      <c r="O54" s="6"/>
    </row>
    <row r="55" spans="1:15" ht="15" customHeight="1" x14ac:dyDescent="0.25">
      <c r="A55" s="77" t="s">
        <v>258</v>
      </c>
      <c r="B55" s="111">
        <v>46128</v>
      </c>
      <c r="C55" s="111">
        <v>46029</v>
      </c>
      <c r="D55" s="77" t="str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>3 months</v>
      </c>
      <c r="E55" s="77" t="s">
        <v>184</v>
      </c>
      <c r="F55" s="77" t="s">
        <v>180</v>
      </c>
      <c r="G55" s="77" t="s">
        <v>259</v>
      </c>
      <c r="H55" s="77" t="s">
        <v>53</v>
      </c>
      <c r="I55" s="77" t="s">
        <v>260</v>
      </c>
      <c r="J55" s="77" t="s">
        <v>216</v>
      </c>
      <c r="K55" s="77" t="s">
        <v>70</v>
      </c>
      <c r="L55" s="77"/>
      <c r="M55" s="102" t="str">
        <f>IFERROR(VLOOKUP(G55,Reference!$I$2:$J$175,2,FALSE()),"Operations")</f>
        <v>Behavioral Health</v>
      </c>
      <c r="N55" s="6"/>
      <c r="O55" s="6"/>
    </row>
    <row r="56" spans="1:15" ht="15" customHeight="1" x14ac:dyDescent="0.25">
      <c r="A56" s="80" t="s">
        <v>261</v>
      </c>
      <c r="B56" s="112">
        <v>46124</v>
      </c>
      <c r="C56" s="112">
        <v>42971</v>
      </c>
      <c r="D56" s="80" t="str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>8 years 7 months</v>
      </c>
      <c r="E56" s="80" t="s">
        <v>184</v>
      </c>
      <c r="F56" s="80" t="s">
        <v>180</v>
      </c>
      <c r="G56" s="80" t="s">
        <v>259</v>
      </c>
      <c r="H56" s="80" t="s">
        <v>53</v>
      </c>
      <c r="I56" s="80" t="s">
        <v>260</v>
      </c>
      <c r="J56" s="80" t="s">
        <v>216</v>
      </c>
      <c r="K56" s="80" t="s">
        <v>70</v>
      </c>
      <c r="L56" s="80"/>
      <c r="M56" s="105" t="str">
        <f>IFERROR(VLOOKUP(G56,Reference!$I$2:$J$175,2,FALSE()),"Operations")</f>
        <v>Behavioral Health</v>
      </c>
      <c r="N56" s="6"/>
      <c r="O56" s="6"/>
    </row>
    <row r="57" spans="1:15" ht="15" customHeight="1" x14ac:dyDescent="0.25">
      <c r="A57" s="132" t="s">
        <v>262</v>
      </c>
      <c r="B57" s="133">
        <v>46121</v>
      </c>
      <c r="C57" s="133">
        <v>45813</v>
      </c>
      <c r="D57" s="134" t="str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>10 months</v>
      </c>
      <c r="E57" s="134"/>
      <c r="F57" s="134"/>
      <c r="G57" s="134"/>
      <c r="H57" s="134"/>
      <c r="I57" s="134"/>
      <c r="J57" s="135"/>
      <c r="K57" s="134" t="s">
        <v>83</v>
      </c>
      <c r="L57" s="134"/>
      <c r="M57" s="136" t="str">
        <f>IFERROR(VLOOKUP(G57,Reference!$I$2:$J$175,2,FALSE()),"Operations")</f>
        <v>Operations</v>
      </c>
      <c r="N57" s="6"/>
      <c r="O57" s="6"/>
    </row>
    <row r="58" spans="1:15" ht="15" customHeight="1" x14ac:dyDescent="0.25">
      <c r="A58" s="80" t="s">
        <v>263</v>
      </c>
      <c r="B58" s="80"/>
      <c r="C58" s="168">
        <v>46062</v>
      </c>
      <c r="D58" s="103"/>
      <c r="E58" s="103"/>
      <c r="F58" s="103"/>
      <c r="G58" s="103"/>
      <c r="H58" s="103"/>
      <c r="I58" s="103"/>
      <c r="J58" s="104"/>
      <c r="K58" s="103" t="s">
        <v>66</v>
      </c>
      <c r="L58" s="103"/>
      <c r="M58" s="105" t="str">
        <f>IFERROR(VLOOKUP(G58,Reference!$I$2:$J$175,2,FALSE()),"Operations")</f>
        <v>Operations</v>
      </c>
      <c r="N58" s="6"/>
      <c r="O58" s="6"/>
    </row>
    <row r="59" spans="1:15" ht="15" customHeight="1" x14ac:dyDescent="0.25">
      <c r="A59" s="132" t="s">
        <v>264</v>
      </c>
      <c r="B59" s="132"/>
      <c r="C59" s="169">
        <v>45720</v>
      </c>
      <c r="D59" s="134"/>
      <c r="E59" s="134"/>
      <c r="F59" s="134"/>
      <c r="G59" s="134"/>
      <c r="H59" s="134"/>
      <c r="I59" s="134"/>
      <c r="J59" s="135"/>
      <c r="K59" s="134" t="s">
        <v>66</v>
      </c>
      <c r="L59" s="134"/>
      <c r="M59" s="136" t="str">
        <f>IFERROR(VLOOKUP(G59,Reference!$I$2:$J$175,2,FALSE()),"Operations")</f>
        <v>Operations</v>
      </c>
      <c r="N59" s="6"/>
      <c r="O59" s="6"/>
    </row>
    <row r="60" spans="1:15" ht="15" customHeight="1" x14ac:dyDescent="0.25">
      <c r="A60" s="80" t="s">
        <v>265</v>
      </c>
      <c r="B60" s="80"/>
      <c r="C60" s="168">
        <v>45750</v>
      </c>
      <c r="D60" s="103"/>
      <c r="E60" s="103"/>
      <c r="F60" s="103"/>
      <c r="G60" s="103"/>
      <c r="H60" s="103"/>
      <c r="I60" s="103"/>
      <c r="J60" s="104"/>
      <c r="K60" s="103" t="s">
        <v>66</v>
      </c>
      <c r="L60" s="103"/>
      <c r="M60" s="105" t="str">
        <f>IFERROR(VLOOKUP(G60,Reference!$I$2:$J$175,2,FALSE()),"Operations")</f>
        <v>Operations</v>
      </c>
      <c r="N60" s="6"/>
      <c r="O60" s="6"/>
    </row>
    <row r="61" spans="1:15" ht="15" customHeight="1" x14ac:dyDescent="0.25">
      <c r="A61" s="132" t="s">
        <v>266</v>
      </c>
      <c r="B61" s="132"/>
      <c r="C61" s="169">
        <v>46049</v>
      </c>
      <c r="D61" s="134"/>
      <c r="E61" s="134"/>
      <c r="F61" s="134"/>
      <c r="G61" s="134"/>
      <c r="H61" s="134"/>
      <c r="I61" s="134"/>
      <c r="J61" s="135"/>
      <c r="K61" s="134" t="s">
        <v>66</v>
      </c>
      <c r="L61" s="134"/>
      <c r="M61" s="136" t="str">
        <f>IFERROR(VLOOKUP(G61,Reference!$I$2:$J$175,2,FALSE()),"Operations")</f>
        <v>Operations</v>
      </c>
      <c r="N61" s="6"/>
      <c r="O61" s="6"/>
    </row>
    <row r="62" spans="1:15" ht="15" customHeight="1" x14ac:dyDescent="0.25">
      <c r="A62" s="80"/>
      <c r="B62" s="80"/>
      <c r="C62" s="80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  <c r="N62" s="6"/>
      <c r="O62" s="6"/>
    </row>
    <row r="63" spans="1:15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  <c r="N63" s="6"/>
      <c r="O63" s="6"/>
    </row>
    <row r="64" spans="1:15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  <c r="N64" s="6"/>
      <c r="O64" s="6"/>
    </row>
    <row r="65" spans="1:15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  <c r="N65" s="6"/>
      <c r="O65" s="6"/>
    </row>
    <row r="66" spans="1:15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  <c r="N66" s="6"/>
      <c r="O66" s="6"/>
    </row>
    <row r="67" spans="1:15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  <c r="N67" s="6"/>
      <c r="O67" s="6"/>
    </row>
    <row r="68" spans="1:15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  <c r="N68" s="6"/>
      <c r="O68" s="6"/>
    </row>
    <row r="69" spans="1:15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  <c r="N69" s="6"/>
      <c r="O69" s="6"/>
    </row>
    <row r="70" spans="1:15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  <c r="N70" s="6"/>
      <c r="O70" s="6"/>
    </row>
    <row r="71" spans="1:15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  <c r="N71" s="6"/>
      <c r="O71" s="6"/>
    </row>
    <row r="72" spans="1:15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  <c r="N72" s="6"/>
      <c r="O72" s="6"/>
    </row>
    <row r="73" spans="1:15" ht="15" customHeight="1" x14ac:dyDescent="0.25">
      <c r="A73" s="100"/>
      <c r="B73" s="101"/>
      <c r="C73" s="101"/>
      <c r="D73" s="100"/>
      <c r="E73" s="100"/>
      <c r="F73" s="100"/>
      <c r="G73" s="100"/>
      <c r="H73" s="100"/>
      <c r="I73" s="100"/>
      <c r="J73" s="101"/>
      <c r="K73" s="100"/>
      <c r="L73" s="100"/>
      <c r="M73" s="102" t="str">
        <f>IFERROR(VLOOKUP(G73,Reference!$I$2:$J$175,2,FALSE()),"Operations")</f>
        <v>Operations</v>
      </c>
      <c r="N73" s="6"/>
      <c r="O73" s="6"/>
    </row>
    <row r="74" spans="1:15" ht="15" customHeight="1" x14ac:dyDescent="0.25">
      <c r="A74" s="103"/>
      <c r="B74" s="104"/>
      <c r="C74" s="104"/>
      <c r="D74" s="103"/>
      <c r="E74" s="103"/>
      <c r="F74" s="103"/>
      <c r="G74" s="103"/>
      <c r="H74" s="103"/>
      <c r="I74" s="103"/>
      <c r="J74" s="104"/>
      <c r="K74" s="103"/>
      <c r="L74" s="103"/>
      <c r="M74" s="105" t="str">
        <f>IFERROR(VLOOKUP(G74,Reference!$I$2:$J$175,2,FALSE()),"Operations")</f>
        <v>Operations</v>
      </c>
      <c r="N74" s="6"/>
      <c r="O74" s="6"/>
    </row>
    <row r="75" spans="1:15" ht="15" customHeight="1" x14ac:dyDescent="0.25">
      <c r="A75" s="100"/>
      <c r="B75" s="101"/>
      <c r="C75" s="101"/>
      <c r="D75" s="100"/>
      <c r="E75" s="100"/>
      <c r="F75" s="100"/>
      <c r="G75" s="100"/>
      <c r="H75" s="100"/>
      <c r="I75" s="100"/>
      <c r="J75" s="101"/>
      <c r="K75" s="100"/>
      <c r="L75" s="100"/>
      <c r="M75" s="102" t="str">
        <f>IFERROR(VLOOKUP(G75,Reference!$I$2:$J$175,2,FALSE()),"Operations")</f>
        <v>Operations</v>
      </c>
      <c r="N75" s="6"/>
      <c r="O75" s="6"/>
    </row>
    <row r="76" spans="1:15" ht="15" customHeight="1" x14ac:dyDescent="0.25">
      <c r="A76" s="103"/>
      <c r="B76" s="104"/>
      <c r="C76" s="104"/>
      <c r="D76" s="103"/>
      <c r="E76" s="103"/>
      <c r="F76" s="103"/>
      <c r="G76" s="103"/>
      <c r="H76" s="103"/>
      <c r="I76" s="103"/>
      <c r="J76" s="104"/>
      <c r="K76" s="103"/>
      <c r="L76" s="103"/>
      <c r="M76" s="105" t="str">
        <f>IFERROR(VLOOKUP(G76,Reference!$I$2:$J$175,2,FALSE()),"Operations")</f>
        <v>Operations</v>
      </c>
      <c r="N76" s="6"/>
      <c r="O76" s="6"/>
    </row>
    <row r="77" spans="1:15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  <c r="N77" s="6"/>
      <c r="O77" s="6"/>
    </row>
    <row r="78" spans="1:15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  <c r="N78" s="6"/>
      <c r="O78" s="6"/>
    </row>
    <row r="79" spans="1:15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  <c r="N79" s="6"/>
      <c r="O79" s="6"/>
    </row>
    <row r="80" spans="1:15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  <c r="N80" s="6"/>
      <c r="O80" s="6"/>
    </row>
    <row r="81" spans="1:15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  <c r="N81" s="6"/>
      <c r="O81" s="6"/>
    </row>
    <row r="82" spans="1:15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  <c r="N82" s="6"/>
      <c r="O82" s="6"/>
    </row>
    <row r="83" spans="1:15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  <c r="N83" s="6"/>
      <c r="O83" s="6"/>
    </row>
    <row r="84" spans="1:15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  <c r="N84" s="6"/>
      <c r="O84" s="6"/>
    </row>
    <row r="85" spans="1:15" ht="15" customHeight="1" x14ac:dyDescent="0.25">
      <c r="A85" s="106" t="s">
        <v>163</v>
      </c>
      <c r="B85" s="107">
        <f>COUNTA(A55:A84)</f>
        <v>7</v>
      </c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6"/>
      <c r="O85" s="6"/>
    </row>
    <row r="86" spans="1:15" ht="6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163" t="s">
        <v>267</v>
      </c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6"/>
      <c r="O87" s="6"/>
    </row>
    <row r="88" spans="1:15" ht="19.5" customHeight="1" x14ac:dyDescent="0.25">
      <c r="A88" s="64" t="s">
        <v>151</v>
      </c>
      <c r="B88" s="64" t="s">
        <v>152</v>
      </c>
      <c r="C88" s="64" t="s">
        <v>153</v>
      </c>
      <c r="D88" s="64" t="s">
        <v>154</v>
      </c>
      <c r="E88" s="64" t="s">
        <v>155</v>
      </c>
      <c r="F88" s="64" t="s">
        <v>156</v>
      </c>
      <c r="G88" s="64" t="s">
        <v>157</v>
      </c>
      <c r="H88" s="64" t="s">
        <v>158</v>
      </c>
      <c r="I88" s="64" t="s">
        <v>159</v>
      </c>
      <c r="J88" s="64" t="s">
        <v>160</v>
      </c>
      <c r="K88" s="64" t="s">
        <v>134</v>
      </c>
      <c r="L88" s="64" t="s">
        <v>161</v>
      </c>
      <c r="M88" s="64" t="s">
        <v>162</v>
      </c>
      <c r="N88" s="6"/>
      <c r="O88" s="6"/>
    </row>
    <row r="89" spans="1:15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  <c r="N89" s="6"/>
      <c r="O89" s="6"/>
    </row>
    <row r="90" spans="1:15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  <c r="N90" s="6"/>
      <c r="O90" s="6"/>
    </row>
    <row r="91" spans="1:15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  <c r="N91" s="6"/>
      <c r="O91" s="6"/>
    </row>
    <row r="92" spans="1:15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  <c r="N92" s="6"/>
      <c r="O92" s="6"/>
    </row>
    <row r="93" spans="1:15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  <c r="N93" s="6"/>
      <c r="O93" s="6"/>
    </row>
    <row r="94" spans="1:15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  <c r="N94" s="6"/>
      <c r="O94" s="6"/>
    </row>
    <row r="95" spans="1:15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  <c r="N95" s="6"/>
      <c r="O95" s="6"/>
    </row>
    <row r="96" spans="1:15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  <c r="N96" s="6"/>
      <c r="O96" s="6"/>
    </row>
    <row r="97" spans="1:15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  <c r="N97" s="6"/>
      <c r="O97" s="6"/>
    </row>
    <row r="98" spans="1:15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  <c r="N98" s="6"/>
      <c r="O98" s="6"/>
    </row>
    <row r="99" spans="1:15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  <c r="N99" s="6"/>
      <c r="O99" s="6"/>
    </row>
    <row r="100" spans="1:15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  <c r="N100" s="6"/>
      <c r="O100" s="6"/>
    </row>
    <row r="101" spans="1:15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  <c r="N101" s="6"/>
      <c r="O101" s="6"/>
    </row>
    <row r="102" spans="1:15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  <c r="N102" s="6"/>
      <c r="O102" s="6"/>
    </row>
    <row r="103" spans="1:15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  <c r="N103" s="6"/>
      <c r="O103" s="6"/>
    </row>
    <row r="104" spans="1:15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  <c r="N104" s="6"/>
      <c r="O104" s="6"/>
    </row>
    <row r="105" spans="1:15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  <c r="N105" s="6"/>
      <c r="O105" s="6"/>
    </row>
    <row r="106" spans="1:15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  <c r="N106" s="6"/>
      <c r="O106" s="6"/>
    </row>
    <row r="107" spans="1:15" ht="15" customHeight="1" x14ac:dyDescent="0.25">
      <c r="A107" s="100"/>
      <c r="B107" s="101"/>
      <c r="C107" s="101"/>
      <c r="D107" s="100"/>
      <c r="E107" s="100"/>
      <c r="F107" s="100"/>
      <c r="G107" s="100"/>
      <c r="H107" s="100"/>
      <c r="I107" s="100"/>
      <c r="J107" s="101"/>
      <c r="K107" s="100"/>
      <c r="L107" s="100"/>
      <c r="M107" s="102" t="str">
        <f>IFERROR(VLOOKUP(G107,Reference!$I$2:$J$175,2,FALSE()),"Operations")</f>
        <v>Operations</v>
      </c>
      <c r="N107" s="6"/>
      <c r="O107" s="6"/>
    </row>
    <row r="108" spans="1:15" ht="15" customHeight="1" x14ac:dyDescent="0.25">
      <c r="A108" s="103"/>
      <c r="B108" s="104"/>
      <c r="C108" s="104"/>
      <c r="D108" s="103"/>
      <c r="E108" s="103"/>
      <c r="F108" s="103"/>
      <c r="G108" s="103"/>
      <c r="H108" s="103"/>
      <c r="I108" s="103"/>
      <c r="J108" s="104"/>
      <c r="K108" s="103"/>
      <c r="L108" s="103"/>
      <c r="M108" s="105" t="str">
        <f>IFERROR(VLOOKUP(G108,Reference!$I$2:$J$175,2,FALSE()),"Operations")</f>
        <v>Operations</v>
      </c>
      <c r="N108" s="6"/>
      <c r="O108" s="6"/>
    </row>
    <row r="109" spans="1:15" ht="15" customHeight="1" x14ac:dyDescent="0.25">
      <c r="A109" s="100"/>
      <c r="B109" s="101"/>
      <c r="C109" s="101"/>
      <c r="D109" s="100"/>
      <c r="E109" s="100"/>
      <c r="F109" s="100"/>
      <c r="G109" s="100"/>
      <c r="H109" s="100"/>
      <c r="I109" s="100"/>
      <c r="J109" s="101"/>
      <c r="K109" s="100"/>
      <c r="L109" s="100"/>
      <c r="M109" s="102" t="str">
        <f>IFERROR(VLOOKUP(G109,Reference!$I$2:$J$175,2,FALSE()),"Operations")</f>
        <v>Operations</v>
      </c>
      <c r="N109" s="6"/>
      <c r="O109" s="6"/>
    </row>
    <row r="110" spans="1:15" ht="15" customHeight="1" x14ac:dyDescent="0.25">
      <c r="A110" s="103"/>
      <c r="B110" s="104"/>
      <c r="C110" s="104"/>
      <c r="D110" s="103"/>
      <c r="E110" s="103"/>
      <c r="F110" s="103"/>
      <c r="G110" s="103"/>
      <c r="H110" s="103"/>
      <c r="I110" s="103"/>
      <c r="J110" s="104"/>
      <c r="K110" s="103"/>
      <c r="L110" s="103"/>
      <c r="M110" s="105" t="str">
        <f>IFERROR(VLOOKUP(G110,Reference!$I$2:$J$175,2,FALSE()),"Operations")</f>
        <v>Operations</v>
      </c>
      <c r="N110" s="6"/>
      <c r="O110" s="6"/>
    </row>
    <row r="111" spans="1:15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  <c r="N111" s="6"/>
      <c r="O111" s="6"/>
    </row>
    <row r="112" spans="1:15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  <c r="N112" s="6"/>
      <c r="O112" s="6"/>
    </row>
    <row r="113" spans="1:15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  <c r="N113" s="6"/>
      <c r="O113" s="6"/>
    </row>
    <row r="114" spans="1:15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  <c r="N114" s="6"/>
      <c r="O114" s="6"/>
    </row>
    <row r="115" spans="1:15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  <c r="N115" s="6"/>
      <c r="O115" s="6"/>
    </row>
    <row r="116" spans="1:15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  <c r="N116" s="6"/>
      <c r="O116" s="6"/>
    </row>
    <row r="117" spans="1:15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  <c r="N117" s="6"/>
      <c r="O117" s="6"/>
    </row>
    <row r="118" spans="1:15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  <c r="N118" s="6"/>
      <c r="O118" s="6"/>
    </row>
    <row r="119" spans="1:15" ht="15" customHeight="1" x14ac:dyDescent="0.25">
      <c r="A119" s="106" t="s">
        <v>163</v>
      </c>
      <c r="B119" s="107">
        <f>COUNTA(A89:A118)</f>
        <v>0</v>
      </c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6"/>
      <c r="O119" s="6"/>
    </row>
    <row r="120" spans="1:15" ht="6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21.75" customHeight="1" x14ac:dyDescent="0.25">
      <c r="A121" s="163" t="s">
        <v>268</v>
      </c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6"/>
      <c r="O121" s="6"/>
    </row>
    <row r="122" spans="1:15" ht="19.5" customHeight="1" x14ac:dyDescent="0.25">
      <c r="A122" s="64" t="s">
        <v>151</v>
      </c>
      <c r="B122" s="64" t="s">
        <v>152</v>
      </c>
      <c r="C122" s="64" t="s">
        <v>153</v>
      </c>
      <c r="D122" s="64" t="s">
        <v>154</v>
      </c>
      <c r="E122" s="64" t="s">
        <v>155</v>
      </c>
      <c r="F122" s="64" t="s">
        <v>156</v>
      </c>
      <c r="G122" s="64" t="s">
        <v>157</v>
      </c>
      <c r="H122" s="64" t="s">
        <v>158</v>
      </c>
      <c r="I122" s="64" t="s">
        <v>159</v>
      </c>
      <c r="J122" s="64" t="s">
        <v>160</v>
      </c>
      <c r="K122" s="64" t="s">
        <v>134</v>
      </c>
      <c r="L122" s="64" t="s">
        <v>161</v>
      </c>
      <c r="M122" s="64" t="s">
        <v>162</v>
      </c>
      <c r="N122" s="6"/>
      <c r="O122" s="6"/>
    </row>
    <row r="123" spans="1:15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  <c r="N123" s="6"/>
      <c r="O123" s="6"/>
    </row>
    <row r="124" spans="1:15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  <c r="N124" s="6"/>
      <c r="O124" s="6"/>
    </row>
    <row r="125" spans="1:15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  <c r="N125" s="6"/>
      <c r="O125" s="6"/>
    </row>
    <row r="126" spans="1:15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  <c r="N126" s="6"/>
      <c r="O126" s="6"/>
    </row>
    <row r="127" spans="1:15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  <c r="N127" s="6"/>
      <c r="O127" s="6"/>
    </row>
    <row r="128" spans="1:15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  <c r="N128" s="6"/>
      <c r="O128" s="6"/>
    </row>
    <row r="129" spans="1:15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  <c r="N129" s="6"/>
      <c r="O129" s="6"/>
    </row>
    <row r="130" spans="1:15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  <c r="N130" s="6"/>
      <c r="O130" s="6"/>
    </row>
    <row r="131" spans="1:15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  <c r="N131" s="6"/>
      <c r="O131" s="6"/>
    </row>
    <row r="132" spans="1:15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  <c r="N132" s="6"/>
      <c r="O132" s="6"/>
    </row>
    <row r="133" spans="1:15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  <c r="N133" s="6"/>
      <c r="O133" s="6"/>
    </row>
    <row r="134" spans="1:15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  <c r="N134" s="6"/>
      <c r="O134" s="6"/>
    </row>
    <row r="135" spans="1:15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  <c r="N135" s="6"/>
      <c r="O135" s="6"/>
    </row>
    <row r="136" spans="1:15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  <c r="N136" s="6"/>
      <c r="O136" s="6"/>
    </row>
    <row r="137" spans="1:15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  <c r="N137" s="6"/>
      <c r="O137" s="6"/>
    </row>
    <row r="138" spans="1:15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  <c r="N138" s="6"/>
      <c r="O138" s="6"/>
    </row>
    <row r="139" spans="1:15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  <c r="N139" s="6"/>
      <c r="O139" s="6"/>
    </row>
    <row r="140" spans="1:15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  <c r="N140" s="6"/>
      <c r="O140" s="6"/>
    </row>
    <row r="141" spans="1:15" ht="15" customHeight="1" x14ac:dyDescent="0.25">
      <c r="A141" s="100"/>
      <c r="B141" s="101"/>
      <c r="C141" s="101"/>
      <c r="D141" s="100"/>
      <c r="E141" s="100"/>
      <c r="F141" s="100"/>
      <c r="G141" s="100"/>
      <c r="H141" s="100"/>
      <c r="I141" s="100"/>
      <c r="J141" s="101"/>
      <c r="K141" s="100"/>
      <c r="L141" s="100"/>
      <c r="M141" s="102" t="str">
        <f>IFERROR(VLOOKUP(G141,Reference!$I$2:$J$175,2,FALSE()),"Operations")</f>
        <v>Operations</v>
      </c>
      <c r="N141" s="6"/>
      <c r="O141" s="6"/>
    </row>
    <row r="142" spans="1:15" ht="15" customHeight="1" x14ac:dyDescent="0.25">
      <c r="A142" s="103"/>
      <c r="B142" s="104"/>
      <c r="C142" s="104"/>
      <c r="D142" s="103"/>
      <c r="E142" s="103"/>
      <c r="F142" s="103"/>
      <c r="G142" s="103"/>
      <c r="H142" s="103"/>
      <c r="I142" s="103"/>
      <c r="J142" s="104"/>
      <c r="K142" s="103"/>
      <c r="L142" s="103"/>
      <c r="M142" s="105" t="str">
        <f>IFERROR(VLOOKUP(G142,Reference!$I$2:$J$175,2,FALSE()),"Operations")</f>
        <v>Operations</v>
      </c>
      <c r="N142" s="6"/>
      <c r="O142" s="6"/>
    </row>
    <row r="143" spans="1:15" ht="15" customHeight="1" x14ac:dyDescent="0.25">
      <c r="A143" s="100"/>
      <c r="B143" s="101"/>
      <c r="C143" s="101"/>
      <c r="D143" s="100"/>
      <c r="E143" s="100"/>
      <c r="F143" s="100"/>
      <c r="G143" s="100"/>
      <c r="H143" s="100"/>
      <c r="I143" s="100"/>
      <c r="J143" s="101"/>
      <c r="K143" s="100"/>
      <c r="L143" s="100"/>
      <c r="M143" s="102" t="str">
        <f>IFERROR(VLOOKUP(G143,Reference!$I$2:$J$175,2,FALSE()),"Operations")</f>
        <v>Operations</v>
      </c>
      <c r="N143" s="6"/>
      <c r="O143" s="6"/>
    </row>
    <row r="144" spans="1:15" ht="15" customHeight="1" x14ac:dyDescent="0.25">
      <c r="A144" s="103"/>
      <c r="B144" s="104"/>
      <c r="C144" s="104"/>
      <c r="D144" s="103"/>
      <c r="E144" s="103"/>
      <c r="F144" s="103"/>
      <c r="G144" s="103"/>
      <c r="H144" s="103"/>
      <c r="I144" s="103"/>
      <c r="J144" s="104"/>
      <c r="K144" s="103"/>
      <c r="L144" s="103"/>
      <c r="M144" s="105" t="str">
        <f>IFERROR(VLOOKUP(G144,Reference!$I$2:$J$175,2,FALSE()),"Operations")</f>
        <v>Operations</v>
      </c>
      <c r="N144" s="6"/>
      <c r="O144" s="6"/>
    </row>
    <row r="145" spans="1:15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  <c r="N145" s="6"/>
      <c r="O145" s="6"/>
    </row>
    <row r="146" spans="1:15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  <c r="N146" s="6"/>
      <c r="O146" s="6"/>
    </row>
    <row r="147" spans="1:15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  <c r="N147" s="6"/>
      <c r="O147" s="6"/>
    </row>
    <row r="148" spans="1:15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  <c r="N148" s="6"/>
      <c r="O148" s="6"/>
    </row>
    <row r="149" spans="1:15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  <c r="N149" s="6"/>
      <c r="O149" s="6"/>
    </row>
    <row r="150" spans="1:15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  <c r="N150" s="6"/>
      <c r="O150" s="6"/>
    </row>
    <row r="151" spans="1:15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  <c r="N151" s="6"/>
      <c r="O151" s="6"/>
    </row>
    <row r="152" spans="1:15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  <c r="N152" s="6"/>
      <c r="O152" s="6"/>
    </row>
    <row r="153" spans="1:15" ht="15" customHeight="1" x14ac:dyDescent="0.25">
      <c r="A153" s="106" t="s">
        <v>163</v>
      </c>
      <c r="B153" s="107">
        <f>COUNTA(A123:A152)</f>
        <v>0</v>
      </c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6"/>
      <c r="O153" s="6"/>
    </row>
    <row r="154" spans="1:15" ht="6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21.75" customHeight="1" x14ac:dyDescent="0.25">
      <c r="A155" s="163" t="s">
        <v>269</v>
      </c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6"/>
      <c r="O155" s="6"/>
    </row>
    <row r="156" spans="1:15" ht="19.5" customHeight="1" x14ac:dyDescent="0.25">
      <c r="A156" s="64" t="s">
        <v>151</v>
      </c>
      <c r="B156" s="64" t="s">
        <v>152</v>
      </c>
      <c r="C156" s="64" t="s">
        <v>153</v>
      </c>
      <c r="D156" s="64" t="s">
        <v>154</v>
      </c>
      <c r="E156" s="64" t="s">
        <v>155</v>
      </c>
      <c r="F156" s="64" t="s">
        <v>156</v>
      </c>
      <c r="G156" s="64" t="s">
        <v>157</v>
      </c>
      <c r="H156" s="64" t="s">
        <v>158</v>
      </c>
      <c r="I156" s="64" t="s">
        <v>159</v>
      </c>
      <c r="J156" s="64" t="s">
        <v>160</v>
      </c>
      <c r="K156" s="64" t="s">
        <v>134</v>
      </c>
      <c r="L156" s="64" t="s">
        <v>161</v>
      </c>
      <c r="M156" s="64" t="s">
        <v>162</v>
      </c>
      <c r="N156" s="6"/>
      <c r="O156" s="6"/>
    </row>
    <row r="157" spans="1:15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  <c r="N157" s="6"/>
      <c r="O157" s="6"/>
    </row>
    <row r="158" spans="1:15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  <c r="N158" s="6"/>
      <c r="O158" s="6"/>
    </row>
    <row r="159" spans="1:15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  <c r="N159" s="6"/>
      <c r="O159" s="6"/>
    </row>
    <row r="160" spans="1:15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  <c r="N160" s="6"/>
      <c r="O160" s="6"/>
    </row>
    <row r="161" spans="1:15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  <c r="N161" s="6"/>
      <c r="O161" s="6"/>
    </row>
    <row r="162" spans="1:15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  <c r="N162" s="6"/>
      <c r="O162" s="6"/>
    </row>
    <row r="163" spans="1:15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  <c r="N163" s="6"/>
      <c r="O163" s="6"/>
    </row>
    <row r="164" spans="1:15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  <c r="N164" s="6"/>
      <c r="O164" s="6"/>
    </row>
    <row r="165" spans="1:15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  <c r="N165" s="6"/>
      <c r="O165" s="6"/>
    </row>
    <row r="166" spans="1:15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  <c r="N166" s="6"/>
      <c r="O166" s="6"/>
    </row>
    <row r="167" spans="1:15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  <c r="N167" s="6"/>
      <c r="O167" s="6"/>
    </row>
    <row r="168" spans="1:15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  <c r="N168" s="6"/>
      <c r="O168" s="6"/>
    </row>
    <row r="169" spans="1:15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  <c r="N169" s="6"/>
      <c r="O169" s="6"/>
    </row>
    <row r="170" spans="1:15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  <c r="N170" s="6"/>
      <c r="O170" s="6"/>
    </row>
    <row r="171" spans="1:15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  <c r="N171" s="6"/>
      <c r="O171" s="6"/>
    </row>
    <row r="172" spans="1:15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  <c r="N172" s="6"/>
      <c r="O172" s="6"/>
    </row>
    <row r="173" spans="1:15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  <c r="N173" s="6"/>
      <c r="O173" s="6"/>
    </row>
    <row r="174" spans="1:15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  <c r="N174" s="6"/>
      <c r="O174" s="6"/>
    </row>
    <row r="175" spans="1:15" ht="15" customHeight="1" x14ac:dyDescent="0.25">
      <c r="A175" s="100"/>
      <c r="B175" s="101"/>
      <c r="C175" s="101"/>
      <c r="D175" s="100"/>
      <c r="E175" s="100"/>
      <c r="F175" s="100"/>
      <c r="G175" s="100"/>
      <c r="H175" s="100"/>
      <c r="I175" s="100"/>
      <c r="J175" s="101"/>
      <c r="K175" s="100"/>
      <c r="L175" s="100"/>
      <c r="M175" s="102" t="str">
        <f>IFERROR(VLOOKUP(G175,Reference!$I$2:$J$175,2,FALSE()),"Operations")</f>
        <v>Operations</v>
      </c>
      <c r="N175" s="6"/>
      <c r="O175" s="6"/>
    </row>
    <row r="176" spans="1:15" ht="15" customHeight="1" x14ac:dyDescent="0.25">
      <c r="A176" s="103"/>
      <c r="B176" s="104"/>
      <c r="C176" s="104"/>
      <c r="D176" s="103"/>
      <c r="E176" s="103"/>
      <c r="F176" s="103"/>
      <c r="G176" s="103"/>
      <c r="H176" s="103"/>
      <c r="I176" s="103"/>
      <c r="J176" s="104"/>
      <c r="K176" s="103"/>
      <c r="L176" s="103"/>
      <c r="M176" s="105" t="str">
        <f>IFERROR(VLOOKUP(G176,Reference!$I$2:$J$175,2,FALSE()),"Operations")</f>
        <v>Operations</v>
      </c>
      <c r="N176" s="6"/>
      <c r="O176" s="6"/>
    </row>
    <row r="177" spans="1:15" ht="15" customHeight="1" x14ac:dyDescent="0.25">
      <c r="A177" s="100"/>
      <c r="B177" s="101"/>
      <c r="C177" s="101"/>
      <c r="D177" s="100"/>
      <c r="E177" s="100"/>
      <c r="F177" s="100"/>
      <c r="G177" s="100"/>
      <c r="H177" s="100"/>
      <c r="I177" s="100"/>
      <c r="J177" s="101"/>
      <c r="K177" s="100"/>
      <c r="L177" s="100"/>
      <c r="M177" s="102" t="str">
        <f>IFERROR(VLOOKUP(G177,Reference!$I$2:$J$175,2,FALSE()),"Operations")</f>
        <v>Operations</v>
      </c>
      <c r="N177" s="6"/>
      <c r="O177" s="6"/>
    </row>
    <row r="178" spans="1:15" ht="15" customHeight="1" x14ac:dyDescent="0.25">
      <c r="A178" s="103"/>
      <c r="B178" s="104"/>
      <c r="C178" s="104"/>
      <c r="D178" s="103"/>
      <c r="E178" s="103"/>
      <c r="F178" s="103"/>
      <c r="G178" s="103"/>
      <c r="H178" s="103"/>
      <c r="I178" s="103"/>
      <c r="J178" s="104"/>
      <c r="K178" s="103"/>
      <c r="L178" s="103"/>
      <c r="M178" s="105" t="str">
        <f>IFERROR(VLOOKUP(G178,Reference!$I$2:$J$175,2,FALSE()),"Operations")</f>
        <v>Operations</v>
      </c>
      <c r="N178" s="6"/>
      <c r="O178" s="6"/>
    </row>
    <row r="179" spans="1:15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  <c r="N179" s="6"/>
      <c r="O179" s="6"/>
    </row>
    <row r="180" spans="1:15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  <c r="N180" s="6"/>
      <c r="O180" s="6"/>
    </row>
    <row r="181" spans="1:15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  <c r="N181" s="6"/>
      <c r="O181" s="6"/>
    </row>
    <row r="182" spans="1:15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  <c r="N182" s="6"/>
      <c r="O182" s="6"/>
    </row>
    <row r="183" spans="1:15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  <c r="N183" s="6"/>
      <c r="O183" s="6"/>
    </row>
    <row r="184" spans="1:15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  <c r="N184" s="6"/>
      <c r="O184" s="6"/>
    </row>
    <row r="185" spans="1:15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  <c r="N185" s="6"/>
      <c r="O185" s="6"/>
    </row>
    <row r="186" spans="1:15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  <c r="N186" s="6"/>
      <c r="O186" s="6"/>
    </row>
    <row r="187" spans="1:15" ht="15" customHeight="1" x14ac:dyDescent="0.25">
      <c r="A187" s="106" t="s">
        <v>163</v>
      </c>
      <c r="B187" s="107">
        <f>COUNTA(A157:A186)</f>
        <v>0</v>
      </c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6"/>
      <c r="O187" s="6"/>
    </row>
    <row r="188" spans="1:15" ht="6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21.75" customHeight="1" x14ac:dyDescent="0.25">
      <c r="A189" s="163" t="s">
        <v>270</v>
      </c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6"/>
      <c r="O189" s="6"/>
    </row>
    <row r="190" spans="1:15" ht="19.5" customHeight="1" x14ac:dyDescent="0.25">
      <c r="A190" s="64" t="s">
        <v>151</v>
      </c>
      <c r="B190" s="64" t="s">
        <v>152</v>
      </c>
      <c r="C190" s="64" t="s">
        <v>153</v>
      </c>
      <c r="D190" s="64" t="s">
        <v>154</v>
      </c>
      <c r="E190" s="64" t="s">
        <v>155</v>
      </c>
      <c r="F190" s="64" t="s">
        <v>156</v>
      </c>
      <c r="G190" s="64" t="s">
        <v>157</v>
      </c>
      <c r="H190" s="64" t="s">
        <v>158</v>
      </c>
      <c r="I190" s="64" t="s">
        <v>159</v>
      </c>
      <c r="J190" s="64" t="s">
        <v>160</v>
      </c>
      <c r="K190" s="64" t="s">
        <v>134</v>
      </c>
      <c r="L190" s="64" t="s">
        <v>161</v>
      </c>
      <c r="M190" s="64" t="s">
        <v>162</v>
      </c>
      <c r="N190" s="6"/>
      <c r="O190" s="6"/>
    </row>
    <row r="191" spans="1:15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  <c r="N191" s="6"/>
      <c r="O191" s="6"/>
    </row>
    <row r="192" spans="1:15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  <c r="N192" s="6"/>
      <c r="O192" s="6"/>
    </row>
    <row r="193" spans="1:15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  <c r="N193" s="6"/>
      <c r="O193" s="6"/>
    </row>
    <row r="194" spans="1:15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  <c r="N194" s="6"/>
      <c r="O194" s="6"/>
    </row>
    <row r="195" spans="1:15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  <c r="N195" s="6"/>
      <c r="O195" s="6"/>
    </row>
    <row r="196" spans="1:15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  <c r="N196" s="6"/>
      <c r="O196" s="6"/>
    </row>
    <row r="197" spans="1:15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  <c r="N197" s="6"/>
      <c r="O197" s="6"/>
    </row>
    <row r="198" spans="1:15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  <c r="N198" s="6"/>
      <c r="O198" s="6"/>
    </row>
    <row r="199" spans="1:15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  <c r="N199" s="6"/>
      <c r="O199" s="6"/>
    </row>
    <row r="200" spans="1:15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  <c r="N200" s="6"/>
      <c r="O200" s="6"/>
    </row>
    <row r="201" spans="1:15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  <c r="N201" s="6"/>
      <c r="O201" s="6"/>
    </row>
    <row r="202" spans="1:15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  <c r="N202" s="6"/>
      <c r="O202" s="6"/>
    </row>
    <row r="203" spans="1:15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  <c r="N203" s="6"/>
      <c r="O203" s="6"/>
    </row>
    <row r="204" spans="1:15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  <c r="N204" s="6"/>
      <c r="O204" s="6"/>
    </row>
    <row r="205" spans="1:15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  <c r="N205" s="6"/>
      <c r="O205" s="6"/>
    </row>
    <row r="206" spans="1:15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  <c r="N206" s="6"/>
      <c r="O206" s="6"/>
    </row>
    <row r="207" spans="1:15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  <c r="N207" s="6"/>
      <c r="O207" s="6"/>
    </row>
    <row r="208" spans="1:15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  <c r="N208" s="6"/>
      <c r="O208" s="6"/>
    </row>
    <row r="209" spans="1:15" ht="15" customHeight="1" x14ac:dyDescent="0.25">
      <c r="A209" s="100"/>
      <c r="B209" s="101"/>
      <c r="C209" s="101"/>
      <c r="D209" s="100"/>
      <c r="E209" s="100"/>
      <c r="F209" s="100"/>
      <c r="G209" s="100"/>
      <c r="H209" s="100"/>
      <c r="I209" s="100"/>
      <c r="J209" s="101"/>
      <c r="K209" s="100"/>
      <c r="L209" s="100"/>
      <c r="M209" s="102" t="str">
        <f>IFERROR(VLOOKUP(G209,Reference!$I$2:$J$175,2,FALSE()),"Operations")</f>
        <v>Operations</v>
      </c>
      <c r="N209" s="6"/>
      <c r="O209" s="6"/>
    </row>
    <row r="210" spans="1:15" ht="15" customHeight="1" x14ac:dyDescent="0.25">
      <c r="A210" s="103"/>
      <c r="B210" s="104"/>
      <c r="C210" s="104"/>
      <c r="D210" s="103"/>
      <c r="E210" s="103"/>
      <c r="F210" s="103"/>
      <c r="G210" s="103"/>
      <c r="H210" s="103"/>
      <c r="I210" s="103"/>
      <c r="J210" s="104"/>
      <c r="K210" s="103"/>
      <c r="L210" s="103"/>
      <c r="M210" s="105" t="str">
        <f>IFERROR(VLOOKUP(G210,Reference!$I$2:$J$175,2,FALSE()),"Operations")</f>
        <v>Operations</v>
      </c>
      <c r="N210" s="6"/>
      <c r="O210" s="6"/>
    </row>
    <row r="211" spans="1:15" ht="15" customHeight="1" x14ac:dyDescent="0.25">
      <c r="A211" s="100"/>
      <c r="B211" s="101"/>
      <c r="C211" s="101"/>
      <c r="D211" s="100"/>
      <c r="E211" s="100"/>
      <c r="F211" s="100"/>
      <c r="G211" s="100"/>
      <c r="H211" s="100"/>
      <c r="I211" s="100"/>
      <c r="J211" s="101"/>
      <c r="K211" s="100"/>
      <c r="L211" s="100"/>
      <c r="M211" s="102" t="str">
        <f>IFERROR(VLOOKUP(G211,Reference!$I$2:$J$175,2,FALSE()),"Operations")</f>
        <v>Operations</v>
      </c>
      <c r="N211" s="6"/>
      <c r="O211" s="6"/>
    </row>
    <row r="212" spans="1:15" ht="15" customHeight="1" x14ac:dyDescent="0.25">
      <c r="A212" s="103"/>
      <c r="B212" s="104"/>
      <c r="C212" s="104"/>
      <c r="D212" s="103"/>
      <c r="E212" s="103"/>
      <c r="F212" s="103"/>
      <c r="G212" s="103"/>
      <c r="H212" s="103"/>
      <c r="I212" s="103"/>
      <c r="J212" s="104"/>
      <c r="K212" s="103"/>
      <c r="L212" s="103"/>
      <c r="M212" s="105" t="str">
        <f>IFERROR(VLOOKUP(G212,Reference!$I$2:$J$175,2,FALSE()),"Operations")</f>
        <v>Operations</v>
      </c>
      <c r="N212" s="6"/>
      <c r="O212" s="6"/>
    </row>
    <row r="213" spans="1:15" ht="15" customHeight="1" x14ac:dyDescent="0.25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  <c r="N213" s="6"/>
      <c r="O213" s="6"/>
    </row>
    <row r="214" spans="1:15" ht="15" customHeight="1" x14ac:dyDescent="0.25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  <c r="N214" s="6"/>
      <c r="O214" s="6"/>
    </row>
    <row r="215" spans="1:15" ht="15" customHeight="1" x14ac:dyDescent="0.25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  <c r="N215" s="6"/>
      <c r="O215" s="6"/>
    </row>
    <row r="216" spans="1:15" ht="15" customHeight="1" x14ac:dyDescent="0.25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  <c r="N216" s="6"/>
      <c r="O216" s="6"/>
    </row>
    <row r="217" spans="1:15" ht="15" customHeight="1" x14ac:dyDescent="0.25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  <c r="N217" s="6"/>
      <c r="O217" s="6"/>
    </row>
    <row r="218" spans="1:15" ht="15" customHeight="1" x14ac:dyDescent="0.25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  <c r="N218" s="6"/>
      <c r="O218" s="6"/>
    </row>
    <row r="219" spans="1:15" ht="15" customHeight="1" x14ac:dyDescent="0.25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  <c r="N219" s="6"/>
      <c r="O219" s="6"/>
    </row>
    <row r="220" spans="1:15" ht="15" customHeight="1" x14ac:dyDescent="0.25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  <c r="N220" s="6"/>
      <c r="O220" s="6"/>
    </row>
    <row r="221" spans="1:15" ht="15" customHeight="1" x14ac:dyDescent="0.25">
      <c r="A221" s="106" t="s">
        <v>163</v>
      </c>
      <c r="B221" s="107">
        <f>COUNTA(A191:A220)</f>
        <v>0</v>
      </c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6"/>
      <c r="O221" s="6"/>
    </row>
    <row r="222" spans="1:15" ht="6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21.75" customHeight="1" x14ac:dyDescent="0.25">
      <c r="A223" s="163" t="s">
        <v>271</v>
      </c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6"/>
      <c r="O223" s="6"/>
    </row>
    <row r="224" spans="1:15" ht="19.5" customHeight="1" x14ac:dyDescent="0.25">
      <c r="A224" s="64" t="s">
        <v>151</v>
      </c>
      <c r="B224" s="64" t="s">
        <v>152</v>
      </c>
      <c r="C224" s="64" t="s">
        <v>153</v>
      </c>
      <c r="D224" s="64" t="s">
        <v>154</v>
      </c>
      <c r="E224" s="64" t="s">
        <v>155</v>
      </c>
      <c r="F224" s="64" t="s">
        <v>156</v>
      </c>
      <c r="G224" s="64" t="s">
        <v>157</v>
      </c>
      <c r="H224" s="64" t="s">
        <v>158</v>
      </c>
      <c r="I224" s="64" t="s">
        <v>159</v>
      </c>
      <c r="J224" s="64" t="s">
        <v>160</v>
      </c>
      <c r="K224" s="64" t="s">
        <v>134</v>
      </c>
      <c r="L224" s="64" t="s">
        <v>161</v>
      </c>
      <c r="M224" s="64" t="s">
        <v>162</v>
      </c>
      <c r="N224" s="6"/>
      <c r="O224" s="6"/>
    </row>
    <row r="225" spans="1:15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  <c r="N225" s="6"/>
      <c r="O225" s="6"/>
    </row>
    <row r="226" spans="1:15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  <c r="N226" s="6"/>
      <c r="O226" s="6"/>
    </row>
    <row r="227" spans="1:15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  <c r="N227" s="6"/>
      <c r="O227" s="6"/>
    </row>
    <row r="228" spans="1:15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  <c r="N228" s="6"/>
      <c r="O228" s="6"/>
    </row>
    <row r="229" spans="1:15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  <c r="N229" s="6"/>
      <c r="O229" s="6"/>
    </row>
    <row r="230" spans="1:15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  <c r="N230" s="6"/>
      <c r="O230" s="6"/>
    </row>
    <row r="231" spans="1:15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  <c r="N231" s="6"/>
      <c r="O231" s="6"/>
    </row>
    <row r="232" spans="1:15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  <c r="N232" s="6"/>
      <c r="O232" s="6"/>
    </row>
    <row r="233" spans="1:15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  <c r="N233" s="6"/>
      <c r="O233" s="6"/>
    </row>
    <row r="234" spans="1:15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  <c r="N234" s="6"/>
      <c r="O234" s="6"/>
    </row>
    <row r="235" spans="1:15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  <c r="N235" s="6"/>
      <c r="O235" s="6"/>
    </row>
    <row r="236" spans="1:15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  <c r="N236" s="6"/>
      <c r="O236" s="6"/>
    </row>
    <row r="237" spans="1:15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  <c r="N237" s="6"/>
      <c r="O237" s="6"/>
    </row>
    <row r="238" spans="1:15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  <c r="N238" s="6"/>
      <c r="O238" s="6"/>
    </row>
    <row r="239" spans="1:15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  <c r="N239" s="6"/>
      <c r="O239" s="6"/>
    </row>
    <row r="240" spans="1:15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  <c r="N240" s="6"/>
      <c r="O240" s="6"/>
    </row>
    <row r="241" spans="1:15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  <c r="N241" s="6"/>
      <c r="O241" s="6"/>
    </row>
    <row r="242" spans="1:15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  <c r="N242" s="6"/>
      <c r="O242" s="6"/>
    </row>
    <row r="243" spans="1:15" ht="15" customHeight="1" x14ac:dyDescent="0.25">
      <c r="A243" s="100"/>
      <c r="B243" s="101"/>
      <c r="C243" s="101"/>
      <c r="D243" s="100"/>
      <c r="E243" s="100"/>
      <c r="F243" s="100"/>
      <c r="G243" s="100"/>
      <c r="H243" s="100"/>
      <c r="I243" s="100"/>
      <c r="J243" s="101"/>
      <c r="K243" s="100"/>
      <c r="L243" s="100"/>
      <c r="M243" s="102" t="str">
        <f>IFERROR(VLOOKUP(G243,Reference!$I$2:$J$175,2,FALSE()),"Operations")</f>
        <v>Operations</v>
      </c>
      <c r="N243" s="6"/>
      <c r="O243" s="6"/>
    </row>
    <row r="244" spans="1:15" ht="15" customHeight="1" x14ac:dyDescent="0.25">
      <c r="A244" s="103"/>
      <c r="B244" s="104"/>
      <c r="C244" s="104"/>
      <c r="D244" s="103"/>
      <c r="E244" s="103"/>
      <c r="F244" s="103"/>
      <c r="G244" s="103"/>
      <c r="H244" s="103"/>
      <c r="I244" s="103"/>
      <c r="J244" s="104"/>
      <c r="K244" s="103"/>
      <c r="L244" s="103"/>
      <c r="M244" s="105" t="str">
        <f>IFERROR(VLOOKUP(G244,Reference!$I$2:$J$175,2,FALSE()),"Operations")</f>
        <v>Operations</v>
      </c>
      <c r="N244" s="6"/>
      <c r="O244" s="6"/>
    </row>
    <row r="245" spans="1:15" ht="15" customHeight="1" x14ac:dyDescent="0.25">
      <c r="A245" s="100"/>
      <c r="B245" s="101"/>
      <c r="C245" s="101"/>
      <c r="D245" s="100"/>
      <c r="E245" s="100"/>
      <c r="F245" s="100"/>
      <c r="G245" s="100"/>
      <c r="H245" s="100"/>
      <c r="I245" s="100"/>
      <c r="J245" s="101"/>
      <c r="K245" s="100"/>
      <c r="L245" s="100"/>
      <c r="M245" s="102" t="str">
        <f>IFERROR(VLOOKUP(G245,Reference!$I$2:$J$175,2,FALSE()),"Operations")</f>
        <v>Operations</v>
      </c>
      <c r="N245" s="6"/>
      <c r="O245" s="6"/>
    </row>
    <row r="246" spans="1:15" ht="15" customHeight="1" x14ac:dyDescent="0.25">
      <c r="A246" s="103"/>
      <c r="B246" s="104"/>
      <c r="C246" s="104"/>
      <c r="D246" s="103"/>
      <c r="E246" s="103"/>
      <c r="F246" s="103"/>
      <c r="G246" s="103"/>
      <c r="H246" s="103"/>
      <c r="I246" s="103"/>
      <c r="J246" s="104"/>
      <c r="K246" s="103"/>
      <c r="L246" s="103"/>
      <c r="M246" s="105" t="str">
        <f>IFERROR(VLOOKUP(G246,Reference!$I$2:$J$175,2,FALSE()),"Operations")</f>
        <v>Operations</v>
      </c>
      <c r="N246" s="6"/>
      <c r="O246" s="6"/>
    </row>
    <row r="247" spans="1:15" ht="15" customHeight="1" x14ac:dyDescent="0.25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  <c r="N247" s="6"/>
      <c r="O247" s="6"/>
    </row>
    <row r="248" spans="1:15" ht="15" customHeight="1" x14ac:dyDescent="0.25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  <c r="N248" s="6"/>
      <c r="O248" s="6"/>
    </row>
    <row r="249" spans="1:15" ht="15" customHeight="1" x14ac:dyDescent="0.25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  <c r="N249" s="6"/>
      <c r="O249" s="6"/>
    </row>
    <row r="250" spans="1:15" ht="15" customHeight="1" x14ac:dyDescent="0.25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  <c r="N250" s="6"/>
      <c r="O250" s="6"/>
    </row>
    <row r="251" spans="1:15" ht="15" customHeight="1" x14ac:dyDescent="0.25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  <c r="N251" s="6"/>
      <c r="O251" s="6"/>
    </row>
    <row r="252" spans="1:15" ht="15" customHeight="1" x14ac:dyDescent="0.25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  <c r="N252" s="6"/>
      <c r="O252" s="6"/>
    </row>
    <row r="253" spans="1:15" ht="15" customHeight="1" x14ac:dyDescent="0.25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  <c r="N253" s="6"/>
      <c r="O253" s="6"/>
    </row>
    <row r="254" spans="1:15" ht="15" customHeight="1" x14ac:dyDescent="0.25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  <c r="N254" s="6"/>
      <c r="O254" s="6"/>
    </row>
    <row r="255" spans="1:15" ht="15" customHeight="1" x14ac:dyDescent="0.25">
      <c r="A255" s="106" t="s">
        <v>163</v>
      </c>
      <c r="B255" s="107">
        <f>COUNTA(A225:A254)</f>
        <v>0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6"/>
      <c r="O255" s="6"/>
    </row>
    <row r="256" spans="1:15" ht="6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21.75" customHeight="1" x14ac:dyDescent="0.25">
      <c r="A257" s="163" t="s">
        <v>272</v>
      </c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6"/>
      <c r="O257" s="6"/>
    </row>
    <row r="258" spans="1:15" ht="19.5" customHeight="1" x14ac:dyDescent="0.25">
      <c r="A258" s="64" t="s">
        <v>151</v>
      </c>
      <c r="B258" s="64" t="s">
        <v>152</v>
      </c>
      <c r="C258" s="64" t="s">
        <v>153</v>
      </c>
      <c r="D258" s="64" t="s">
        <v>154</v>
      </c>
      <c r="E258" s="64" t="s">
        <v>155</v>
      </c>
      <c r="F258" s="64" t="s">
        <v>156</v>
      </c>
      <c r="G258" s="64" t="s">
        <v>157</v>
      </c>
      <c r="H258" s="64" t="s">
        <v>158</v>
      </c>
      <c r="I258" s="64" t="s">
        <v>159</v>
      </c>
      <c r="J258" s="64" t="s">
        <v>160</v>
      </c>
      <c r="K258" s="64" t="s">
        <v>134</v>
      </c>
      <c r="L258" s="64" t="s">
        <v>161</v>
      </c>
      <c r="M258" s="64" t="s">
        <v>162</v>
      </c>
      <c r="N258" s="6"/>
      <c r="O258" s="6"/>
    </row>
    <row r="259" spans="1:15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  <c r="N259" s="6"/>
      <c r="O259" s="6"/>
    </row>
    <row r="260" spans="1:15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  <c r="N260" s="6"/>
      <c r="O260" s="6"/>
    </row>
    <row r="261" spans="1:15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  <c r="N261" s="6"/>
      <c r="O261" s="6"/>
    </row>
    <row r="262" spans="1:15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  <c r="N262" s="6"/>
      <c r="O262" s="6"/>
    </row>
    <row r="263" spans="1:15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  <c r="N263" s="6"/>
      <c r="O263" s="6"/>
    </row>
    <row r="264" spans="1:15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  <c r="N264" s="6"/>
      <c r="O264" s="6"/>
    </row>
    <row r="265" spans="1:15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  <c r="N265" s="6"/>
      <c r="O265" s="6"/>
    </row>
    <row r="266" spans="1:15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  <c r="N266" s="6"/>
      <c r="O266" s="6"/>
    </row>
    <row r="267" spans="1:15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  <c r="N267" s="6"/>
      <c r="O267" s="6"/>
    </row>
    <row r="268" spans="1:15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  <c r="N268" s="6"/>
      <c r="O268" s="6"/>
    </row>
    <row r="269" spans="1:15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  <c r="N269" s="6"/>
      <c r="O269" s="6"/>
    </row>
    <row r="270" spans="1:15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  <c r="N270" s="6"/>
      <c r="O270" s="6"/>
    </row>
    <row r="271" spans="1:15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  <c r="N271" s="6"/>
      <c r="O271" s="6"/>
    </row>
    <row r="272" spans="1:15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  <c r="N272" s="6"/>
      <c r="O272" s="6"/>
    </row>
    <row r="273" spans="1:15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  <c r="N273" s="6"/>
      <c r="O273" s="6"/>
    </row>
    <row r="274" spans="1:15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  <c r="N274" s="6"/>
      <c r="O274" s="6"/>
    </row>
    <row r="275" spans="1:15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  <c r="N275" s="6"/>
      <c r="O275" s="6"/>
    </row>
    <row r="276" spans="1:15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  <c r="N276" s="6"/>
      <c r="O276" s="6"/>
    </row>
    <row r="277" spans="1:15" ht="15" customHeight="1" x14ac:dyDescent="0.25">
      <c r="A277" s="100"/>
      <c r="B277" s="101"/>
      <c r="C277" s="101"/>
      <c r="D277" s="100"/>
      <c r="E277" s="100"/>
      <c r="F277" s="100"/>
      <c r="G277" s="100"/>
      <c r="H277" s="100"/>
      <c r="I277" s="100"/>
      <c r="J277" s="101"/>
      <c r="K277" s="100"/>
      <c r="L277" s="100"/>
      <c r="M277" s="102" t="str">
        <f>IFERROR(VLOOKUP(G277,Reference!$I$2:$J$175,2,FALSE()),"Operations")</f>
        <v>Operations</v>
      </c>
      <c r="N277" s="6"/>
      <c r="O277" s="6"/>
    </row>
    <row r="278" spans="1:15" ht="15" customHeight="1" x14ac:dyDescent="0.25">
      <c r="A278" s="103"/>
      <c r="B278" s="104"/>
      <c r="C278" s="104"/>
      <c r="D278" s="103"/>
      <c r="E278" s="103"/>
      <c r="F278" s="103"/>
      <c r="G278" s="103"/>
      <c r="H278" s="103"/>
      <c r="I278" s="103"/>
      <c r="J278" s="104"/>
      <c r="K278" s="103"/>
      <c r="L278" s="103"/>
      <c r="M278" s="105" t="str">
        <f>IFERROR(VLOOKUP(G278,Reference!$I$2:$J$175,2,FALSE()),"Operations")</f>
        <v>Operations</v>
      </c>
      <c r="N278" s="6"/>
      <c r="O278" s="6"/>
    </row>
    <row r="279" spans="1:15" ht="15" customHeight="1" x14ac:dyDescent="0.25">
      <c r="A279" s="100"/>
      <c r="B279" s="101"/>
      <c r="C279" s="101"/>
      <c r="D279" s="100"/>
      <c r="E279" s="100"/>
      <c r="F279" s="100"/>
      <c r="G279" s="100"/>
      <c r="H279" s="100"/>
      <c r="I279" s="100"/>
      <c r="J279" s="101"/>
      <c r="K279" s="100"/>
      <c r="L279" s="100"/>
      <c r="M279" s="102" t="str">
        <f>IFERROR(VLOOKUP(G279,Reference!$I$2:$J$175,2,FALSE()),"Operations")</f>
        <v>Operations</v>
      </c>
      <c r="N279" s="6"/>
      <c r="O279" s="6"/>
    </row>
    <row r="280" spans="1:15" ht="15" customHeight="1" x14ac:dyDescent="0.25">
      <c r="A280" s="103"/>
      <c r="B280" s="104"/>
      <c r="C280" s="104"/>
      <c r="D280" s="103"/>
      <c r="E280" s="103"/>
      <c r="F280" s="103"/>
      <c r="G280" s="103"/>
      <c r="H280" s="103"/>
      <c r="I280" s="103"/>
      <c r="J280" s="104"/>
      <c r="K280" s="103"/>
      <c r="L280" s="103"/>
      <c r="M280" s="105" t="str">
        <f>IFERROR(VLOOKUP(G280,Reference!$I$2:$J$175,2,FALSE()),"Operations")</f>
        <v>Operations</v>
      </c>
      <c r="N280" s="6"/>
      <c r="O280" s="6"/>
    </row>
    <row r="281" spans="1:15" ht="15" customHeight="1" x14ac:dyDescent="0.25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  <c r="N281" s="6"/>
      <c r="O281" s="6"/>
    </row>
    <row r="282" spans="1:15" ht="15" customHeight="1" x14ac:dyDescent="0.25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  <c r="N282" s="6"/>
      <c r="O282" s="6"/>
    </row>
    <row r="283" spans="1:15" ht="15" customHeight="1" x14ac:dyDescent="0.25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  <c r="N283" s="6"/>
      <c r="O283" s="6"/>
    </row>
    <row r="284" spans="1:15" ht="15" customHeight="1" x14ac:dyDescent="0.25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  <c r="N284" s="6"/>
      <c r="O284" s="6"/>
    </row>
    <row r="285" spans="1:15" ht="15" customHeight="1" x14ac:dyDescent="0.25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  <c r="N285" s="6"/>
      <c r="O285" s="6"/>
    </row>
    <row r="286" spans="1:15" ht="15" customHeight="1" x14ac:dyDescent="0.25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  <c r="N286" s="6"/>
      <c r="O286" s="6"/>
    </row>
    <row r="287" spans="1:15" ht="15" customHeight="1" x14ac:dyDescent="0.25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  <c r="N287" s="6"/>
      <c r="O287" s="6"/>
    </row>
    <row r="288" spans="1:15" ht="15" customHeight="1" x14ac:dyDescent="0.25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  <c r="N288" s="6"/>
      <c r="O288" s="6"/>
    </row>
    <row r="289" spans="1:15" ht="15" customHeight="1" x14ac:dyDescent="0.25">
      <c r="A289" s="106" t="s">
        <v>163</v>
      </c>
      <c r="B289" s="107">
        <f>COUNTA(A259:A288)</f>
        <v>0</v>
      </c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6"/>
      <c r="O289" s="6"/>
    </row>
    <row r="290" spans="1:15" ht="6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21.75" customHeight="1" x14ac:dyDescent="0.25">
      <c r="A291" s="163" t="s">
        <v>273</v>
      </c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6"/>
      <c r="O291" s="6"/>
    </row>
    <row r="292" spans="1:15" ht="19.5" customHeight="1" x14ac:dyDescent="0.25">
      <c r="A292" s="64" t="s">
        <v>151</v>
      </c>
      <c r="B292" s="64" t="s">
        <v>152</v>
      </c>
      <c r="C292" s="64" t="s">
        <v>153</v>
      </c>
      <c r="D292" s="64" t="s">
        <v>154</v>
      </c>
      <c r="E292" s="64" t="s">
        <v>155</v>
      </c>
      <c r="F292" s="64" t="s">
        <v>156</v>
      </c>
      <c r="G292" s="64" t="s">
        <v>157</v>
      </c>
      <c r="H292" s="64" t="s">
        <v>158</v>
      </c>
      <c r="I292" s="64" t="s">
        <v>159</v>
      </c>
      <c r="J292" s="64" t="s">
        <v>160</v>
      </c>
      <c r="K292" s="64" t="s">
        <v>134</v>
      </c>
      <c r="L292" s="64" t="s">
        <v>161</v>
      </c>
      <c r="M292" s="64" t="s">
        <v>162</v>
      </c>
      <c r="N292" s="6"/>
      <c r="O292" s="6"/>
    </row>
    <row r="293" spans="1:15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  <c r="N293" s="6"/>
      <c r="O293" s="6"/>
    </row>
    <row r="294" spans="1:15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  <c r="N294" s="6"/>
      <c r="O294" s="6"/>
    </row>
    <row r="295" spans="1:15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  <c r="N295" s="6"/>
      <c r="O295" s="6"/>
    </row>
    <row r="296" spans="1:15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  <c r="N296" s="6"/>
      <c r="O296" s="6"/>
    </row>
    <row r="297" spans="1:15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  <c r="N297" s="6"/>
      <c r="O297" s="6"/>
    </row>
    <row r="298" spans="1:15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  <c r="N298" s="6"/>
      <c r="O298" s="6"/>
    </row>
    <row r="299" spans="1:15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  <c r="N299" s="6"/>
      <c r="O299" s="6"/>
    </row>
    <row r="300" spans="1:15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  <c r="N300" s="6"/>
      <c r="O300" s="6"/>
    </row>
    <row r="301" spans="1:15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  <c r="N301" s="6"/>
      <c r="O301" s="6"/>
    </row>
    <row r="302" spans="1:15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  <c r="N302" s="6"/>
      <c r="O302" s="6"/>
    </row>
    <row r="303" spans="1:15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  <c r="N303" s="6"/>
      <c r="O303" s="6"/>
    </row>
    <row r="304" spans="1:15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  <c r="N304" s="6"/>
      <c r="O304" s="6"/>
    </row>
    <row r="305" spans="1:15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  <c r="N305" s="6"/>
      <c r="O305" s="6"/>
    </row>
    <row r="306" spans="1:15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  <c r="N306" s="6"/>
      <c r="O306" s="6"/>
    </row>
    <row r="307" spans="1:15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  <c r="N307" s="6"/>
      <c r="O307" s="6"/>
    </row>
    <row r="308" spans="1:15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  <c r="N308" s="6"/>
      <c r="O308" s="6"/>
    </row>
    <row r="309" spans="1:15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  <c r="N309" s="6"/>
      <c r="O309" s="6"/>
    </row>
    <row r="310" spans="1:15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  <c r="N310" s="6"/>
      <c r="O310" s="6"/>
    </row>
    <row r="311" spans="1:15" ht="15" customHeight="1" x14ac:dyDescent="0.25">
      <c r="A311" s="100"/>
      <c r="B311" s="101"/>
      <c r="C311" s="101"/>
      <c r="D311" s="100"/>
      <c r="E311" s="100"/>
      <c r="F311" s="100"/>
      <c r="G311" s="100"/>
      <c r="H311" s="100"/>
      <c r="I311" s="100"/>
      <c r="J311" s="101"/>
      <c r="K311" s="100"/>
      <c r="L311" s="100"/>
      <c r="M311" s="102" t="str">
        <f>IFERROR(VLOOKUP(G311,Reference!$I$2:$J$175,2,FALSE()),"Operations")</f>
        <v>Operations</v>
      </c>
      <c r="N311" s="6"/>
      <c r="O311" s="6"/>
    </row>
    <row r="312" spans="1:15" ht="15" customHeight="1" x14ac:dyDescent="0.25">
      <c r="A312" s="103"/>
      <c r="B312" s="104"/>
      <c r="C312" s="104"/>
      <c r="D312" s="103"/>
      <c r="E312" s="103"/>
      <c r="F312" s="103"/>
      <c r="G312" s="103"/>
      <c r="H312" s="103"/>
      <c r="I312" s="103"/>
      <c r="J312" s="104"/>
      <c r="K312" s="103"/>
      <c r="L312" s="103"/>
      <c r="M312" s="105" t="str">
        <f>IFERROR(VLOOKUP(G312,Reference!$I$2:$J$175,2,FALSE()),"Operations")</f>
        <v>Operations</v>
      </c>
      <c r="N312" s="6"/>
      <c r="O312" s="6"/>
    </row>
    <row r="313" spans="1:15" ht="15" customHeight="1" x14ac:dyDescent="0.25">
      <c r="A313" s="100"/>
      <c r="B313" s="101"/>
      <c r="C313" s="101"/>
      <c r="D313" s="100"/>
      <c r="E313" s="100"/>
      <c r="F313" s="100"/>
      <c r="G313" s="100"/>
      <c r="H313" s="100"/>
      <c r="I313" s="100"/>
      <c r="J313" s="101"/>
      <c r="K313" s="100"/>
      <c r="L313" s="100"/>
      <c r="M313" s="102" t="str">
        <f>IFERROR(VLOOKUP(G313,Reference!$I$2:$J$175,2,FALSE()),"Operations")</f>
        <v>Operations</v>
      </c>
      <c r="N313" s="6"/>
      <c r="O313" s="6"/>
    </row>
    <row r="314" spans="1:15" ht="15" customHeight="1" x14ac:dyDescent="0.25">
      <c r="A314" s="103"/>
      <c r="B314" s="104"/>
      <c r="C314" s="104"/>
      <c r="D314" s="103"/>
      <c r="E314" s="103"/>
      <c r="F314" s="103"/>
      <c r="G314" s="103"/>
      <c r="H314" s="103"/>
      <c r="I314" s="103"/>
      <c r="J314" s="104"/>
      <c r="K314" s="103"/>
      <c r="L314" s="103"/>
      <c r="M314" s="105" t="str">
        <f>IFERROR(VLOOKUP(G314,Reference!$I$2:$J$175,2,FALSE()),"Operations")</f>
        <v>Operations</v>
      </c>
      <c r="N314" s="6"/>
      <c r="O314" s="6"/>
    </row>
    <row r="315" spans="1:15" ht="15" customHeight="1" x14ac:dyDescent="0.25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  <c r="N315" s="6"/>
      <c r="O315" s="6"/>
    </row>
    <row r="316" spans="1:15" ht="15" customHeight="1" x14ac:dyDescent="0.25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  <c r="N316" s="6"/>
      <c r="O316" s="6"/>
    </row>
    <row r="317" spans="1:15" ht="15" customHeight="1" x14ac:dyDescent="0.25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  <c r="N317" s="6"/>
      <c r="O317" s="6"/>
    </row>
    <row r="318" spans="1:15" ht="15" customHeight="1" x14ac:dyDescent="0.25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  <c r="N318" s="6"/>
      <c r="O318" s="6"/>
    </row>
    <row r="319" spans="1:15" ht="15" customHeight="1" x14ac:dyDescent="0.25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  <c r="N319" s="6"/>
      <c r="O319" s="6"/>
    </row>
    <row r="320" spans="1:15" ht="15" customHeight="1" x14ac:dyDescent="0.25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  <c r="N320" s="6"/>
      <c r="O320" s="6"/>
    </row>
    <row r="321" spans="1:15" ht="15" customHeight="1" x14ac:dyDescent="0.25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  <c r="N321" s="6"/>
      <c r="O321" s="6"/>
    </row>
    <row r="322" spans="1:15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  <c r="N322" s="6"/>
      <c r="O322" s="6"/>
    </row>
    <row r="323" spans="1:15" ht="15" customHeight="1" x14ac:dyDescent="0.25">
      <c r="A323" s="106" t="s">
        <v>163</v>
      </c>
      <c r="B323" s="107">
        <f>COUNTA(A293:A322)</f>
        <v>0</v>
      </c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6"/>
      <c r="O323" s="6"/>
    </row>
    <row r="324" spans="1:15" ht="6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ht="21.75" customHeight="1" x14ac:dyDescent="0.25">
      <c r="A325" s="163" t="s">
        <v>274</v>
      </c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6"/>
      <c r="O325" s="6"/>
    </row>
    <row r="326" spans="1:15" ht="19.5" customHeight="1" x14ac:dyDescent="0.25">
      <c r="A326" s="64" t="s">
        <v>151</v>
      </c>
      <c r="B326" s="64" t="s">
        <v>152</v>
      </c>
      <c r="C326" s="64" t="s">
        <v>153</v>
      </c>
      <c r="D326" s="64" t="s">
        <v>154</v>
      </c>
      <c r="E326" s="64" t="s">
        <v>155</v>
      </c>
      <c r="F326" s="64" t="s">
        <v>156</v>
      </c>
      <c r="G326" s="64" t="s">
        <v>157</v>
      </c>
      <c r="H326" s="64" t="s">
        <v>158</v>
      </c>
      <c r="I326" s="64" t="s">
        <v>159</v>
      </c>
      <c r="J326" s="64" t="s">
        <v>160</v>
      </c>
      <c r="K326" s="64" t="s">
        <v>134</v>
      </c>
      <c r="L326" s="64" t="s">
        <v>161</v>
      </c>
      <c r="M326" s="64" t="s">
        <v>162</v>
      </c>
      <c r="N326" s="6"/>
      <c r="O326" s="6"/>
    </row>
    <row r="327" spans="1:15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  <c r="N327" s="6"/>
      <c r="O327" s="6"/>
    </row>
    <row r="328" spans="1:15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  <c r="N328" s="6"/>
      <c r="O328" s="6"/>
    </row>
    <row r="329" spans="1:15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  <c r="N329" s="6"/>
      <c r="O329" s="6"/>
    </row>
    <row r="330" spans="1:15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  <c r="N330" s="6"/>
      <c r="O330" s="6"/>
    </row>
    <row r="331" spans="1:15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  <c r="N331" s="6"/>
      <c r="O331" s="6"/>
    </row>
    <row r="332" spans="1:15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  <c r="N332" s="6"/>
      <c r="O332" s="6"/>
    </row>
    <row r="333" spans="1:15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  <c r="N333" s="6"/>
      <c r="O333" s="6"/>
    </row>
    <row r="334" spans="1:15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  <c r="N334" s="6"/>
      <c r="O334" s="6"/>
    </row>
    <row r="335" spans="1:15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  <c r="N335" s="6"/>
      <c r="O335" s="6"/>
    </row>
    <row r="336" spans="1:15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  <c r="N336" s="6"/>
      <c r="O336" s="6"/>
    </row>
    <row r="337" spans="1:15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  <c r="N337" s="6"/>
      <c r="O337" s="6"/>
    </row>
    <row r="338" spans="1:15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  <c r="N338" s="6"/>
      <c r="O338" s="6"/>
    </row>
    <row r="339" spans="1:15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  <c r="N339" s="6"/>
      <c r="O339" s="6"/>
    </row>
    <row r="340" spans="1:15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  <c r="N340" s="6"/>
      <c r="O340" s="6"/>
    </row>
    <row r="341" spans="1:15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  <c r="N341" s="6"/>
      <c r="O341" s="6"/>
    </row>
    <row r="342" spans="1:15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  <c r="N342" s="6"/>
      <c r="O342" s="6"/>
    </row>
    <row r="343" spans="1:15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  <c r="N343" s="6"/>
      <c r="O343" s="6"/>
    </row>
    <row r="344" spans="1:15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  <c r="N344" s="6"/>
      <c r="O344" s="6"/>
    </row>
    <row r="345" spans="1:15" ht="15" customHeight="1" x14ac:dyDescent="0.25">
      <c r="A345" s="100"/>
      <c r="B345" s="101"/>
      <c r="C345" s="101"/>
      <c r="D345" s="100"/>
      <c r="E345" s="100"/>
      <c r="F345" s="100"/>
      <c r="G345" s="100"/>
      <c r="H345" s="100"/>
      <c r="I345" s="100"/>
      <c r="J345" s="101"/>
      <c r="K345" s="100"/>
      <c r="L345" s="100"/>
      <c r="M345" s="102" t="str">
        <f>IFERROR(VLOOKUP(G345,Reference!$I$2:$J$175,2,FALSE()),"Operations")</f>
        <v>Operations</v>
      </c>
      <c r="N345" s="6"/>
      <c r="O345" s="6"/>
    </row>
    <row r="346" spans="1:15" ht="15" customHeight="1" x14ac:dyDescent="0.25">
      <c r="A346" s="103"/>
      <c r="B346" s="104"/>
      <c r="C346" s="104"/>
      <c r="D346" s="103"/>
      <c r="E346" s="103"/>
      <c r="F346" s="103"/>
      <c r="G346" s="103"/>
      <c r="H346" s="103"/>
      <c r="I346" s="103"/>
      <c r="J346" s="104"/>
      <c r="K346" s="103"/>
      <c r="L346" s="103"/>
      <c r="M346" s="105" t="str">
        <f>IFERROR(VLOOKUP(G346,Reference!$I$2:$J$175,2,FALSE()),"Operations")</f>
        <v>Operations</v>
      </c>
      <c r="N346" s="6"/>
      <c r="O346" s="6"/>
    </row>
    <row r="347" spans="1:15" ht="15" customHeight="1" x14ac:dyDescent="0.25">
      <c r="A347" s="100"/>
      <c r="B347" s="101"/>
      <c r="C347" s="101"/>
      <c r="D347" s="100"/>
      <c r="E347" s="100"/>
      <c r="F347" s="100"/>
      <c r="G347" s="100"/>
      <c r="H347" s="100"/>
      <c r="I347" s="100"/>
      <c r="J347" s="101"/>
      <c r="K347" s="100"/>
      <c r="L347" s="100"/>
      <c r="M347" s="102" t="str">
        <f>IFERROR(VLOOKUP(G347,Reference!$I$2:$J$175,2,FALSE()),"Operations")</f>
        <v>Operations</v>
      </c>
      <c r="N347" s="6"/>
      <c r="O347" s="6"/>
    </row>
    <row r="348" spans="1:15" ht="15" customHeight="1" x14ac:dyDescent="0.25">
      <c r="A348" s="103"/>
      <c r="B348" s="104"/>
      <c r="C348" s="104"/>
      <c r="D348" s="103"/>
      <c r="E348" s="103"/>
      <c r="F348" s="103"/>
      <c r="G348" s="103"/>
      <c r="H348" s="103"/>
      <c r="I348" s="103"/>
      <c r="J348" s="104"/>
      <c r="K348" s="103"/>
      <c r="L348" s="103"/>
      <c r="M348" s="105" t="str">
        <f>IFERROR(VLOOKUP(G348,Reference!$I$2:$J$175,2,FALSE()),"Operations")</f>
        <v>Operations</v>
      </c>
      <c r="N348" s="6"/>
      <c r="O348" s="6"/>
    </row>
    <row r="349" spans="1:15" ht="15" customHeight="1" x14ac:dyDescent="0.25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  <c r="N349" s="6"/>
      <c r="O349" s="6"/>
    </row>
    <row r="350" spans="1:15" ht="15" customHeight="1" x14ac:dyDescent="0.25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  <c r="N350" s="6"/>
      <c r="O350" s="6"/>
    </row>
    <row r="351" spans="1:15" ht="15" customHeight="1" x14ac:dyDescent="0.25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  <c r="N351" s="6"/>
      <c r="O351" s="6"/>
    </row>
    <row r="352" spans="1:15" ht="15" customHeight="1" x14ac:dyDescent="0.25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  <c r="N352" s="6"/>
      <c r="O352" s="6"/>
    </row>
    <row r="353" spans="1:15" ht="15" customHeight="1" x14ac:dyDescent="0.25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  <c r="N353" s="6"/>
      <c r="O353" s="6"/>
    </row>
    <row r="354" spans="1:15" ht="15" customHeight="1" x14ac:dyDescent="0.25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  <c r="N354" s="6"/>
      <c r="O354" s="6"/>
    </row>
    <row r="355" spans="1:15" ht="15" customHeight="1" x14ac:dyDescent="0.25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  <c r="N355" s="6"/>
      <c r="O355" s="6"/>
    </row>
    <row r="356" spans="1:15" ht="15" customHeight="1" x14ac:dyDescent="0.25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  <c r="N356" s="6"/>
      <c r="O356" s="6"/>
    </row>
    <row r="357" spans="1:15" ht="15" customHeight="1" x14ac:dyDescent="0.25">
      <c r="A357" s="106" t="s">
        <v>163</v>
      </c>
      <c r="B357" s="107">
        <f>COUNTA(A327:A356)</f>
        <v>0</v>
      </c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6"/>
      <c r="O357" s="6"/>
    </row>
    <row r="358" spans="1:15" ht="6" customHeight="1" x14ac:dyDescent="0.25"/>
  </sheetData>
  <mergeCells count="14">
    <mergeCell ref="A2:M2"/>
    <mergeCell ref="A3:M3"/>
    <mergeCell ref="A7:M7"/>
    <mergeCell ref="A20:M20"/>
    <mergeCell ref="A35:M35"/>
    <mergeCell ref="A223:M223"/>
    <mergeCell ref="A257:M257"/>
    <mergeCell ref="A291:M291"/>
    <mergeCell ref="A325:M325"/>
    <mergeCell ref="A53:M53"/>
    <mergeCell ref="A87:M87"/>
    <mergeCell ref="A121:M121"/>
    <mergeCell ref="A155:M155"/>
    <mergeCell ref="A189:M189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300-000000000000}">
          <x14:formula1>
            <xm:f>Reference!$G$2:$G$3</xm:f>
          </x14:formula1>
          <x14:formula2>
            <xm:f>0</xm:f>
          </x14:formula2>
          <xm:sqref>F9:F357</xm:sqref>
        </x14:dataValidation>
        <x14:dataValidation type="list" errorStyle="warning" allowBlank="1" showErrorMessage="1" errorTitle="Invalid Entry" error="Please select a value from the list." xr:uid="{00000000-0002-0000-0300-000001000000}">
          <x14:formula1>
            <xm:f>Reference!$E$2:$E$64</xm:f>
          </x14:formula1>
          <x14:formula2>
            <xm:f>0</xm:f>
          </x14:formula2>
          <xm:sqref>G9:G357</xm:sqref>
        </x14:dataValidation>
        <x14:dataValidation type="list" errorStyle="warning" allowBlank="1" showErrorMessage="1" errorTitle="Invalid Entry" error="Please select a value from the list." xr:uid="{00000000-0002-0000-0300-000002000000}">
          <x14:formula1>
            <xm:f>Reference!$C$2:$C$13</xm:f>
          </x14:formula1>
          <x14:formula2>
            <xm:f>0</xm:f>
          </x14:formula2>
          <xm:sqref>H9:H357</xm:sqref>
        </x14:dataValidation>
        <x14:dataValidation type="list" errorStyle="warning" allowBlank="1" showErrorMessage="1" errorTitle="Invalid Entry" error="Please select a value from the list." xr:uid="{00000000-0002-0000-0300-000003000000}">
          <x14:formula1>
            <xm:f>Reference!$A$2:$A$18</xm:f>
          </x14:formula1>
          <x14:formula2>
            <xm:f>0</xm:f>
          </x14:formula2>
          <xm:sqref>K9:K357</xm:sqref>
        </x14:dataValidation>
        <x14:dataValidation type="list" errorStyle="warning" allowBlank="1" showErrorMessage="1" errorTitle="Invalid Entry" error="Please select a value from the list." xr:uid="{00000000-0002-0000-0300-000004000000}">
          <x14:formula1>
            <xm:f>Reference!$L$2:$L$10</xm:f>
          </x14:formula1>
          <x14:formula2>
            <xm:f>0</xm:f>
          </x14:formula2>
          <xm:sqref>M9:M357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E9:E357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4-00000001}">
          <x14:formula1>
            <xm:f>Reference!$G$2:$G$3</xm:f>
          </x14:formula1>
          <xm:sqref>F9:F357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4-00000002}">
          <x14:formula1>
            <xm:f>Reference!$E$2:$E$64</xm:f>
          </x14:formula1>
          <xm:sqref>G9:G357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4-00000003}">
          <x14:formula1>
            <xm:f>Reference!$C$2:$C$14</xm:f>
          </x14:formula1>
          <xm:sqref>H9:H357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4-00000004}">
          <x14:formula1>
            <xm:f>Reference!$A$2:$A$18</xm:f>
          </x14:formula1>
          <xm:sqref>K9:K357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4-00000005}">
          <x14:formula1>
            <xm:f>Reference!$L$2:$L$10</xm:f>
          </x14:formula1>
          <xm:sqref>M9:M357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AB"/>
  </sheetPr>
  <dimension ref="A1:M414"/>
  <sheetViews>
    <sheetView zoomScaleNormal="100" workbookViewId="0">
      <pane ySplit="6" topLeftCell="A180" activePane="bottomLeft" state="frozen"/>
      <selection pane="bottomLeft" activeCell="D77" sqref="D77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275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276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346</v>
      </c>
      <c r="C5" s="97"/>
      <c r="D5" s="95" t="s">
        <v>148</v>
      </c>
      <c r="E5" s="98">
        <f>B39+B73+B107+B141+B175+B209+B243+B277+B311+B345+B379+B413</f>
        <v>138</v>
      </c>
      <c r="F5" s="97"/>
      <c r="G5" s="95" t="s">
        <v>149</v>
      </c>
      <c r="H5" s="99">
        <f>IF(B5=0,0,E5/B5)</f>
        <v>0.39884393063583817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277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278</v>
      </c>
      <c r="B9" s="111">
        <v>45659</v>
      </c>
      <c r="C9" s="77"/>
      <c r="D9" s="77" t="s">
        <v>279</v>
      </c>
      <c r="E9" s="77" t="s">
        <v>184</v>
      </c>
      <c r="F9" s="77" t="s">
        <v>280</v>
      </c>
      <c r="G9" s="77" t="s">
        <v>281</v>
      </c>
      <c r="H9" s="77" t="s">
        <v>56</v>
      </c>
      <c r="I9" s="77" t="s">
        <v>282</v>
      </c>
      <c r="J9" s="77"/>
      <c r="K9" s="77" t="s">
        <v>89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283</v>
      </c>
      <c r="B10" s="112">
        <v>45667</v>
      </c>
      <c r="C10" s="80"/>
      <c r="D10" s="80" t="s">
        <v>284</v>
      </c>
      <c r="E10" s="80" t="s">
        <v>179</v>
      </c>
      <c r="F10" s="80" t="s">
        <v>280</v>
      </c>
      <c r="G10" s="80" t="s">
        <v>285</v>
      </c>
      <c r="H10" s="80" t="s">
        <v>64</v>
      </c>
      <c r="I10" s="80" t="s">
        <v>286</v>
      </c>
      <c r="J10" s="80"/>
      <c r="K10" s="80" t="s">
        <v>83</v>
      </c>
      <c r="L10" s="80"/>
      <c r="M10" s="105" t="str">
        <f>IFERROR(VLOOKUP(G10,Reference!$I$2:$J$175,2,FALSE()),"Operations")</f>
        <v>Children Services</v>
      </c>
    </row>
    <row r="11" spans="1:13" ht="15" customHeight="1" x14ac:dyDescent="0.25">
      <c r="A11" s="77" t="s">
        <v>287</v>
      </c>
      <c r="B11" s="111">
        <v>45670</v>
      </c>
      <c r="C11" s="77"/>
      <c r="D11" s="77" t="s">
        <v>288</v>
      </c>
      <c r="E11" s="77" t="s">
        <v>179</v>
      </c>
      <c r="F11" s="77" t="s">
        <v>191</v>
      </c>
      <c r="G11" s="77" t="s">
        <v>289</v>
      </c>
      <c r="H11" s="77" t="s">
        <v>70</v>
      </c>
      <c r="I11" s="77" t="s">
        <v>290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291</v>
      </c>
      <c r="B12" s="112">
        <v>45673</v>
      </c>
      <c r="C12" s="80"/>
      <c r="D12" s="80" t="s">
        <v>292</v>
      </c>
      <c r="E12" s="80" t="s">
        <v>184</v>
      </c>
      <c r="F12" s="80" t="s">
        <v>180</v>
      </c>
      <c r="G12" s="80" t="s">
        <v>293</v>
      </c>
      <c r="H12" s="80" t="s">
        <v>53</v>
      </c>
      <c r="I12" s="80" t="s">
        <v>182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294</v>
      </c>
      <c r="B13" s="111">
        <v>45674</v>
      </c>
      <c r="C13" s="77"/>
      <c r="D13" s="77" t="s">
        <v>295</v>
      </c>
      <c r="E13" s="77" t="s">
        <v>179</v>
      </c>
      <c r="F13" s="77" t="s">
        <v>191</v>
      </c>
      <c r="G13" s="77" t="s">
        <v>296</v>
      </c>
      <c r="H13" s="77" t="s">
        <v>58</v>
      </c>
      <c r="I13" s="77" t="s">
        <v>235</v>
      </c>
      <c r="J13" s="77"/>
      <c r="K13" s="77" t="s">
        <v>66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297</v>
      </c>
      <c r="B14" s="112">
        <v>45679</v>
      </c>
      <c r="C14" s="80"/>
      <c r="D14" s="80" t="s">
        <v>298</v>
      </c>
      <c r="E14" s="80" t="s">
        <v>184</v>
      </c>
      <c r="F14" s="80" t="s">
        <v>191</v>
      </c>
      <c r="G14" s="80" t="s">
        <v>299</v>
      </c>
      <c r="H14" s="80" t="s">
        <v>58</v>
      </c>
      <c r="I14" s="80" t="s">
        <v>300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301</v>
      </c>
      <c r="B15" s="111">
        <v>45677</v>
      </c>
      <c r="C15" s="77"/>
      <c r="D15" s="77" t="s">
        <v>302</v>
      </c>
      <c r="E15" s="77" t="s">
        <v>184</v>
      </c>
      <c r="F15" s="77" t="s">
        <v>280</v>
      </c>
      <c r="G15" s="77" t="s">
        <v>303</v>
      </c>
      <c r="H15" s="77" t="s">
        <v>64</v>
      </c>
      <c r="I15" s="77" t="s">
        <v>304</v>
      </c>
      <c r="J15" s="77"/>
      <c r="K15" s="77" t="s">
        <v>83</v>
      </c>
      <c r="L15" s="77"/>
      <c r="M15" s="102" t="str">
        <f>IFERROR(VLOOKUP(G15,Reference!$I$2:$J$175,2,FALSE()),"Operations")</f>
        <v>Children Services</v>
      </c>
    </row>
    <row r="16" spans="1:13" ht="15" customHeight="1" x14ac:dyDescent="0.25">
      <c r="A16" s="80" t="s">
        <v>305</v>
      </c>
      <c r="B16" s="112">
        <v>45680</v>
      </c>
      <c r="C16" s="80"/>
      <c r="D16" s="80" t="s">
        <v>306</v>
      </c>
      <c r="E16" s="80" t="s">
        <v>179</v>
      </c>
      <c r="F16" s="80" t="s">
        <v>191</v>
      </c>
      <c r="G16" s="80" t="s">
        <v>307</v>
      </c>
      <c r="H16" s="80" t="s">
        <v>58</v>
      </c>
      <c r="I16" s="80" t="s">
        <v>308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309</v>
      </c>
      <c r="B17" s="111">
        <v>45659</v>
      </c>
      <c r="C17" s="77"/>
      <c r="D17" s="77" t="s">
        <v>302</v>
      </c>
      <c r="E17" s="77" t="s">
        <v>179</v>
      </c>
      <c r="F17" s="77" t="s">
        <v>191</v>
      </c>
      <c r="G17" s="77" t="s">
        <v>310</v>
      </c>
      <c r="H17" s="77" t="s">
        <v>69</v>
      </c>
      <c r="I17" s="77" t="s">
        <v>311</v>
      </c>
      <c r="J17" s="77"/>
      <c r="K17" s="77" t="s">
        <v>66</v>
      </c>
      <c r="L17" s="77"/>
      <c r="M17" s="102" t="str">
        <f>IFERROR(VLOOKUP(G17,Reference!$I$2:$J$175,2,FALSE()),"Operations")</f>
        <v>Operations</v>
      </c>
    </row>
    <row r="18" spans="1:13" ht="15" customHeight="1" x14ac:dyDescent="0.25">
      <c r="A18" s="80" t="s">
        <v>312</v>
      </c>
      <c r="B18" s="112">
        <v>45678</v>
      </c>
      <c r="C18" s="80"/>
      <c r="D18" s="80" t="s">
        <v>313</v>
      </c>
      <c r="E18" s="80" t="s">
        <v>184</v>
      </c>
      <c r="F18" s="80" t="s">
        <v>191</v>
      </c>
      <c r="G18" s="80" t="s">
        <v>281</v>
      </c>
      <c r="H18" s="80" t="s">
        <v>53</v>
      </c>
      <c r="I18" s="80" t="s">
        <v>314</v>
      </c>
      <c r="J18" s="80"/>
      <c r="K18" s="80" t="s">
        <v>70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315</v>
      </c>
      <c r="B19" s="111">
        <v>45684</v>
      </c>
      <c r="C19" s="77"/>
      <c r="D19" s="77" t="s">
        <v>316</v>
      </c>
      <c r="E19" s="77" t="s">
        <v>179</v>
      </c>
      <c r="F19" s="77" t="s">
        <v>280</v>
      </c>
      <c r="G19" s="77" t="s">
        <v>281</v>
      </c>
      <c r="H19" s="77" t="s">
        <v>53</v>
      </c>
      <c r="I19" s="77" t="s">
        <v>314</v>
      </c>
      <c r="J19" s="77"/>
      <c r="K19" s="77" t="s">
        <v>70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317</v>
      </c>
      <c r="B20" s="112">
        <v>45686</v>
      </c>
      <c r="C20" s="80"/>
      <c r="D20" s="80" t="s">
        <v>318</v>
      </c>
      <c r="E20" s="80" t="s">
        <v>184</v>
      </c>
      <c r="F20" s="80" t="s">
        <v>191</v>
      </c>
      <c r="G20" s="80" t="s">
        <v>319</v>
      </c>
      <c r="H20" s="80" t="s">
        <v>58</v>
      </c>
      <c r="I20" s="80" t="s">
        <v>254</v>
      </c>
      <c r="J20" s="80"/>
      <c r="K20" s="80" t="s">
        <v>70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320</v>
      </c>
      <c r="B21" s="111">
        <v>45688</v>
      </c>
      <c r="C21" s="77"/>
      <c r="D21" s="77" t="s">
        <v>316</v>
      </c>
      <c r="E21" s="77" t="s">
        <v>184</v>
      </c>
      <c r="F21" s="77" t="s">
        <v>191</v>
      </c>
      <c r="G21" s="77" t="s">
        <v>321</v>
      </c>
      <c r="H21" s="77" t="s">
        <v>58</v>
      </c>
      <c r="I21" s="77" t="s">
        <v>254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322</v>
      </c>
      <c r="B22" s="112">
        <v>45688</v>
      </c>
      <c r="C22" s="80"/>
      <c r="D22" s="80" t="s">
        <v>323</v>
      </c>
      <c r="E22" s="80" t="s">
        <v>179</v>
      </c>
      <c r="F22" s="80" t="s">
        <v>191</v>
      </c>
      <c r="G22" s="80" t="s">
        <v>285</v>
      </c>
      <c r="H22" s="80" t="s">
        <v>58</v>
      </c>
      <c r="I22" s="80" t="s">
        <v>286</v>
      </c>
      <c r="J22" s="80"/>
      <c r="K22" s="80" t="s">
        <v>83</v>
      </c>
      <c r="L22" s="80"/>
      <c r="M22" s="105" t="str">
        <f>IFERROR(VLOOKUP(G22,Reference!$I$2:$J$175,2,FALSE()),"Operations")</f>
        <v>Children Services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14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324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325</v>
      </c>
      <c r="B43" s="111">
        <v>45689</v>
      </c>
      <c r="C43" s="77"/>
      <c r="D43" s="77" t="s">
        <v>326</v>
      </c>
      <c r="E43" s="77" t="s">
        <v>179</v>
      </c>
      <c r="F43" s="77" t="s">
        <v>280</v>
      </c>
      <c r="G43" s="77" t="s">
        <v>327</v>
      </c>
      <c r="H43" s="77" t="s">
        <v>69</v>
      </c>
      <c r="I43" s="77" t="s">
        <v>328</v>
      </c>
      <c r="J43" s="77"/>
      <c r="K43" s="77" t="s">
        <v>66</v>
      </c>
      <c r="L43" s="77"/>
      <c r="M43" s="102" t="str">
        <f>IFERROR(VLOOKUP(G43,Reference!$I$2:$J$175,2,FALSE()),"Operations")</f>
        <v>Operations</v>
      </c>
    </row>
    <row r="44" spans="1:13" ht="15" customHeight="1" x14ac:dyDescent="0.25">
      <c r="A44" s="80" t="s">
        <v>314</v>
      </c>
      <c r="B44" s="112">
        <v>45691</v>
      </c>
      <c r="C44" s="80"/>
      <c r="D44" s="80" t="s">
        <v>329</v>
      </c>
      <c r="E44" s="80" t="s">
        <v>179</v>
      </c>
      <c r="F44" s="80" t="s">
        <v>191</v>
      </c>
      <c r="G44" s="80" t="s">
        <v>330</v>
      </c>
      <c r="H44" s="80" t="s">
        <v>56</v>
      </c>
      <c r="I44" s="80" t="s">
        <v>331</v>
      </c>
      <c r="J44" s="80"/>
      <c r="K44" s="80" t="s">
        <v>74</v>
      </c>
      <c r="L44" s="80"/>
      <c r="M44" s="105" t="str">
        <f>IFERROR(VLOOKUP(G44,Reference!$I$2:$J$175,2,FALSE()),"Operations")</f>
        <v>Behavioral Health</v>
      </c>
    </row>
    <row r="45" spans="1:13" ht="15" customHeight="1" x14ac:dyDescent="0.25">
      <c r="A45" s="77" t="s">
        <v>332</v>
      </c>
      <c r="B45" s="111">
        <v>45693</v>
      </c>
      <c r="C45" s="77"/>
      <c r="D45" s="77" t="s">
        <v>333</v>
      </c>
      <c r="E45" s="77" t="s">
        <v>179</v>
      </c>
      <c r="F45" s="77" t="s">
        <v>191</v>
      </c>
      <c r="G45" s="77" t="s">
        <v>299</v>
      </c>
      <c r="H45" s="77" t="s">
        <v>58</v>
      </c>
      <c r="I45" s="77" t="s">
        <v>300</v>
      </c>
      <c r="J45" s="77"/>
      <c r="K45" s="77" t="s">
        <v>66</v>
      </c>
      <c r="L45" s="77"/>
      <c r="M45" s="102" t="str">
        <f>IFERROR(VLOOKUP(G45,Reference!$I$2:$J$175,2,FALSE()),"Operations")</f>
        <v>Operations</v>
      </c>
    </row>
    <row r="46" spans="1:13" ht="15" customHeight="1" x14ac:dyDescent="0.25">
      <c r="A46" s="80" t="s">
        <v>334</v>
      </c>
      <c r="B46" s="112">
        <v>45699</v>
      </c>
      <c r="C46" s="80"/>
      <c r="D46" s="80" t="s">
        <v>335</v>
      </c>
      <c r="E46" s="80" t="s">
        <v>179</v>
      </c>
      <c r="F46" s="80" t="s">
        <v>280</v>
      </c>
      <c r="G46" s="80" t="s">
        <v>336</v>
      </c>
      <c r="H46" s="80" t="s">
        <v>75</v>
      </c>
      <c r="I46" s="80" t="s">
        <v>235</v>
      </c>
      <c r="J46" s="80"/>
      <c r="K46" s="80" t="s">
        <v>83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337</v>
      </c>
      <c r="B47" s="111">
        <v>45701</v>
      </c>
      <c r="C47" s="77"/>
      <c r="D47" s="77" t="s">
        <v>338</v>
      </c>
      <c r="E47" s="77" t="s">
        <v>184</v>
      </c>
      <c r="F47" s="77" t="s">
        <v>280</v>
      </c>
      <c r="G47" s="77" t="s">
        <v>339</v>
      </c>
      <c r="H47" s="77" t="s">
        <v>70</v>
      </c>
      <c r="I47" s="77" t="s">
        <v>340</v>
      </c>
      <c r="J47" s="77"/>
      <c r="K47" s="77" t="s">
        <v>70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341</v>
      </c>
      <c r="B48" s="112">
        <v>45703</v>
      </c>
      <c r="C48" s="80"/>
      <c r="D48" s="80" t="s">
        <v>342</v>
      </c>
      <c r="E48" s="80" t="s">
        <v>184</v>
      </c>
      <c r="F48" s="80" t="s">
        <v>191</v>
      </c>
      <c r="G48" s="80" t="s">
        <v>299</v>
      </c>
      <c r="H48" s="80" t="s">
        <v>56</v>
      </c>
      <c r="I48" s="80" t="s">
        <v>300</v>
      </c>
      <c r="J48" s="80"/>
      <c r="K48" s="80" t="s">
        <v>66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343</v>
      </c>
      <c r="B49" s="111">
        <v>45706</v>
      </c>
      <c r="C49" s="77"/>
      <c r="D49" s="77" t="s">
        <v>344</v>
      </c>
      <c r="E49" s="77" t="s">
        <v>184</v>
      </c>
      <c r="F49" s="77" t="s">
        <v>191</v>
      </c>
      <c r="G49" s="77" t="s">
        <v>345</v>
      </c>
      <c r="H49" s="77" t="s">
        <v>56</v>
      </c>
      <c r="I49" s="77" t="s">
        <v>346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347</v>
      </c>
      <c r="B50" s="112">
        <v>45706</v>
      </c>
      <c r="C50" s="80"/>
      <c r="D50" s="80" t="s">
        <v>298</v>
      </c>
      <c r="E50" s="80" t="s">
        <v>179</v>
      </c>
      <c r="F50" s="80" t="s">
        <v>191</v>
      </c>
      <c r="G50" s="80" t="s">
        <v>78</v>
      </c>
      <c r="H50" s="80" t="s">
        <v>58</v>
      </c>
      <c r="I50" s="80" t="s">
        <v>348</v>
      </c>
      <c r="J50" s="80"/>
      <c r="K50" s="80" t="s">
        <v>78</v>
      </c>
      <c r="L50" s="80"/>
      <c r="M50" s="105" t="str">
        <f>IFERROR(VLOOKUP(G50,Reference!$I$2:$J$175,2,FALSE()),"Operations")</f>
        <v>Family Support</v>
      </c>
    </row>
    <row r="51" spans="1:13" ht="15" customHeight="1" x14ac:dyDescent="0.25">
      <c r="A51" s="77" t="s">
        <v>349</v>
      </c>
      <c r="B51" s="111">
        <v>45709</v>
      </c>
      <c r="C51" s="77"/>
      <c r="D51" s="77" t="s">
        <v>350</v>
      </c>
      <c r="E51" s="77" t="s">
        <v>179</v>
      </c>
      <c r="F51" s="77" t="s">
        <v>280</v>
      </c>
      <c r="G51" s="77" t="s">
        <v>351</v>
      </c>
      <c r="H51" s="77" t="s">
        <v>56</v>
      </c>
      <c r="I51" s="77" t="s">
        <v>182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352</v>
      </c>
      <c r="B52" s="112">
        <v>45714</v>
      </c>
      <c r="C52" s="80"/>
      <c r="D52" s="80" t="s">
        <v>353</v>
      </c>
      <c r="E52" s="80" t="s">
        <v>179</v>
      </c>
      <c r="F52" s="80" t="s">
        <v>191</v>
      </c>
      <c r="G52" s="80" t="s">
        <v>310</v>
      </c>
      <c r="H52" s="80" t="s">
        <v>69</v>
      </c>
      <c r="I52" s="80" t="s">
        <v>197</v>
      </c>
      <c r="J52" s="80"/>
      <c r="K52" s="80" t="s">
        <v>66</v>
      </c>
      <c r="L52" s="80"/>
      <c r="M52" s="105" t="str">
        <f>IFERROR(VLOOKUP(G52,Reference!$I$2:$J$175,2,FALSE()),"Operations")</f>
        <v>Operations</v>
      </c>
    </row>
    <row r="53" spans="1:13" ht="15" customHeight="1" x14ac:dyDescent="0.25">
      <c r="A53" s="77" t="s">
        <v>354</v>
      </c>
      <c r="B53" s="111">
        <v>45716</v>
      </c>
      <c r="C53" s="77"/>
      <c r="D53" s="77" t="s">
        <v>318</v>
      </c>
      <c r="E53" s="77" t="s">
        <v>184</v>
      </c>
      <c r="F53" s="77" t="s">
        <v>191</v>
      </c>
      <c r="G53" s="77" t="s">
        <v>355</v>
      </c>
      <c r="H53" s="77" t="s">
        <v>70</v>
      </c>
      <c r="I53" s="77" t="s">
        <v>356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80" t="s">
        <v>357</v>
      </c>
      <c r="B54" s="112">
        <v>45715</v>
      </c>
      <c r="C54" s="80"/>
      <c r="D54" s="80" t="s">
        <v>358</v>
      </c>
      <c r="E54" s="80" t="s">
        <v>179</v>
      </c>
      <c r="F54" s="80" t="s">
        <v>191</v>
      </c>
      <c r="G54" s="80" t="s">
        <v>307</v>
      </c>
      <c r="H54" s="80" t="s">
        <v>56</v>
      </c>
      <c r="I54" s="80" t="s">
        <v>308</v>
      </c>
      <c r="J54" s="80"/>
      <c r="K54" s="80" t="s">
        <v>66</v>
      </c>
      <c r="L54" s="80"/>
      <c r="M54" s="105" t="str">
        <f>IFERROR(VLOOKUP(G54,Reference!$I$2:$J$175,2,FALSE()),"Operations")</f>
        <v>Operations</v>
      </c>
    </row>
    <row r="55" spans="1:13" ht="15" customHeight="1" x14ac:dyDescent="0.25">
      <c r="A55" s="77" t="s">
        <v>359</v>
      </c>
      <c r="B55" s="111">
        <v>45716</v>
      </c>
      <c r="C55" s="77"/>
      <c r="D55" s="77" t="s">
        <v>344</v>
      </c>
      <c r="E55" s="77" t="s">
        <v>179</v>
      </c>
      <c r="F55" s="77" t="s">
        <v>280</v>
      </c>
      <c r="G55" s="77" t="s">
        <v>360</v>
      </c>
      <c r="H55" s="77" t="s">
        <v>64</v>
      </c>
      <c r="I55" s="77" t="s">
        <v>205</v>
      </c>
      <c r="J55" s="77"/>
      <c r="K55" s="77" t="s">
        <v>66</v>
      </c>
      <c r="L55" s="77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13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361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362</v>
      </c>
      <c r="B77" s="111">
        <v>45727</v>
      </c>
      <c r="C77" s="77"/>
      <c r="D77" s="77" t="s">
        <v>363</v>
      </c>
      <c r="E77" s="77" t="s">
        <v>179</v>
      </c>
      <c r="F77" s="77" t="s">
        <v>191</v>
      </c>
      <c r="G77" s="77" t="s">
        <v>310</v>
      </c>
      <c r="H77" s="77" t="s">
        <v>58</v>
      </c>
      <c r="I77" s="77" t="s">
        <v>364</v>
      </c>
      <c r="J77" s="77"/>
      <c r="K77" s="77" t="s">
        <v>66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365</v>
      </c>
      <c r="B78" s="112">
        <v>45730</v>
      </c>
      <c r="C78" s="80"/>
      <c r="D78" s="80" t="s">
        <v>288</v>
      </c>
      <c r="E78" s="80" t="s">
        <v>179</v>
      </c>
      <c r="F78" s="80" t="s">
        <v>191</v>
      </c>
      <c r="G78" s="80" t="s">
        <v>310</v>
      </c>
      <c r="H78" s="80" t="s">
        <v>69</v>
      </c>
      <c r="I78" s="80" t="s">
        <v>197</v>
      </c>
      <c r="J78" s="80"/>
      <c r="K78" s="80" t="s">
        <v>66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366</v>
      </c>
      <c r="B79" s="111">
        <v>45731</v>
      </c>
      <c r="C79" s="77"/>
      <c r="D79" s="77" t="s">
        <v>367</v>
      </c>
      <c r="E79" s="77" t="s">
        <v>184</v>
      </c>
      <c r="F79" s="77" t="s">
        <v>191</v>
      </c>
      <c r="G79" s="77" t="s">
        <v>223</v>
      </c>
      <c r="H79" s="77" t="s">
        <v>56</v>
      </c>
      <c r="I79" s="77" t="s">
        <v>368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369</v>
      </c>
      <c r="B80" s="112">
        <v>45734</v>
      </c>
      <c r="C80" s="80"/>
      <c r="D80" s="80" t="s">
        <v>370</v>
      </c>
      <c r="E80" s="80" t="s">
        <v>179</v>
      </c>
      <c r="F80" s="80" t="s">
        <v>191</v>
      </c>
      <c r="G80" s="80" t="s">
        <v>371</v>
      </c>
      <c r="H80" s="80" t="s">
        <v>69</v>
      </c>
      <c r="I80" s="80" t="s">
        <v>205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372</v>
      </c>
      <c r="B81" s="111">
        <v>45734</v>
      </c>
      <c r="C81" s="77"/>
      <c r="D81" s="77" t="s">
        <v>373</v>
      </c>
      <c r="E81" s="77" t="s">
        <v>179</v>
      </c>
      <c r="F81" s="77" t="s">
        <v>280</v>
      </c>
      <c r="G81" s="77" t="s">
        <v>285</v>
      </c>
      <c r="H81" s="77" t="s">
        <v>58</v>
      </c>
      <c r="I81" s="77" t="s">
        <v>286</v>
      </c>
      <c r="J81" s="77"/>
      <c r="K81" s="77" t="s">
        <v>83</v>
      </c>
      <c r="L81" s="77"/>
      <c r="M81" s="102" t="str">
        <f>IFERROR(VLOOKUP(G81,Reference!$I$2:$J$175,2,FALSE()),"Operations")</f>
        <v>Children Services</v>
      </c>
    </row>
    <row r="82" spans="1:13" ht="15" customHeight="1" x14ac:dyDescent="0.25">
      <c r="A82" s="80" t="s">
        <v>374</v>
      </c>
      <c r="B82" s="112">
        <v>45734</v>
      </c>
      <c r="C82" s="80"/>
      <c r="D82" s="80" t="s">
        <v>375</v>
      </c>
      <c r="E82" s="80" t="s">
        <v>179</v>
      </c>
      <c r="F82" s="80" t="s">
        <v>280</v>
      </c>
      <c r="G82" s="80" t="s">
        <v>376</v>
      </c>
      <c r="H82" s="80" t="s">
        <v>58</v>
      </c>
      <c r="I82" s="80" t="s">
        <v>377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378</v>
      </c>
      <c r="B83" s="111">
        <v>45734</v>
      </c>
      <c r="C83" s="77"/>
      <c r="D83" s="77" t="s">
        <v>379</v>
      </c>
      <c r="E83" s="77" t="s">
        <v>179</v>
      </c>
      <c r="F83" s="77" t="s">
        <v>191</v>
      </c>
      <c r="G83" s="77" t="s">
        <v>380</v>
      </c>
      <c r="H83" s="77" t="s">
        <v>69</v>
      </c>
      <c r="I83" s="77" t="s">
        <v>187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381</v>
      </c>
      <c r="B84" s="112">
        <v>45736</v>
      </c>
      <c r="C84" s="80"/>
      <c r="D84" s="80" t="s">
        <v>382</v>
      </c>
      <c r="E84" s="80" t="s">
        <v>184</v>
      </c>
      <c r="F84" s="80" t="s">
        <v>191</v>
      </c>
      <c r="G84" s="80" t="s">
        <v>223</v>
      </c>
      <c r="H84" s="80" t="s">
        <v>56</v>
      </c>
      <c r="I84" s="80" t="s">
        <v>368</v>
      </c>
      <c r="J84" s="80"/>
      <c r="K84" s="80" t="s">
        <v>66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383</v>
      </c>
      <c r="B85" s="111">
        <v>45737</v>
      </c>
      <c r="C85" s="77"/>
      <c r="D85" s="77" t="s">
        <v>384</v>
      </c>
      <c r="E85" s="77" t="s">
        <v>184</v>
      </c>
      <c r="F85" s="77" t="s">
        <v>191</v>
      </c>
      <c r="G85" s="77" t="s">
        <v>87</v>
      </c>
      <c r="H85" s="77" t="s">
        <v>58</v>
      </c>
      <c r="I85" s="77" t="s">
        <v>228</v>
      </c>
      <c r="J85" s="77"/>
      <c r="K85" s="77" t="s">
        <v>87</v>
      </c>
      <c r="L85" s="77"/>
      <c r="M85" s="102" t="str">
        <f>IFERROR(VLOOKUP(G85,Reference!$I$2:$J$175,2,FALSE()),"Operations")</f>
        <v>Finance</v>
      </c>
    </row>
    <row r="86" spans="1:13" ht="15" customHeight="1" x14ac:dyDescent="0.25">
      <c r="A86" s="80" t="s">
        <v>385</v>
      </c>
      <c r="B86" s="112">
        <v>45743</v>
      </c>
      <c r="C86" s="80"/>
      <c r="D86" s="80" t="s">
        <v>313</v>
      </c>
      <c r="E86" s="80" t="s">
        <v>179</v>
      </c>
      <c r="F86" s="80" t="s">
        <v>191</v>
      </c>
      <c r="G86" s="80" t="s">
        <v>181</v>
      </c>
      <c r="H86" s="80" t="s">
        <v>56</v>
      </c>
      <c r="I86" s="80" t="s">
        <v>205</v>
      </c>
      <c r="J86" s="80"/>
      <c r="K86" s="80" t="s">
        <v>66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386</v>
      </c>
      <c r="B87" s="111">
        <v>45744</v>
      </c>
      <c r="C87" s="77"/>
      <c r="D87" s="77" t="s">
        <v>387</v>
      </c>
      <c r="E87" s="77" t="s">
        <v>184</v>
      </c>
      <c r="F87" s="77" t="s">
        <v>191</v>
      </c>
      <c r="G87" s="77" t="s">
        <v>388</v>
      </c>
      <c r="H87" s="77" t="s">
        <v>56</v>
      </c>
      <c r="I87" s="77" t="s">
        <v>389</v>
      </c>
      <c r="J87" s="77"/>
      <c r="K87" s="77" t="s">
        <v>84</v>
      </c>
      <c r="L87" s="77"/>
      <c r="M87" s="102" t="str">
        <f>IFERROR(VLOOKUP(G87,Reference!$I$2:$J$175,2,FALSE()),"Operations")</f>
        <v>Employment Services</v>
      </c>
    </row>
    <row r="88" spans="1:13" ht="15" customHeight="1" x14ac:dyDescent="0.25">
      <c r="A88" s="80" t="s">
        <v>390</v>
      </c>
      <c r="B88" s="112">
        <v>45744</v>
      </c>
      <c r="C88" s="80"/>
      <c r="D88" s="80" t="s">
        <v>342</v>
      </c>
      <c r="E88" s="80" t="s">
        <v>179</v>
      </c>
      <c r="F88" s="80" t="s">
        <v>191</v>
      </c>
      <c r="G88" s="80" t="s">
        <v>303</v>
      </c>
      <c r="H88" s="80" t="s">
        <v>56</v>
      </c>
      <c r="I88" s="80" t="s">
        <v>304</v>
      </c>
      <c r="J88" s="80"/>
      <c r="K88" s="80" t="s">
        <v>83</v>
      </c>
      <c r="L88" s="80"/>
      <c r="M88" s="105" t="str">
        <f>IFERROR(VLOOKUP(G88,Reference!$I$2:$J$175,2,FALSE()),"Operations")</f>
        <v>Children Services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12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391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392</v>
      </c>
      <c r="B111" s="111">
        <v>45751</v>
      </c>
      <c r="C111" s="77"/>
      <c r="D111" s="77" t="s">
        <v>393</v>
      </c>
      <c r="E111" s="77" t="s">
        <v>179</v>
      </c>
      <c r="F111" s="77" t="s">
        <v>280</v>
      </c>
      <c r="G111" s="77" t="s">
        <v>371</v>
      </c>
      <c r="H111" s="77" t="s">
        <v>75</v>
      </c>
      <c r="I111" s="77" t="s">
        <v>394</v>
      </c>
      <c r="J111" s="77"/>
      <c r="K111" s="77" t="s">
        <v>66</v>
      </c>
      <c r="L111" s="77"/>
      <c r="M111" s="102" t="str">
        <f>IFERROR(VLOOKUP(G111,Reference!$I$2:$J$175,2,FALSE()),"Operations")</f>
        <v>Operations</v>
      </c>
    </row>
    <row r="112" spans="1:13" ht="15" customHeight="1" x14ac:dyDescent="0.25">
      <c r="A112" s="80" t="s">
        <v>395</v>
      </c>
      <c r="B112" s="112">
        <v>45754</v>
      </c>
      <c r="C112" s="80"/>
      <c r="D112" s="80" t="s">
        <v>393</v>
      </c>
      <c r="E112" s="80" t="s">
        <v>179</v>
      </c>
      <c r="F112" s="80" t="s">
        <v>280</v>
      </c>
      <c r="G112" s="80" t="s">
        <v>310</v>
      </c>
      <c r="H112" s="80" t="s">
        <v>77</v>
      </c>
      <c r="I112" s="80" t="s">
        <v>197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396</v>
      </c>
      <c r="B113" s="111">
        <v>45757</v>
      </c>
      <c r="C113" s="77"/>
      <c r="D113" s="77" t="s">
        <v>397</v>
      </c>
      <c r="E113" s="77" t="s">
        <v>179</v>
      </c>
      <c r="F113" s="77" t="s">
        <v>191</v>
      </c>
      <c r="G113" s="77" t="s">
        <v>398</v>
      </c>
      <c r="H113" s="77" t="s">
        <v>58</v>
      </c>
      <c r="I113" s="77" t="s">
        <v>399</v>
      </c>
      <c r="J113" s="77"/>
      <c r="K113" s="77" t="s">
        <v>66</v>
      </c>
      <c r="L113" s="77"/>
      <c r="M113" s="102" t="str">
        <f>IFERROR(VLOOKUP(G113,Reference!$I$2:$J$175,2,FALSE()),"Operations")</f>
        <v>Operations</v>
      </c>
    </row>
    <row r="114" spans="1:13" ht="15" customHeight="1" x14ac:dyDescent="0.25">
      <c r="A114" s="80" t="s">
        <v>400</v>
      </c>
      <c r="B114" s="112">
        <v>45762</v>
      </c>
      <c r="C114" s="80"/>
      <c r="D114" s="80" t="s">
        <v>379</v>
      </c>
      <c r="E114" s="80" t="s">
        <v>179</v>
      </c>
      <c r="F114" s="80" t="s">
        <v>191</v>
      </c>
      <c r="G114" s="80" t="s">
        <v>355</v>
      </c>
      <c r="H114" s="80" t="s">
        <v>69</v>
      </c>
      <c r="I114" s="80" t="s">
        <v>187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401</v>
      </c>
      <c r="B115" s="111">
        <v>45762</v>
      </c>
      <c r="C115" s="77"/>
      <c r="D115" s="77" t="s">
        <v>402</v>
      </c>
      <c r="E115" s="77" t="s">
        <v>184</v>
      </c>
      <c r="F115" s="77" t="s">
        <v>191</v>
      </c>
      <c r="G115" s="77" t="s">
        <v>403</v>
      </c>
      <c r="H115" s="77" t="s">
        <v>53</v>
      </c>
      <c r="I115" s="77" t="s">
        <v>404</v>
      </c>
      <c r="J115" s="77"/>
      <c r="K115" s="77" t="s">
        <v>76</v>
      </c>
      <c r="L115" s="77"/>
      <c r="M115" s="102" t="str">
        <f>IFERROR(VLOOKUP(G115,Reference!$I$2:$J$175,2,FALSE()),"Operations")</f>
        <v>Children Services</v>
      </c>
    </row>
    <row r="116" spans="1:13" ht="15" customHeight="1" x14ac:dyDescent="0.25">
      <c r="A116" s="80" t="s">
        <v>405</v>
      </c>
      <c r="B116" s="112">
        <v>45768</v>
      </c>
      <c r="C116" s="80"/>
      <c r="D116" s="80" t="s">
        <v>335</v>
      </c>
      <c r="E116" s="80" t="s">
        <v>179</v>
      </c>
      <c r="F116" s="80" t="s">
        <v>280</v>
      </c>
      <c r="G116" s="80" t="s">
        <v>406</v>
      </c>
      <c r="H116" s="80" t="s">
        <v>64</v>
      </c>
      <c r="I116" s="80" t="s">
        <v>407</v>
      </c>
      <c r="J116" s="80"/>
      <c r="K116" s="80" t="s">
        <v>89</v>
      </c>
      <c r="L116" s="80"/>
      <c r="M116" s="105" t="str">
        <f>IFERROR(VLOOKUP(G116,Reference!$I$2:$J$175,2,FALSE()),"Operations")</f>
        <v>Human Resources</v>
      </c>
    </row>
    <row r="117" spans="1:13" ht="15" customHeight="1" x14ac:dyDescent="0.25">
      <c r="A117" s="77" t="s">
        <v>408</v>
      </c>
      <c r="B117" s="111">
        <v>45777</v>
      </c>
      <c r="C117" s="77"/>
      <c r="D117" s="77" t="s">
        <v>409</v>
      </c>
      <c r="E117" s="77" t="s">
        <v>179</v>
      </c>
      <c r="F117" s="77" t="s">
        <v>280</v>
      </c>
      <c r="G117" s="77" t="s">
        <v>410</v>
      </c>
      <c r="H117" s="77" t="s">
        <v>53</v>
      </c>
      <c r="I117" s="77" t="s">
        <v>205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7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411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412</v>
      </c>
      <c r="B145" s="111">
        <v>45778</v>
      </c>
      <c r="C145" s="77"/>
      <c r="D145" s="77" t="s">
        <v>373</v>
      </c>
      <c r="E145" s="77" t="s">
        <v>184</v>
      </c>
      <c r="F145" s="77" t="s">
        <v>191</v>
      </c>
      <c r="G145" s="77" t="s">
        <v>303</v>
      </c>
      <c r="H145" s="77" t="s">
        <v>58</v>
      </c>
      <c r="I145" s="77" t="s">
        <v>304</v>
      </c>
      <c r="J145" s="77"/>
      <c r="K145" s="77" t="s">
        <v>83</v>
      </c>
      <c r="L145" s="77"/>
      <c r="M145" s="102" t="str">
        <f>IFERROR(VLOOKUP(G145,Reference!$I$2:$J$175,2,FALSE()),"Operations")</f>
        <v>Children Services</v>
      </c>
    </row>
    <row r="146" spans="1:13" ht="15" customHeight="1" x14ac:dyDescent="0.25">
      <c r="A146" s="80" t="s">
        <v>413</v>
      </c>
      <c r="B146" s="112">
        <v>45780</v>
      </c>
      <c r="C146" s="80"/>
      <c r="D146" s="80" t="s">
        <v>302</v>
      </c>
      <c r="E146" s="80" t="s">
        <v>179</v>
      </c>
      <c r="F146" s="80" t="s">
        <v>280</v>
      </c>
      <c r="G146" s="80" t="s">
        <v>414</v>
      </c>
      <c r="H146" s="80" t="s">
        <v>53</v>
      </c>
      <c r="I146" s="80" t="s">
        <v>394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415</v>
      </c>
      <c r="B147" s="111">
        <v>45785</v>
      </c>
      <c r="C147" s="77"/>
      <c r="D147" s="77" t="s">
        <v>416</v>
      </c>
      <c r="E147" s="77" t="s">
        <v>179</v>
      </c>
      <c r="F147" s="77" t="s">
        <v>280</v>
      </c>
      <c r="G147" s="77" t="s">
        <v>417</v>
      </c>
      <c r="H147" s="77" t="s">
        <v>53</v>
      </c>
      <c r="I147" s="77" t="s">
        <v>418</v>
      </c>
      <c r="J147" s="77"/>
      <c r="K147" s="77" t="s">
        <v>70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419</v>
      </c>
      <c r="B148" s="112">
        <v>45787</v>
      </c>
      <c r="C148" s="80"/>
      <c r="D148" s="80" t="s">
        <v>358</v>
      </c>
      <c r="E148" s="80" t="s">
        <v>179</v>
      </c>
      <c r="F148" s="80" t="s">
        <v>280</v>
      </c>
      <c r="G148" s="80" t="s">
        <v>420</v>
      </c>
      <c r="H148" s="80" t="s">
        <v>69</v>
      </c>
      <c r="I148" s="80" t="s">
        <v>421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422</v>
      </c>
      <c r="B149" s="111">
        <v>45789</v>
      </c>
      <c r="C149" s="77"/>
      <c r="D149" s="77" t="s">
        <v>423</v>
      </c>
      <c r="E149" s="77" t="s">
        <v>184</v>
      </c>
      <c r="F149" s="77" t="s">
        <v>191</v>
      </c>
      <c r="G149" s="77" t="s">
        <v>403</v>
      </c>
      <c r="H149" s="77" t="s">
        <v>56</v>
      </c>
      <c r="I149" s="77" t="s">
        <v>404</v>
      </c>
      <c r="J149" s="77"/>
      <c r="K149" s="77" t="s">
        <v>76</v>
      </c>
      <c r="L149" s="77"/>
      <c r="M149" s="102" t="str">
        <f>IFERROR(VLOOKUP(G149,Reference!$I$2:$J$175,2,FALSE()),"Operations")</f>
        <v>Children Services</v>
      </c>
    </row>
    <row r="150" spans="1:13" ht="15" customHeight="1" x14ac:dyDescent="0.25">
      <c r="A150" s="80" t="s">
        <v>424</v>
      </c>
      <c r="B150" s="112">
        <v>45789</v>
      </c>
      <c r="C150" s="80"/>
      <c r="D150" s="80" t="s">
        <v>425</v>
      </c>
      <c r="E150" s="80" t="s">
        <v>184</v>
      </c>
      <c r="F150" s="80" t="s">
        <v>191</v>
      </c>
      <c r="G150" s="80" t="s">
        <v>426</v>
      </c>
      <c r="H150" s="80" t="s">
        <v>70</v>
      </c>
      <c r="I150" s="80" t="s">
        <v>377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427</v>
      </c>
      <c r="B151" s="111">
        <v>45789</v>
      </c>
      <c r="C151" s="77"/>
      <c r="D151" s="77" t="s">
        <v>425</v>
      </c>
      <c r="E151" s="77" t="s">
        <v>179</v>
      </c>
      <c r="F151" s="77" t="s">
        <v>280</v>
      </c>
      <c r="G151" s="77" t="s">
        <v>428</v>
      </c>
      <c r="H151" s="77" t="s">
        <v>69</v>
      </c>
      <c r="I151" s="77" t="s">
        <v>187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429</v>
      </c>
      <c r="B152" s="112">
        <v>45790</v>
      </c>
      <c r="C152" s="80"/>
      <c r="D152" s="80" t="s">
        <v>430</v>
      </c>
      <c r="E152" s="80" t="s">
        <v>179</v>
      </c>
      <c r="F152" s="80" t="s">
        <v>280</v>
      </c>
      <c r="G152" s="80" t="s">
        <v>431</v>
      </c>
      <c r="H152" s="80" t="s">
        <v>69</v>
      </c>
      <c r="I152" s="80" t="s">
        <v>377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432</v>
      </c>
      <c r="B153" s="111">
        <v>45791</v>
      </c>
      <c r="C153" s="77"/>
      <c r="D153" s="77" t="s">
        <v>298</v>
      </c>
      <c r="E153" s="77" t="s">
        <v>184</v>
      </c>
      <c r="F153" s="77" t="s">
        <v>191</v>
      </c>
      <c r="G153" s="77" t="s">
        <v>388</v>
      </c>
      <c r="H153" s="77" t="s">
        <v>56</v>
      </c>
      <c r="I153" s="77" t="s">
        <v>433</v>
      </c>
      <c r="J153" s="77"/>
      <c r="K153" s="77" t="s">
        <v>84</v>
      </c>
      <c r="L153" s="77"/>
      <c r="M153" s="102" t="str">
        <f>IFERROR(VLOOKUP(G153,Reference!$I$2:$J$175,2,FALSE()),"Operations")</f>
        <v>Employment Services</v>
      </c>
    </row>
    <row r="154" spans="1:13" ht="15" customHeight="1" x14ac:dyDescent="0.25">
      <c r="A154" s="80" t="s">
        <v>434</v>
      </c>
      <c r="B154" s="112">
        <v>45792</v>
      </c>
      <c r="C154" s="80"/>
      <c r="D154" s="80" t="s">
        <v>358</v>
      </c>
      <c r="E154" s="80" t="s">
        <v>179</v>
      </c>
      <c r="F154" s="80" t="s">
        <v>280</v>
      </c>
      <c r="G154" s="80" t="s">
        <v>435</v>
      </c>
      <c r="H154" s="80" t="s">
        <v>69</v>
      </c>
      <c r="I154" s="80" t="s">
        <v>205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436</v>
      </c>
      <c r="B155" s="111">
        <v>45792</v>
      </c>
      <c r="C155" s="77"/>
      <c r="D155" s="77" t="s">
        <v>379</v>
      </c>
      <c r="E155" s="77" t="s">
        <v>179</v>
      </c>
      <c r="F155" s="77" t="s">
        <v>280</v>
      </c>
      <c r="G155" s="77" t="s">
        <v>285</v>
      </c>
      <c r="H155" s="77" t="s">
        <v>64</v>
      </c>
      <c r="I155" s="77" t="s">
        <v>437</v>
      </c>
      <c r="J155" s="77"/>
      <c r="K155" s="77" t="s">
        <v>80</v>
      </c>
      <c r="L155" s="77"/>
      <c r="M155" s="102" t="str">
        <f>IFERROR(VLOOKUP(G155,Reference!$I$2:$J$175,2,FALSE()),"Operations")</f>
        <v>Children Services</v>
      </c>
    </row>
    <row r="156" spans="1:13" ht="15" customHeight="1" x14ac:dyDescent="0.25">
      <c r="A156" s="80" t="s">
        <v>438</v>
      </c>
      <c r="B156" s="112">
        <v>45793</v>
      </c>
      <c r="C156" s="80"/>
      <c r="D156" s="80" t="s">
        <v>344</v>
      </c>
      <c r="E156" s="80" t="s">
        <v>184</v>
      </c>
      <c r="F156" s="80" t="s">
        <v>191</v>
      </c>
      <c r="G156" s="80" t="s">
        <v>403</v>
      </c>
      <c r="H156" s="80" t="s">
        <v>53</v>
      </c>
      <c r="I156" s="80" t="s">
        <v>439</v>
      </c>
      <c r="J156" s="80"/>
      <c r="K156" s="80" t="s">
        <v>76</v>
      </c>
      <c r="L156" s="80"/>
      <c r="M156" s="105" t="str">
        <f>IFERROR(VLOOKUP(G156,Reference!$I$2:$J$175,2,FALSE()),"Operations")</f>
        <v>Children Services</v>
      </c>
    </row>
    <row r="157" spans="1:13" ht="15" customHeight="1" x14ac:dyDescent="0.25">
      <c r="A157" s="77" t="s">
        <v>440</v>
      </c>
      <c r="B157" s="111">
        <v>45796</v>
      </c>
      <c r="C157" s="77"/>
      <c r="D157" s="77" t="s">
        <v>302</v>
      </c>
      <c r="E157" s="77" t="s">
        <v>179</v>
      </c>
      <c r="F157" s="77" t="s">
        <v>191</v>
      </c>
      <c r="G157" s="77" t="s">
        <v>417</v>
      </c>
      <c r="H157" s="77" t="s">
        <v>69</v>
      </c>
      <c r="I157" s="77" t="s">
        <v>441</v>
      </c>
      <c r="J157" s="77"/>
      <c r="K157" s="77" t="s">
        <v>70</v>
      </c>
      <c r="L157" s="77"/>
      <c r="M157" s="102" t="str">
        <f>IFERROR(VLOOKUP(G157,Reference!$I$2:$J$175,2,FALSE()),"Operations")</f>
        <v>Operations</v>
      </c>
    </row>
    <row r="158" spans="1:13" ht="15" customHeight="1" x14ac:dyDescent="0.25">
      <c r="A158" s="80" t="s">
        <v>442</v>
      </c>
      <c r="B158" s="112">
        <v>45796</v>
      </c>
      <c r="C158" s="80"/>
      <c r="D158" s="80" t="s">
        <v>443</v>
      </c>
      <c r="E158" s="80" t="s">
        <v>179</v>
      </c>
      <c r="F158" s="80" t="s">
        <v>444</v>
      </c>
      <c r="G158" s="80" t="s">
        <v>445</v>
      </c>
      <c r="H158" s="80" t="s">
        <v>53</v>
      </c>
      <c r="I158" s="80" t="s">
        <v>446</v>
      </c>
      <c r="J158" s="80"/>
      <c r="K158" s="80" t="s">
        <v>80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447</v>
      </c>
      <c r="B159" s="111">
        <v>45799</v>
      </c>
      <c r="C159" s="77"/>
      <c r="D159" s="77" t="s">
        <v>367</v>
      </c>
      <c r="E159" s="77" t="s">
        <v>179</v>
      </c>
      <c r="F159" s="77" t="s">
        <v>280</v>
      </c>
      <c r="G159" s="77" t="s">
        <v>448</v>
      </c>
      <c r="H159" s="77" t="s">
        <v>70</v>
      </c>
      <c r="I159" s="77" t="s">
        <v>421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449</v>
      </c>
      <c r="B160" s="112">
        <v>45805</v>
      </c>
      <c r="C160" s="80"/>
      <c r="D160" s="80" t="s">
        <v>450</v>
      </c>
      <c r="E160" s="80" t="s">
        <v>179</v>
      </c>
      <c r="F160" s="80" t="s">
        <v>280</v>
      </c>
      <c r="G160" s="80" t="s">
        <v>451</v>
      </c>
      <c r="H160" s="80" t="s">
        <v>69</v>
      </c>
      <c r="I160" s="80" t="s">
        <v>187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452</v>
      </c>
      <c r="B161" s="111">
        <v>45806</v>
      </c>
      <c r="C161" s="77"/>
      <c r="D161" s="77" t="s">
        <v>379</v>
      </c>
      <c r="E161" s="77" t="s">
        <v>179</v>
      </c>
      <c r="F161" s="77" t="s">
        <v>280</v>
      </c>
      <c r="G161" s="77" t="s">
        <v>453</v>
      </c>
      <c r="H161" s="77" t="s">
        <v>69</v>
      </c>
      <c r="I161" s="77" t="s">
        <v>454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80" t="s">
        <v>455</v>
      </c>
      <c r="B162" s="112">
        <v>45808</v>
      </c>
      <c r="C162" s="80"/>
      <c r="D162" s="80" t="s">
        <v>367</v>
      </c>
      <c r="E162" s="80" t="s">
        <v>184</v>
      </c>
      <c r="F162" s="80" t="s">
        <v>191</v>
      </c>
      <c r="G162" s="80" t="s">
        <v>456</v>
      </c>
      <c r="H162" s="80" t="s">
        <v>53</v>
      </c>
      <c r="I162" s="80" t="s">
        <v>457</v>
      </c>
      <c r="J162" s="80"/>
      <c r="K162" s="80" t="s">
        <v>66</v>
      </c>
      <c r="L162" s="80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18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458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459</v>
      </c>
      <c r="B179" s="111">
        <v>45813</v>
      </c>
      <c r="C179" s="77"/>
      <c r="D179" s="77" t="s">
        <v>460</v>
      </c>
      <c r="E179" s="77" t="s">
        <v>179</v>
      </c>
      <c r="F179" s="77" t="s">
        <v>280</v>
      </c>
      <c r="G179" s="77" t="s">
        <v>461</v>
      </c>
      <c r="H179" s="77" t="s">
        <v>56</v>
      </c>
      <c r="I179" s="77" t="s">
        <v>377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462</v>
      </c>
      <c r="B180" s="112">
        <v>45821</v>
      </c>
      <c r="C180" s="80"/>
      <c r="D180" s="80" t="s">
        <v>463</v>
      </c>
      <c r="E180" s="80" t="s">
        <v>464</v>
      </c>
      <c r="F180" s="80" t="s">
        <v>280</v>
      </c>
      <c r="G180" s="80" t="s">
        <v>451</v>
      </c>
      <c r="H180" s="80" t="s">
        <v>69</v>
      </c>
      <c r="I180" s="80" t="s">
        <v>187</v>
      </c>
      <c r="J180" s="80"/>
      <c r="K180" s="80" t="s">
        <v>66</v>
      </c>
      <c r="L180" s="80"/>
      <c r="M180" s="105" t="str">
        <f>IFERROR(VLOOKUP(G180,Reference!$I$2:$J$175,2,FALSE()),"Operations")</f>
        <v>Operations</v>
      </c>
    </row>
    <row r="181" spans="1:13" ht="15" customHeight="1" x14ac:dyDescent="0.25">
      <c r="A181" s="77" t="s">
        <v>465</v>
      </c>
      <c r="B181" s="111">
        <v>45825</v>
      </c>
      <c r="C181" s="77"/>
      <c r="D181" s="77" t="s">
        <v>463</v>
      </c>
      <c r="E181" s="77" t="s">
        <v>464</v>
      </c>
      <c r="F181" s="77" t="s">
        <v>280</v>
      </c>
      <c r="G181" s="77" t="s">
        <v>420</v>
      </c>
      <c r="H181" s="77" t="s">
        <v>69</v>
      </c>
      <c r="I181" s="77" t="s">
        <v>421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466</v>
      </c>
      <c r="B182" s="112">
        <v>45830</v>
      </c>
      <c r="C182" s="80"/>
      <c r="D182" s="80" t="s">
        <v>342</v>
      </c>
      <c r="E182" s="80" t="s">
        <v>184</v>
      </c>
      <c r="F182" s="80" t="s">
        <v>191</v>
      </c>
      <c r="G182" s="80" t="s">
        <v>467</v>
      </c>
      <c r="H182" s="80" t="s">
        <v>60</v>
      </c>
      <c r="I182" s="80" t="s">
        <v>421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468</v>
      </c>
      <c r="B183" s="111">
        <v>45835</v>
      </c>
      <c r="C183" s="77"/>
      <c r="D183" s="77" t="s">
        <v>469</v>
      </c>
      <c r="E183" s="77" t="s">
        <v>464</v>
      </c>
      <c r="F183" s="77" t="s">
        <v>280</v>
      </c>
      <c r="G183" s="77" t="s">
        <v>470</v>
      </c>
      <c r="H183" s="77" t="s">
        <v>53</v>
      </c>
      <c r="I183" s="77" t="s">
        <v>282</v>
      </c>
      <c r="J183" s="77"/>
      <c r="K183" s="77" t="s">
        <v>89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5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471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472</v>
      </c>
      <c r="B213" s="111">
        <v>45841</v>
      </c>
      <c r="C213" s="111">
        <v>42552</v>
      </c>
      <c r="D213" s="77" t="str">
        <f t="shared" ref="D213:D228" si="0"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>9 years 0 months</v>
      </c>
      <c r="E213" s="77" t="s">
        <v>179</v>
      </c>
      <c r="F213" s="77" t="s">
        <v>191</v>
      </c>
      <c r="G213" s="77" t="s">
        <v>473</v>
      </c>
      <c r="H213" s="77" t="s">
        <v>53</v>
      </c>
      <c r="I213" s="77" t="s">
        <v>404</v>
      </c>
      <c r="J213" s="111">
        <v>45840</v>
      </c>
      <c r="K213" s="77" t="s">
        <v>76</v>
      </c>
      <c r="L213" s="77"/>
      <c r="M213" s="102" t="str">
        <f>IFERROR(VLOOKUP(G213,Reference!$I$2:$J$175,2,FALSE()),"Operations")</f>
        <v>Children Services</v>
      </c>
    </row>
    <row r="214" spans="1:13" ht="15" customHeight="1" x14ac:dyDescent="0.25">
      <c r="A214" s="80" t="s">
        <v>474</v>
      </c>
      <c r="B214" s="112">
        <v>45846</v>
      </c>
      <c r="C214" s="112">
        <v>45778</v>
      </c>
      <c r="D214" s="80" t="str">
        <f t="shared" si="0"/>
        <v>2 months</v>
      </c>
      <c r="E214" s="80" t="s">
        <v>179</v>
      </c>
      <c r="F214" s="80" t="s">
        <v>180</v>
      </c>
      <c r="G214" s="80" t="s">
        <v>475</v>
      </c>
      <c r="H214" s="80" t="s">
        <v>53</v>
      </c>
      <c r="I214" s="80" t="s">
        <v>476</v>
      </c>
      <c r="J214" s="80" t="s">
        <v>194</v>
      </c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477</v>
      </c>
      <c r="B215" s="111">
        <v>45846</v>
      </c>
      <c r="C215" s="111">
        <v>45082</v>
      </c>
      <c r="D215" s="77" t="str">
        <f t="shared" si="0"/>
        <v>2 years 1 month</v>
      </c>
      <c r="E215" s="77" t="s">
        <v>184</v>
      </c>
      <c r="F215" s="77" t="s">
        <v>191</v>
      </c>
      <c r="G215" s="77" t="s">
        <v>403</v>
      </c>
      <c r="H215" s="77" t="s">
        <v>53</v>
      </c>
      <c r="I215" s="77" t="s">
        <v>404</v>
      </c>
      <c r="J215" s="77" t="s">
        <v>194</v>
      </c>
      <c r="K215" s="77" t="s">
        <v>76</v>
      </c>
      <c r="L215" s="77"/>
      <c r="M215" s="102" t="str">
        <f>IFERROR(VLOOKUP(G215,Reference!$I$2:$J$175,2,FALSE()),"Operations")</f>
        <v>Children Services</v>
      </c>
    </row>
    <row r="216" spans="1:13" ht="15" customHeight="1" x14ac:dyDescent="0.25">
      <c r="A216" s="80" t="s">
        <v>478</v>
      </c>
      <c r="B216" s="112">
        <v>45846</v>
      </c>
      <c r="C216" s="112">
        <v>44655</v>
      </c>
      <c r="D216" s="80" t="str">
        <f t="shared" si="0"/>
        <v>3 years 3 months</v>
      </c>
      <c r="E216" s="80" t="s">
        <v>179</v>
      </c>
      <c r="F216" s="80" t="s">
        <v>180</v>
      </c>
      <c r="G216" s="80" t="s">
        <v>479</v>
      </c>
      <c r="H216" s="80" t="s">
        <v>53</v>
      </c>
      <c r="I216" s="80" t="s">
        <v>224</v>
      </c>
      <c r="J216" s="80" t="s">
        <v>110</v>
      </c>
      <c r="K216" s="80" t="s">
        <v>87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480</v>
      </c>
      <c r="B217" s="111">
        <v>45847</v>
      </c>
      <c r="C217" s="111">
        <v>45516</v>
      </c>
      <c r="D217" s="77" t="str">
        <f t="shared" si="0"/>
        <v>10 months</v>
      </c>
      <c r="E217" s="77" t="s">
        <v>184</v>
      </c>
      <c r="F217" s="77" t="s">
        <v>180</v>
      </c>
      <c r="G217" s="77" t="s">
        <v>481</v>
      </c>
      <c r="H217" s="77" t="s">
        <v>53</v>
      </c>
      <c r="I217" s="77" t="s">
        <v>482</v>
      </c>
      <c r="J217" s="77" t="s">
        <v>110</v>
      </c>
      <c r="K217" s="77" t="s">
        <v>74</v>
      </c>
      <c r="L217" s="77"/>
      <c r="M217" s="102" t="str">
        <f>IFERROR(VLOOKUP(G217,Reference!$I$2:$J$175,2,FALSE()),"Operations")</f>
        <v>Professional Services</v>
      </c>
    </row>
    <row r="218" spans="1:13" ht="15" customHeight="1" x14ac:dyDescent="0.25">
      <c r="A218" s="80" t="s">
        <v>437</v>
      </c>
      <c r="B218" s="112">
        <v>45850</v>
      </c>
      <c r="C218" s="112">
        <v>45536</v>
      </c>
      <c r="D218" s="80" t="str">
        <f t="shared" si="0"/>
        <v>10 months</v>
      </c>
      <c r="E218" s="80" t="s">
        <v>179</v>
      </c>
      <c r="F218" s="80" t="s">
        <v>180</v>
      </c>
      <c r="G218" s="80" t="s">
        <v>445</v>
      </c>
      <c r="H218" s="80" t="s">
        <v>53</v>
      </c>
      <c r="I218" s="80" t="s">
        <v>404</v>
      </c>
      <c r="J218" s="80" t="s">
        <v>110</v>
      </c>
      <c r="K218" s="80" t="s">
        <v>483</v>
      </c>
      <c r="L218" s="80"/>
      <c r="M218" s="105" t="str">
        <f>IFERROR(VLOOKUP(G218,Reference!$I$2:$J$175,2,FALSE()),"Operations")</f>
        <v>Children Services</v>
      </c>
    </row>
    <row r="219" spans="1:13" ht="15" customHeight="1" x14ac:dyDescent="0.25">
      <c r="A219" s="77" t="s">
        <v>484</v>
      </c>
      <c r="B219" s="111">
        <v>45850</v>
      </c>
      <c r="C219" s="111">
        <v>45593</v>
      </c>
      <c r="D219" s="77" t="str">
        <f t="shared" si="0"/>
        <v>8 months</v>
      </c>
      <c r="E219" s="77" t="s">
        <v>184</v>
      </c>
      <c r="F219" s="77" t="s">
        <v>191</v>
      </c>
      <c r="G219" s="77" t="s">
        <v>303</v>
      </c>
      <c r="H219" s="77" t="s">
        <v>53</v>
      </c>
      <c r="I219" s="77" t="s">
        <v>304</v>
      </c>
      <c r="J219" s="111">
        <v>45860</v>
      </c>
      <c r="K219" s="77" t="s">
        <v>83</v>
      </c>
      <c r="L219" s="77"/>
      <c r="M219" s="102" t="str">
        <f>IFERROR(VLOOKUP(G219,Reference!$I$2:$J$175,2,FALSE()),"Operations")</f>
        <v>Children Services</v>
      </c>
    </row>
    <row r="220" spans="1:13" ht="15" customHeight="1" x14ac:dyDescent="0.25">
      <c r="A220" s="80" t="s">
        <v>485</v>
      </c>
      <c r="B220" s="112">
        <v>45850</v>
      </c>
      <c r="C220" s="112">
        <v>45824</v>
      </c>
      <c r="D220" s="80" t="str">
        <f t="shared" si="0"/>
        <v>26 days</v>
      </c>
      <c r="E220" s="80" t="s">
        <v>179</v>
      </c>
      <c r="F220" s="80" t="s">
        <v>180</v>
      </c>
      <c r="G220" s="80" t="s">
        <v>486</v>
      </c>
      <c r="H220" s="80" t="s">
        <v>53</v>
      </c>
      <c r="I220" s="80" t="s">
        <v>487</v>
      </c>
      <c r="J220" s="80" t="s">
        <v>194</v>
      </c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488</v>
      </c>
      <c r="B221" s="111">
        <v>45856</v>
      </c>
      <c r="C221" s="111">
        <v>45709</v>
      </c>
      <c r="D221" s="77" t="str">
        <f t="shared" si="0"/>
        <v>4 months</v>
      </c>
      <c r="E221" s="77" t="s">
        <v>179</v>
      </c>
      <c r="F221" s="77" t="s">
        <v>180</v>
      </c>
      <c r="G221" s="77" t="s">
        <v>199</v>
      </c>
      <c r="H221" s="77" t="s">
        <v>53</v>
      </c>
      <c r="I221" s="77" t="s">
        <v>377</v>
      </c>
      <c r="J221" s="111">
        <v>45863</v>
      </c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489</v>
      </c>
      <c r="B222" s="112">
        <v>45860</v>
      </c>
      <c r="C222" s="112">
        <v>45726</v>
      </c>
      <c r="D222" s="80" t="str">
        <f t="shared" si="0"/>
        <v>4 months</v>
      </c>
      <c r="E222" s="80" t="s">
        <v>179</v>
      </c>
      <c r="F222" s="80" t="s">
        <v>180</v>
      </c>
      <c r="G222" s="80" t="s">
        <v>490</v>
      </c>
      <c r="H222" s="80" t="s">
        <v>53</v>
      </c>
      <c r="I222" s="80" t="s">
        <v>491</v>
      </c>
      <c r="J222" s="80" t="s">
        <v>110</v>
      </c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492</v>
      </c>
      <c r="B223" s="111">
        <v>45860</v>
      </c>
      <c r="C223" s="111">
        <v>45689</v>
      </c>
      <c r="D223" s="77" t="str">
        <f t="shared" si="0"/>
        <v>5 months</v>
      </c>
      <c r="E223" s="77" t="s">
        <v>184</v>
      </c>
      <c r="F223" s="77" t="s">
        <v>191</v>
      </c>
      <c r="G223" s="77" t="s">
        <v>493</v>
      </c>
      <c r="H223" s="77" t="s">
        <v>53</v>
      </c>
      <c r="I223" s="77" t="s">
        <v>494</v>
      </c>
      <c r="J223" s="111">
        <v>45862</v>
      </c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495</v>
      </c>
      <c r="B224" s="112">
        <v>45861</v>
      </c>
      <c r="C224" s="112">
        <v>45704</v>
      </c>
      <c r="D224" s="80" t="str">
        <f t="shared" si="0"/>
        <v>5 months</v>
      </c>
      <c r="E224" s="80" t="s">
        <v>179</v>
      </c>
      <c r="F224" s="80" t="s">
        <v>180</v>
      </c>
      <c r="G224" s="80" t="s">
        <v>293</v>
      </c>
      <c r="H224" s="80" t="s">
        <v>53</v>
      </c>
      <c r="I224" s="80" t="s">
        <v>496</v>
      </c>
      <c r="J224" s="80" t="s">
        <v>194</v>
      </c>
      <c r="K224" s="80" t="s">
        <v>66</v>
      </c>
      <c r="L224" s="80"/>
      <c r="M224" s="105" t="str">
        <f>IFERROR(VLOOKUP(G224,Reference!$I$2:$J$175,2,FALSE()),"Operations")</f>
        <v>Operations</v>
      </c>
    </row>
    <row r="225" spans="1:13" ht="15" customHeight="1" x14ac:dyDescent="0.25">
      <c r="A225" s="77" t="s">
        <v>497</v>
      </c>
      <c r="B225" s="111">
        <v>45862</v>
      </c>
      <c r="C225" s="111">
        <v>45778</v>
      </c>
      <c r="D225" s="77" t="str">
        <f t="shared" si="0"/>
        <v>2 months</v>
      </c>
      <c r="E225" s="77" t="s">
        <v>179</v>
      </c>
      <c r="F225" s="77" t="s">
        <v>180</v>
      </c>
      <c r="G225" s="77" t="s">
        <v>234</v>
      </c>
      <c r="H225" s="77" t="s">
        <v>53</v>
      </c>
      <c r="I225" s="77" t="s">
        <v>394</v>
      </c>
      <c r="J225" s="77" t="s">
        <v>194</v>
      </c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80" t="s">
        <v>498</v>
      </c>
      <c r="B226" s="112">
        <v>45862</v>
      </c>
      <c r="C226" s="112">
        <v>45852</v>
      </c>
      <c r="D226" s="80" t="str">
        <f t="shared" si="0"/>
        <v>10 days</v>
      </c>
      <c r="E226" s="80" t="s">
        <v>179</v>
      </c>
      <c r="F226" s="80" t="s">
        <v>180</v>
      </c>
      <c r="G226" s="80" t="s">
        <v>499</v>
      </c>
      <c r="H226" s="80" t="s">
        <v>53</v>
      </c>
      <c r="I226" s="80" t="s">
        <v>189</v>
      </c>
      <c r="J226" s="80" t="s">
        <v>194</v>
      </c>
      <c r="K226" s="80" t="s">
        <v>66</v>
      </c>
      <c r="L226" s="80"/>
      <c r="M226" s="105" t="str">
        <f>IFERROR(VLOOKUP(G226,Reference!$I$2:$J$175,2,FALSE()),"Operations")</f>
        <v>Operations</v>
      </c>
    </row>
    <row r="227" spans="1:13" ht="15" customHeight="1" x14ac:dyDescent="0.25">
      <c r="A227" s="77" t="s">
        <v>500</v>
      </c>
      <c r="B227" s="111">
        <v>45863</v>
      </c>
      <c r="C227" s="111">
        <v>43857</v>
      </c>
      <c r="D227" s="77" t="str">
        <f t="shared" si="0"/>
        <v>5 years 5 months</v>
      </c>
      <c r="E227" s="77" t="s">
        <v>184</v>
      </c>
      <c r="F227" s="77" t="s">
        <v>191</v>
      </c>
      <c r="G227" s="77" t="s">
        <v>403</v>
      </c>
      <c r="H227" s="77" t="s">
        <v>53</v>
      </c>
      <c r="I227" s="77" t="s">
        <v>404</v>
      </c>
      <c r="J227" s="111">
        <v>45863</v>
      </c>
      <c r="K227" s="77" t="s">
        <v>76</v>
      </c>
      <c r="L227" s="77"/>
      <c r="M227" s="102" t="str">
        <f>IFERROR(VLOOKUP(G227,Reference!$I$2:$J$175,2,FALSE()),"Operations")</f>
        <v>Children Services</v>
      </c>
    </row>
    <row r="228" spans="1:13" ht="15" customHeight="1" x14ac:dyDescent="0.25">
      <c r="A228" s="80" t="s">
        <v>501</v>
      </c>
      <c r="B228" s="112">
        <v>45869</v>
      </c>
      <c r="C228" s="112">
        <v>44652</v>
      </c>
      <c r="D228" s="80" t="str">
        <f t="shared" si="0"/>
        <v>3 years 3 months</v>
      </c>
      <c r="E228" s="80" t="s">
        <v>184</v>
      </c>
      <c r="F228" s="80" t="s">
        <v>180</v>
      </c>
      <c r="G228" s="80" t="s">
        <v>481</v>
      </c>
      <c r="H228" s="80" t="s">
        <v>53</v>
      </c>
      <c r="I228" s="80" t="s">
        <v>186</v>
      </c>
      <c r="J228" s="112">
        <v>45868</v>
      </c>
      <c r="K228" s="80" t="s">
        <v>483</v>
      </c>
      <c r="L228" s="80"/>
      <c r="M228" s="105" t="str">
        <f>IFERROR(VLOOKUP(G228,Reference!$I$2:$J$175,2,FALSE()),"Operations")</f>
        <v>Professional Services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16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502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503</v>
      </c>
      <c r="B247" s="111">
        <v>45877</v>
      </c>
      <c r="C247" s="111">
        <v>44652</v>
      </c>
      <c r="D247" s="77" t="str">
        <f t="shared" ref="D247:D260" si="1"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>3 years 4 months</v>
      </c>
      <c r="E247" s="77" t="s">
        <v>179</v>
      </c>
      <c r="F247" s="77" t="s">
        <v>180</v>
      </c>
      <c r="G247" s="77" t="s">
        <v>481</v>
      </c>
      <c r="H247" s="77" t="s">
        <v>53</v>
      </c>
      <c r="I247" s="77" t="s">
        <v>193</v>
      </c>
      <c r="J247" s="77" t="s">
        <v>69</v>
      </c>
      <c r="K247" s="77" t="s">
        <v>74</v>
      </c>
      <c r="L247" s="77"/>
      <c r="M247" s="102" t="str">
        <f>IFERROR(VLOOKUP(G247,Reference!$I$2:$J$175,2,FALSE()),"Operations")</f>
        <v>Professional Services</v>
      </c>
    </row>
    <row r="248" spans="1:13" ht="15" customHeight="1" x14ac:dyDescent="0.25">
      <c r="A248" s="80" t="s">
        <v>504</v>
      </c>
      <c r="B248" s="112">
        <v>45870</v>
      </c>
      <c r="C248" s="112">
        <v>45852</v>
      </c>
      <c r="D248" s="80" t="str">
        <f t="shared" si="1"/>
        <v>18 days</v>
      </c>
      <c r="E248" s="80" t="s">
        <v>179</v>
      </c>
      <c r="F248" s="80" t="s">
        <v>180</v>
      </c>
      <c r="G248" s="80" t="s">
        <v>451</v>
      </c>
      <c r="H248" s="80" t="s">
        <v>53</v>
      </c>
      <c r="I248" s="80" t="s">
        <v>505</v>
      </c>
      <c r="J248" s="80" t="s">
        <v>376</v>
      </c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506</v>
      </c>
      <c r="B249" s="111">
        <v>45873</v>
      </c>
      <c r="C249" s="111">
        <v>45870</v>
      </c>
      <c r="D249" s="77" t="str">
        <f t="shared" si="1"/>
        <v>3 days</v>
      </c>
      <c r="E249" s="77" t="s">
        <v>179</v>
      </c>
      <c r="F249" s="77" t="s">
        <v>180</v>
      </c>
      <c r="G249" s="77" t="s">
        <v>507</v>
      </c>
      <c r="H249" s="77" t="s">
        <v>53</v>
      </c>
      <c r="I249" s="77" t="s">
        <v>394</v>
      </c>
      <c r="J249" s="77" t="s">
        <v>376</v>
      </c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508</v>
      </c>
      <c r="B250" s="112">
        <v>45870</v>
      </c>
      <c r="C250" s="112">
        <v>45860</v>
      </c>
      <c r="D250" s="80" t="str">
        <f t="shared" si="1"/>
        <v>10 days</v>
      </c>
      <c r="E250" s="80" t="s">
        <v>179</v>
      </c>
      <c r="F250" s="80" t="s">
        <v>180</v>
      </c>
      <c r="G250" s="80" t="s">
        <v>507</v>
      </c>
      <c r="H250" s="80" t="s">
        <v>53</v>
      </c>
      <c r="I250" s="80" t="s">
        <v>394</v>
      </c>
      <c r="J250" s="80" t="s">
        <v>376</v>
      </c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509</v>
      </c>
      <c r="B251" s="111">
        <v>45877</v>
      </c>
      <c r="C251" s="111">
        <v>45778</v>
      </c>
      <c r="D251" s="77" t="str">
        <f t="shared" si="1"/>
        <v>3 months</v>
      </c>
      <c r="E251" s="77" t="s">
        <v>179</v>
      </c>
      <c r="F251" s="77" t="s">
        <v>191</v>
      </c>
      <c r="G251" s="77" t="s">
        <v>510</v>
      </c>
      <c r="H251" s="77" t="s">
        <v>53</v>
      </c>
      <c r="I251" s="77" t="s">
        <v>421</v>
      </c>
      <c r="J251" s="111">
        <v>45881</v>
      </c>
      <c r="K251" s="77" t="s">
        <v>68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511</v>
      </c>
      <c r="B252" s="112">
        <v>45875</v>
      </c>
      <c r="C252" s="112">
        <v>45817</v>
      </c>
      <c r="D252" s="80" t="str">
        <f t="shared" si="1"/>
        <v>1 month</v>
      </c>
      <c r="E252" s="80" t="s">
        <v>179</v>
      </c>
      <c r="F252" s="80" t="s">
        <v>191</v>
      </c>
      <c r="G252" s="80" t="s">
        <v>512</v>
      </c>
      <c r="H252" s="80" t="s">
        <v>53</v>
      </c>
      <c r="I252" s="80" t="s">
        <v>491</v>
      </c>
      <c r="J252" s="80" t="s">
        <v>194</v>
      </c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513</v>
      </c>
      <c r="B253" s="111">
        <v>45884</v>
      </c>
      <c r="C253" s="111">
        <v>45874</v>
      </c>
      <c r="D253" s="77" t="str">
        <f t="shared" si="1"/>
        <v>10 days</v>
      </c>
      <c r="E253" s="77" t="s">
        <v>179</v>
      </c>
      <c r="F253" s="77" t="s">
        <v>191</v>
      </c>
      <c r="G253" s="77" t="s">
        <v>490</v>
      </c>
      <c r="H253" s="77" t="s">
        <v>56</v>
      </c>
      <c r="I253" s="77" t="s">
        <v>421</v>
      </c>
      <c r="J253" s="77" t="s">
        <v>194</v>
      </c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514</v>
      </c>
      <c r="B254" s="112">
        <v>45885</v>
      </c>
      <c r="C254" s="112">
        <v>45566</v>
      </c>
      <c r="D254" s="80" t="str">
        <f t="shared" si="1"/>
        <v>10 months</v>
      </c>
      <c r="E254" s="80" t="s">
        <v>184</v>
      </c>
      <c r="F254" s="80" t="s">
        <v>180</v>
      </c>
      <c r="G254" s="80" t="s">
        <v>515</v>
      </c>
      <c r="H254" s="80" t="s">
        <v>72</v>
      </c>
      <c r="I254" s="80" t="s">
        <v>516</v>
      </c>
      <c r="J254" s="112">
        <v>45895</v>
      </c>
      <c r="K254" s="80" t="s">
        <v>78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517</v>
      </c>
      <c r="B255" s="111">
        <v>45886</v>
      </c>
      <c r="C255" s="111">
        <v>45876</v>
      </c>
      <c r="D255" s="77" t="str">
        <f t="shared" si="1"/>
        <v>10 days</v>
      </c>
      <c r="E255" s="77" t="s">
        <v>184</v>
      </c>
      <c r="F255" s="77" t="s">
        <v>191</v>
      </c>
      <c r="G255" s="77" t="s">
        <v>234</v>
      </c>
      <c r="H255" s="77" t="s">
        <v>60</v>
      </c>
      <c r="I255" s="77" t="s">
        <v>394</v>
      </c>
      <c r="J255" s="77" t="s">
        <v>194</v>
      </c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518</v>
      </c>
      <c r="B256" s="112">
        <v>45887</v>
      </c>
      <c r="C256" s="112">
        <v>45083</v>
      </c>
      <c r="D256" s="80" t="str">
        <f t="shared" si="1"/>
        <v>2 years 2 months</v>
      </c>
      <c r="E256" s="80" t="s">
        <v>184</v>
      </c>
      <c r="F256" s="80" t="s">
        <v>180</v>
      </c>
      <c r="G256" s="80" t="s">
        <v>285</v>
      </c>
      <c r="H256" s="80" t="s">
        <v>58</v>
      </c>
      <c r="I256" s="80" t="s">
        <v>519</v>
      </c>
      <c r="J256" s="80" t="s">
        <v>69</v>
      </c>
      <c r="K256" s="80" t="s">
        <v>83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520</v>
      </c>
      <c r="B257" s="111">
        <v>45894</v>
      </c>
      <c r="C257" s="111">
        <v>45856</v>
      </c>
      <c r="D257" s="77" t="str">
        <f t="shared" si="1"/>
        <v>1 month</v>
      </c>
      <c r="E257" s="77" t="s">
        <v>179</v>
      </c>
      <c r="F257" s="77" t="s">
        <v>191</v>
      </c>
      <c r="G257" s="77" t="s">
        <v>507</v>
      </c>
      <c r="H257" s="77" t="s">
        <v>53</v>
      </c>
      <c r="I257" s="77" t="s">
        <v>521</v>
      </c>
      <c r="J257" s="77" t="s">
        <v>194</v>
      </c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522</v>
      </c>
      <c r="B258" s="112">
        <v>45880</v>
      </c>
      <c r="C258" s="112">
        <v>45860</v>
      </c>
      <c r="D258" s="80" t="str">
        <f t="shared" si="1"/>
        <v>20 days</v>
      </c>
      <c r="E258" s="80" t="s">
        <v>179</v>
      </c>
      <c r="F258" s="80" t="s">
        <v>180</v>
      </c>
      <c r="G258" s="80" t="s">
        <v>285</v>
      </c>
      <c r="H258" s="80" t="s">
        <v>53</v>
      </c>
      <c r="I258" s="80" t="s">
        <v>523</v>
      </c>
      <c r="J258" s="80" t="s">
        <v>376</v>
      </c>
      <c r="K258" s="80" t="s">
        <v>81</v>
      </c>
      <c r="L258" s="80"/>
      <c r="M258" s="105" t="str">
        <f>IFERROR(VLOOKUP(G258,Reference!$I$2:$J$175,2,FALSE()),"Operations")</f>
        <v>Children Services</v>
      </c>
    </row>
    <row r="259" spans="1:13" ht="15" customHeight="1" x14ac:dyDescent="0.25">
      <c r="A259" s="77" t="s">
        <v>524</v>
      </c>
      <c r="B259" s="111">
        <v>45898</v>
      </c>
      <c r="C259" s="111">
        <v>45152</v>
      </c>
      <c r="D259" s="77" t="str">
        <f t="shared" si="1"/>
        <v>2 years 0 months</v>
      </c>
      <c r="E259" s="77" t="s">
        <v>179</v>
      </c>
      <c r="F259" s="77" t="s">
        <v>191</v>
      </c>
      <c r="G259" s="77" t="s">
        <v>481</v>
      </c>
      <c r="H259" s="77" t="s">
        <v>53</v>
      </c>
      <c r="I259" s="77" t="s">
        <v>193</v>
      </c>
      <c r="J259" s="111">
        <v>45897</v>
      </c>
      <c r="K259" s="77" t="s">
        <v>74</v>
      </c>
      <c r="L259" s="77"/>
      <c r="M259" s="102" t="str">
        <f>IFERROR(VLOOKUP(G259,Reference!$I$2:$J$175,2,FALSE()),"Operations")</f>
        <v>Professional Services</v>
      </c>
    </row>
    <row r="260" spans="1:13" ht="15" customHeight="1" x14ac:dyDescent="0.25">
      <c r="A260" s="80" t="s">
        <v>525</v>
      </c>
      <c r="B260" s="112">
        <v>45898</v>
      </c>
      <c r="C260" s="112">
        <v>45123</v>
      </c>
      <c r="D260" s="80" t="str">
        <f t="shared" si="1"/>
        <v>2 years 1 month</v>
      </c>
      <c r="E260" s="80" t="s">
        <v>179</v>
      </c>
      <c r="F260" s="80" t="s">
        <v>191</v>
      </c>
      <c r="G260" s="80" t="s">
        <v>481</v>
      </c>
      <c r="H260" s="80" t="s">
        <v>53</v>
      </c>
      <c r="I260" s="80" t="s">
        <v>193</v>
      </c>
      <c r="J260" s="112">
        <v>45898</v>
      </c>
      <c r="K260" s="80" t="s">
        <v>74</v>
      </c>
      <c r="L260" s="80"/>
      <c r="M260" s="105" t="str">
        <f>IFERROR(VLOOKUP(G260,Reference!$I$2:$J$175,2,FALSE()),"Operations")</f>
        <v>Professional Services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14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526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527</v>
      </c>
      <c r="B281" s="111">
        <v>45903</v>
      </c>
      <c r="C281" s="111">
        <v>44977</v>
      </c>
      <c r="D281" s="77" t="str">
        <f t="shared" ref="D281:D292" si="2"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>2 years 6 months</v>
      </c>
      <c r="E281" s="77" t="s">
        <v>184</v>
      </c>
      <c r="F281" s="77" t="s">
        <v>191</v>
      </c>
      <c r="G281" s="77" t="s">
        <v>481</v>
      </c>
      <c r="H281" s="77" t="s">
        <v>53</v>
      </c>
      <c r="I281" s="77" t="s">
        <v>193</v>
      </c>
      <c r="J281" s="111">
        <v>45902</v>
      </c>
      <c r="K281" s="77" t="s">
        <v>74</v>
      </c>
      <c r="L281" s="77"/>
      <c r="M281" s="102" t="str">
        <f>IFERROR(VLOOKUP(G281,Reference!$I$2:$J$175,2,FALSE()),"Operations")</f>
        <v>Professional Services</v>
      </c>
    </row>
    <row r="282" spans="1:13" ht="15" customHeight="1" x14ac:dyDescent="0.25">
      <c r="A282" s="80" t="s">
        <v>528</v>
      </c>
      <c r="B282" s="112">
        <v>45905</v>
      </c>
      <c r="C282" s="112">
        <v>45792</v>
      </c>
      <c r="D282" s="80" t="str">
        <f t="shared" si="2"/>
        <v>3 months</v>
      </c>
      <c r="E282" s="80" t="s">
        <v>179</v>
      </c>
      <c r="F282" s="80" t="s">
        <v>191</v>
      </c>
      <c r="G282" s="80" t="s">
        <v>285</v>
      </c>
      <c r="H282" s="80" t="s">
        <v>53</v>
      </c>
      <c r="I282" s="80" t="s">
        <v>529</v>
      </c>
      <c r="J282" s="80" t="s">
        <v>376</v>
      </c>
      <c r="K282" s="80" t="s">
        <v>81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530</v>
      </c>
      <c r="B283" s="111">
        <v>45920</v>
      </c>
      <c r="C283" s="111">
        <v>45679</v>
      </c>
      <c r="D283" s="77" t="str">
        <f t="shared" si="2"/>
        <v>7 months</v>
      </c>
      <c r="E283" s="77" t="s">
        <v>184</v>
      </c>
      <c r="F283" s="77" t="s">
        <v>191</v>
      </c>
      <c r="G283" s="77" t="s">
        <v>456</v>
      </c>
      <c r="H283" s="77" t="s">
        <v>53</v>
      </c>
      <c r="I283" s="77" t="s">
        <v>457</v>
      </c>
      <c r="J283" s="77" t="s">
        <v>531</v>
      </c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532</v>
      </c>
      <c r="B284" s="112">
        <v>45912</v>
      </c>
      <c r="C284" s="112">
        <v>45400</v>
      </c>
      <c r="D284" s="80" t="str">
        <f t="shared" si="2"/>
        <v>1 year 4 months</v>
      </c>
      <c r="E284" s="80" t="s">
        <v>179</v>
      </c>
      <c r="F284" s="80" t="s">
        <v>191</v>
      </c>
      <c r="G284" s="80" t="s">
        <v>533</v>
      </c>
      <c r="H284" s="80" t="s">
        <v>53</v>
      </c>
      <c r="I284" s="80" t="s">
        <v>457</v>
      </c>
      <c r="J284" s="112">
        <v>45917</v>
      </c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534</v>
      </c>
      <c r="B285" s="111">
        <v>45917</v>
      </c>
      <c r="C285" s="111">
        <v>45866</v>
      </c>
      <c r="D285" s="77" t="str">
        <f t="shared" si="2"/>
        <v>1 month</v>
      </c>
      <c r="E285" s="77" t="s">
        <v>179</v>
      </c>
      <c r="F285" s="77" t="s">
        <v>180</v>
      </c>
      <c r="G285" s="77" t="s">
        <v>535</v>
      </c>
      <c r="H285" s="77" t="s">
        <v>69</v>
      </c>
      <c r="I285" s="77" t="s">
        <v>476</v>
      </c>
      <c r="J285" s="77" t="s">
        <v>376</v>
      </c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536</v>
      </c>
      <c r="B286" s="112">
        <v>45919</v>
      </c>
      <c r="C286" s="112">
        <v>45835</v>
      </c>
      <c r="D286" s="80" t="str">
        <f t="shared" si="2"/>
        <v>2 months</v>
      </c>
      <c r="E286" s="80" t="s">
        <v>179</v>
      </c>
      <c r="F286" s="80" t="s">
        <v>191</v>
      </c>
      <c r="G286" s="80" t="s">
        <v>535</v>
      </c>
      <c r="H286" s="80" t="s">
        <v>53</v>
      </c>
      <c r="I286" s="80" t="s">
        <v>212</v>
      </c>
      <c r="J286" s="112">
        <v>45929</v>
      </c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537</v>
      </c>
      <c r="B287" s="111">
        <v>45925</v>
      </c>
      <c r="C287" s="111">
        <v>45908</v>
      </c>
      <c r="D287" s="77" t="str">
        <f t="shared" si="2"/>
        <v>17 days</v>
      </c>
      <c r="E287" s="77" t="s">
        <v>184</v>
      </c>
      <c r="F287" s="77" t="s">
        <v>191</v>
      </c>
      <c r="G287" s="77" t="s">
        <v>303</v>
      </c>
      <c r="H287" s="77" t="s">
        <v>53</v>
      </c>
      <c r="I287" s="77" t="s">
        <v>519</v>
      </c>
      <c r="J287" s="77" t="s">
        <v>376</v>
      </c>
      <c r="K287" s="77" t="s">
        <v>83</v>
      </c>
      <c r="L287" s="77"/>
      <c r="M287" s="102" t="str">
        <f>IFERROR(VLOOKUP(G287,Reference!$I$2:$J$175,2,FALSE()),"Operations")</f>
        <v>Children Services</v>
      </c>
    </row>
    <row r="288" spans="1:13" ht="15" customHeight="1" x14ac:dyDescent="0.25">
      <c r="A288" s="80" t="s">
        <v>538</v>
      </c>
      <c r="B288" s="112">
        <v>45924</v>
      </c>
      <c r="C288" s="112">
        <v>45908</v>
      </c>
      <c r="D288" s="80" t="str">
        <f t="shared" si="2"/>
        <v>16 days</v>
      </c>
      <c r="E288" s="80" t="s">
        <v>179</v>
      </c>
      <c r="F288" s="80" t="s">
        <v>180</v>
      </c>
      <c r="G288" s="80" t="s">
        <v>285</v>
      </c>
      <c r="H288" s="80" t="s">
        <v>53</v>
      </c>
      <c r="I288" s="80" t="s">
        <v>529</v>
      </c>
      <c r="J288" s="80" t="s">
        <v>376</v>
      </c>
      <c r="K288" s="80" t="s">
        <v>83</v>
      </c>
      <c r="L288" s="80"/>
      <c r="M288" s="105" t="str">
        <f>IFERROR(VLOOKUP(G288,Reference!$I$2:$J$175,2,FALSE()),"Operations")</f>
        <v>Children Services</v>
      </c>
    </row>
    <row r="289" spans="1:13" ht="15" customHeight="1" x14ac:dyDescent="0.25">
      <c r="A289" s="77" t="s">
        <v>539</v>
      </c>
      <c r="B289" s="111">
        <v>45924</v>
      </c>
      <c r="C289" s="111">
        <v>45806</v>
      </c>
      <c r="D289" s="77" t="str">
        <f t="shared" si="2"/>
        <v>3 months</v>
      </c>
      <c r="E289" s="77" t="s">
        <v>179</v>
      </c>
      <c r="F289" s="77" t="s">
        <v>180</v>
      </c>
      <c r="G289" s="77" t="s">
        <v>285</v>
      </c>
      <c r="H289" s="77" t="s">
        <v>53</v>
      </c>
      <c r="I289" s="77" t="s">
        <v>529</v>
      </c>
      <c r="J289" s="77" t="s">
        <v>376</v>
      </c>
      <c r="K289" s="77" t="s">
        <v>83</v>
      </c>
      <c r="L289" s="77"/>
      <c r="M289" s="102" t="str">
        <f>IFERROR(VLOOKUP(G289,Reference!$I$2:$J$175,2,FALSE()),"Operations")</f>
        <v>Children Services</v>
      </c>
    </row>
    <row r="290" spans="1:13" ht="15" customHeight="1" x14ac:dyDescent="0.25">
      <c r="A290" s="80" t="s">
        <v>540</v>
      </c>
      <c r="B290" s="112">
        <v>45925</v>
      </c>
      <c r="C290" s="112">
        <v>45764</v>
      </c>
      <c r="D290" s="80" t="str">
        <f t="shared" si="2"/>
        <v>5 months</v>
      </c>
      <c r="E290" s="80" t="s">
        <v>179</v>
      </c>
      <c r="F290" s="80" t="s">
        <v>191</v>
      </c>
      <c r="G290" s="80" t="s">
        <v>355</v>
      </c>
      <c r="H290" s="80" t="s">
        <v>69</v>
      </c>
      <c r="I290" s="80" t="s">
        <v>187</v>
      </c>
      <c r="J290" s="80" t="s">
        <v>531</v>
      </c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541</v>
      </c>
      <c r="B291" s="111">
        <v>45926</v>
      </c>
      <c r="C291" s="111">
        <v>44586</v>
      </c>
      <c r="D291" s="77" t="str">
        <f t="shared" si="2"/>
        <v>3 years 8 months</v>
      </c>
      <c r="E291" s="77" t="s">
        <v>179</v>
      </c>
      <c r="F291" s="77" t="s">
        <v>180</v>
      </c>
      <c r="G291" s="77" t="s">
        <v>507</v>
      </c>
      <c r="H291" s="77" t="s">
        <v>53</v>
      </c>
      <c r="I291" s="77" t="s">
        <v>377</v>
      </c>
      <c r="J291" s="111">
        <v>45930</v>
      </c>
      <c r="K291" s="77" t="s">
        <v>68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542</v>
      </c>
      <c r="B292" s="112">
        <v>45926</v>
      </c>
      <c r="C292" s="112">
        <v>45910</v>
      </c>
      <c r="D292" s="80" t="str">
        <f t="shared" si="2"/>
        <v>16 days</v>
      </c>
      <c r="E292" s="80" t="s">
        <v>179</v>
      </c>
      <c r="F292" s="80" t="s">
        <v>191</v>
      </c>
      <c r="G292" s="80" t="s">
        <v>490</v>
      </c>
      <c r="H292" s="80" t="s">
        <v>53</v>
      </c>
      <c r="I292" s="80" t="s">
        <v>394</v>
      </c>
      <c r="J292" s="80" t="s">
        <v>531</v>
      </c>
      <c r="K292" s="80" t="s">
        <v>68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543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544</v>
      </c>
      <c r="B315" s="111">
        <v>45940</v>
      </c>
      <c r="C315" s="111">
        <v>45778</v>
      </c>
      <c r="D315" s="77" t="str">
        <f t="shared" ref="D315:D327" si="3"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>5 months</v>
      </c>
      <c r="E315" s="77" t="s">
        <v>184</v>
      </c>
      <c r="F315" s="77" t="s">
        <v>180</v>
      </c>
      <c r="G315" s="77" t="s">
        <v>89</v>
      </c>
      <c r="H315" s="77" t="s">
        <v>53</v>
      </c>
      <c r="I315" s="77" t="s">
        <v>282</v>
      </c>
      <c r="J315" s="111">
        <v>45940</v>
      </c>
      <c r="K315" s="77" t="s">
        <v>89</v>
      </c>
      <c r="L315" s="77"/>
      <c r="M315" s="102" t="str">
        <f>IFERROR(VLOOKUP(G315,Reference!$I$2:$J$175,2,FALSE()),"Operations")</f>
        <v>Human Resources</v>
      </c>
    </row>
    <row r="316" spans="1:13" ht="15" customHeight="1" x14ac:dyDescent="0.25">
      <c r="A316" s="80" t="s">
        <v>545</v>
      </c>
      <c r="B316" s="112">
        <v>45932</v>
      </c>
      <c r="C316" s="112">
        <v>45778</v>
      </c>
      <c r="D316" s="80" t="str">
        <f t="shared" si="3"/>
        <v>5 months</v>
      </c>
      <c r="E316" s="80" t="s">
        <v>179</v>
      </c>
      <c r="F316" s="80" t="s">
        <v>191</v>
      </c>
      <c r="G316" s="80" t="s">
        <v>91</v>
      </c>
      <c r="H316" s="80" t="s">
        <v>53</v>
      </c>
      <c r="I316" s="80" t="s">
        <v>186</v>
      </c>
      <c r="J316" s="112">
        <v>45939</v>
      </c>
      <c r="K316" s="80" t="s">
        <v>91</v>
      </c>
      <c r="L316" s="80"/>
      <c r="M316" s="105" t="str">
        <f>IFERROR(VLOOKUP(G316,Reference!$I$2:$J$175,2,FALSE()),"Operations")</f>
        <v>QA</v>
      </c>
    </row>
    <row r="317" spans="1:13" ht="15" customHeight="1" x14ac:dyDescent="0.25">
      <c r="A317" s="77" t="s">
        <v>546</v>
      </c>
      <c r="B317" s="111">
        <v>45933</v>
      </c>
      <c r="C317" s="111">
        <v>45748</v>
      </c>
      <c r="D317" s="77" t="str">
        <f t="shared" si="3"/>
        <v>6 months</v>
      </c>
      <c r="E317" s="77" t="s">
        <v>179</v>
      </c>
      <c r="F317" s="77" t="s">
        <v>191</v>
      </c>
      <c r="G317" s="77" t="s">
        <v>547</v>
      </c>
      <c r="H317" s="77" t="s">
        <v>53</v>
      </c>
      <c r="I317" s="77" t="s">
        <v>389</v>
      </c>
      <c r="J317" s="77" t="s">
        <v>548</v>
      </c>
      <c r="K317" s="77" t="s">
        <v>70</v>
      </c>
      <c r="L317" s="77"/>
      <c r="M317" s="102" t="str">
        <f>IFERROR(VLOOKUP(G317,Reference!$I$2:$J$175,2,FALSE()),"Operations")</f>
        <v>Employment Services</v>
      </c>
    </row>
    <row r="318" spans="1:13" ht="15" customHeight="1" x14ac:dyDescent="0.25">
      <c r="A318" s="80" t="s">
        <v>549</v>
      </c>
      <c r="B318" s="112">
        <v>45932</v>
      </c>
      <c r="C318" s="112">
        <v>45903</v>
      </c>
      <c r="D318" s="80" t="str">
        <f t="shared" si="3"/>
        <v>29 days</v>
      </c>
      <c r="E318" s="80" t="s">
        <v>179</v>
      </c>
      <c r="F318" s="80" t="s">
        <v>191</v>
      </c>
      <c r="G318" s="80" t="s">
        <v>550</v>
      </c>
      <c r="H318" s="80" t="s">
        <v>69</v>
      </c>
      <c r="I318" s="80" t="s">
        <v>394</v>
      </c>
      <c r="J318" s="80" t="s">
        <v>531</v>
      </c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551</v>
      </c>
      <c r="B319" s="111">
        <v>45938</v>
      </c>
      <c r="C319" s="111">
        <v>45931</v>
      </c>
      <c r="D319" s="77" t="str">
        <f t="shared" si="3"/>
        <v>7 days</v>
      </c>
      <c r="E319" s="77" t="s">
        <v>179</v>
      </c>
      <c r="F319" s="77" t="s">
        <v>191</v>
      </c>
      <c r="G319" s="77" t="s">
        <v>234</v>
      </c>
      <c r="H319" s="77" t="s">
        <v>69</v>
      </c>
      <c r="I319" s="77" t="s">
        <v>552</v>
      </c>
      <c r="J319" s="77" t="s">
        <v>553</v>
      </c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554</v>
      </c>
      <c r="B320" s="112">
        <v>45938</v>
      </c>
      <c r="C320" s="112">
        <v>44294</v>
      </c>
      <c r="D320" s="80" t="str">
        <f t="shared" si="3"/>
        <v>4 years 6 months</v>
      </c>
      <c r="E320" s="80" t="s">
        <v>179</v>
      </c>
      <c r="F320" s="80" t="s">
        <v>191</v>
      </c>
      <c r="G320" s="80" t="s">
        <v>475</v>
      </c>
      <c r="H320" s="80" t="s">
        <v>69</v>
      </c>
      <c r="I320" s="80" t="s">
        <v>476</v>
      </c>
      <c r="J320" s="80" t="s">
        <v>555</v>
      </c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556</v>
      </c>
      <c r="B321" s="111">
        <v>45937</v>
      </c>
      <c r="C321" s="111">
        <v>45854</v>
      </c>
      <c r="D321" s="77" t="str">
        <f t="shared" si="3"/>
        <v>2 months</v>
      </c>
      <c r="E321" s="77" t="s">
        <v>184</v>
      </c>
      <c r="F321" s="77" t="s">
        <v>191</v>
      </c>
      <c r="G321" s="77" t="s">
        <v>557</v>
      </c>
      <c r="H321" s="77" t="s">
        <v>53</v>
      </c>
      <c r="I321" s="77" t="s">
        <v>328</v>
      </c>
      <c r="J321" s="77" t="s">
        <v>558</v>
      </c>
      <c r="K321" s="77" t="s">
        <v>68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80" t="s">
        <v>559</v>
      </c>
      <c r="B322" s="112">
        <v>45947</v>
      </c>
      <c r="C322" s="112">
        <v>45709</v>
      </c>
      <c r="D322" s="80" t="str">
        <f t="shared" si="3"/>
        <v>7 months</v>
      </c>
      <c r="E322" s="80" t="s">
        <v>184</v>
      </c>
      <c r="F322" s="80" t="s">
        <v>191</v>
      </c>
      <c r="G322" s="80" t="s">
        <v>285</v>
      </c>
      <c r="H322" s="80" t="s">
        <v>53</v>
      </c>
      <c r="I322" s="80" t="s">
        <v>529</v>
      </c>
      <c r="J322" s="112">
        <v>45943</v>
      </c>
      <c r="K322" s="80" t="s">
        <v>80</v>
      </c>
      <c r="L322" s="80"/>
      <c r="M322" s="105" t="str">
        <f>IFERROR(VLOOKUP(G322,Reference!$I$2:$J$175,2,FALSE()),"Operations")</f>
        <v>Children Services</v>
      </c>
    </row>
    <row r="323" spans="1:13" ht="15" customHeight="1" x14ac:dyDescent="0.25">
      <c r="A323" s="77" t="s">
        <v>560</v>
      </c>
      <c r="B323" s="111">
        <v>45940</v>
      </c>
      <c r="C323" s="111">
        <v>45929</v>
      </c>
      <c r="D323" s="77" t="str">
        <f t="shared" si="3"/>
        <v>11 days</v>
      </c>
      <c r="E323" s="77" t="s">
        <v>184</v>
      </c>
      <c r="F323" s="77" t="s">
        <v>191</v>
      </c>
      <c r="G323" s="77" t="s">
        <v>561</v>
      </c>
      <c r="H323" s="77" t="s">
        <v>70</v>
      </c>
      <c r="I323" s="77" t="s">
        <v>377</v>
      </c>
      <c r="J323" s="77" t="s">
        <v>376</v>
      </c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562</v>
      </c>
      <c r="B324" s="112">
        <v>45938</v>
      </c>
      <c r="C324" s="112">
        <v>45925</v>
      </c>
      <c r="D324" s="80" t="str">
        <f t="shared" si="3"/>
        <v>13 days</v>
      </c>
      <c r="E324" s="80" t="s">
        <v>179</v>
      </c>
      <c r="F324" s="80" t="s">
        <v>191</v>
      </c>
      <c r="G324" s="80" t="s">
        <v>223</v>
      </c>
      <c r="H324" s="80" t="s">
        <v>70</v>
      </c>
      <c r="I324" s="80" t="s">
        <v>377</v>
      </c>
      <c r="J324" s="80" t="s">
        <v>376</v>
      </c>
      <c r="K324" s="80" t="s">
        <v>66</v>
      </c>
      <c r="L324" s="80"/>
      <c r="M324" s="105" t="str">
        <f>IFERROR(VLOOKUP(G324,Reference!$I$2:$J$175,2,FALSE()),"Operations")</f>
        <v>Operations</v>
      </c>
    </row>
    <row r="325" spans="1:13" ht="15" customHeight="1" x14ac:dyDescent="0.25">
      <c r="A325" s="77" t="s">
        <v>563</v>
      </c>
      <c r="B325" s="111">
        <v>45950</v>
      </c>
      <c r="C325" s="111">
        <v>45536</v>
      </c>
      <c r="D325" s="77" t="str">
        <f t="shared" si="3"/>
        <v>1 year 1 month</v>
      </c>
      <c r="E325" s="77" t="s">
        <v>179</v>
      </c>
      <c r="F325" s="77" t="s">
        <v>191</v>
      </c>
      <c r="G325" s="77" t="s">
        <v>564</v>
      </c>
      <c r="H325" s="77" t="s">
        <v>69</v>
      </c>
      <c r="I325" s="77" t="s">
        <v>476</v>
      </c>
      <c r="J325" s="77" t="s">
        <v>531</v>
      </c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565</v>
      </c>
      <c r="B326" s="112">
        <v>45950</v>
      </c>
      <c r="C326" s="112">
        <v>43874</v>
      </c>
      <c r="D326" s="80" t="str">
        <f t="shared" si="3"/>
        <v>5 years 8 months</v>
      </c>
      <c r="E326" s="80" t="s">
        <v>179</v>
      </c>
      <c r="F326" s="80" t="s">
        <v>180</v>
      </c>
      <c r="G326" s="80" t="s">
        <v>535</v>
      </c>
      <c r="H326" s="80" t="s">
        <v>58</v>
      </c>
      <c r="I326" s="80" t="s">
        <v>212</v>
      </c>
      <c r="J326" s="80" t="s">
        <v>531</v>
      </c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77" t="s">
        <v>566</v>
      </c>
      <c r="B327" s="111">
        <v>45957</v>
      </c>
      <c r="C327" s="111">
        <v>45805</v>
      </c>
      <c r="D327" s="77" t="str">
        <f t="shared" si="3"/>
        <v>4 months</v>
      </c>
      <c r="E327" s="77" t="s">
        <v>179</v>
      </c>
      <c r="F327" s="77" t="s">
        <v>191</v>
      </c>
      <c r="G327" s="77" t="s">
        <v>567</v>
      </c>
      <c r="H327" s="77" t="s">
        <v>53</v>
      </c>
      <c r="I327" s="77" t="s">
        <v>328</v>
      </c>
      <c r="J327" s="77"/>
      <c r="K327" s="77" t="s">
        <v>66</v>
      </c>
      <c r="L327" s="77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13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568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569</v>
      </c>
      <c r="B349" s="111">
        <v>45967</v>
      </c>
      <c r="C349" s="111">
        <v>45526</v>
      </c>
      <c r="D349" s="77" t="str">
        <f t="shared" ref="D349:D357" si="4"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>1 year 2 months</v>
      </c>
      <c r="E349" s="77" t="s">
        <v>179</v>
      </c>
      <c r="F349" s="77" t="s">
        <v>180</v>
      </c>
      <c r="G349" s="77" t="s">
        <v>285</v>
      </c>
      <c r="H349" s="77" t="s">
        <v>53</v>
      </c>
      <c r="I349" s="77" t="s">
        <v>529</v>
      </c>
      <c r="J349" s="111">
        <v>45981</v>
      </c>
      <c r="K349" s="77" t="s">
        <v>81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570</v>
      </c>
      <c r="B350" s="112">
        <v>45972</v>
      </c>
      <c r="C350" s="112">
        <v>45923</v>
      </c>
      <c r="D350" s="80" t="str">
        <f t="shared" si="4"/>
        <v>1 month</v>
      </c>
      <c r="E350" s="80" t="s">
        <v>179</v>
      </c>
      <c r="F350" s="80" t="s">
        <v>191</v>
      </c>
      <c r="G350" s="80" t="s">
        <v>250</v>
      </c>
      <c r="H350" s="80" t="s">
        <v>53</v>
      </c>
      <c r="I350" s="80" t="s">
        <v>328</v>
      </c>
      <c r="J350" s="112">
        <v>45979</v>
      </c>
      <c r="K350" s="80" t="s">
        <v>66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571</v>
      </c>
      <c r="B351" s="111">
        <v>45973</v>
      </c>
      <c r="C351" s="111">
        <v>45931</v>
      </c>
      <c r="D351" s="77" t="str">
        <f t="shared" si="4"/>
        <v>1 month</v>
      </c>
      <c r="E351" s="77" t="s">
        <v>179</v>
      </c>
      <c r="F351" s="77" t="s">
        <v>180</v>
      </c>
      <c r="G351" s="77" t="s">
        <v>572</v>
      </c>
      <c r="H351" s="77" t="s">
        <v>53</v>
      </c>
      <c r="I351" s="77" t="s">
        <v>573</v>
      </c>
      <c r="J351" s="77" t="s">
        <v>376</v>
      </c>
      <c r="K351" s="77" t="s">
        <v>89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574</v>
      </c>
      <c r="B352" s="112">
        <v>45974</v>
      </c>
      <c r="C352" s="112">
        <v>45236</v>
      </c>
      <c r="D352" s="80" t="str">
        <f t="shared" si="4"/>
        <v>2 years 0 months</v>
      </c>
      <c r="E352" s="80" t="s">
        <v>179</v>
      </c>
      <c r="F352" s="80" t="s">
        <v>191</v>
      </c>
      <c r="G352" s="80" t="s">
        <v>572</v>
      </c>
      <c r="H352" s="80" t="s">
        <v>69</v>
      </c>
      <c r="I352" s="80" t="s">
        <v>377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575</v>
      </c>
      <c r="B353" s="111">
        <v>45973</v>
      </c>
      <c r="C353" s="111">
        <v>45895</v>
      </c>
      <c r="D353" s="77" t="str">
        <f t="shared" si="4"/>
        <v>2 months</v>
      </c>
      <c r="E353" s="77" t="s">
        <v>179</v>
      </c>
      <c r="F353" s="77" t="s">
        <v>191</v>
      </c>
      <c r="G353" s="77" t="s">
        <v>285</v>
      </c>
      <c r="H353" s="77" t="s">
        <v>53</v>
      </c>
      <c r="I353" s="77" t="s">
        <v>529</v>
      </c>
      <c r="J353" s="77"/>
      <c r="K353" s="77" t="s">
        <v>81</v>
      </c>
      <c r="L353" s="77"/>
      <c r="M353" s="102" t="str">
        <f>IFERROR(VLOOKUP(G353,Reference!$I$2:$J$175,2,FALSE()),"Operations")</f>
        <v>Children Services</v>
      </c>
    </row>
    <row r="354" spans="1:13" ht="15" customHeight="1" x14ac:dyDescent="0.25">
      <c r="A354" s="80" t="s">
        <v>576</v>
      </c>
      <c r="B354" s="112">
        <v>45978</v>
      </c>
      <c r="C354" s="112">
        <v>45874</v>
      </c>
      <c r="D354" s="80" t="str">
        <f t="shared" si="4"/>
        <v>3 months</v>
      </c>
      <c r="E354" s="80" t="s">
        <v>179</v>
      </c>
      <c r="F354" s="80" t="s">
        <v>191</v>
      </c>
      <c r="G354" s="80" t="s">
        <v>572</v>
      </c>
      <c r="H354" s="80" t="s">
        <v>53</v>
      </c>
      <c r="I354" s="80" t="s">
        <v>573</v>
      </c>
      <c r="J354" s="112">
        <v>45978</v>
      </c>
      <c r="K354" s="80" t="s">
        <v>89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577</v>
      </c>
      <c r="B355" s="111">
        <v>45982</v>
      </c>
      <c r="C355" s="111">
        <v>45890</v>
      </c>
      <c r="D355" s="77" t="str">
        <f t="shared" si="4"/>
        <v>3 months</v>
      </c>
      <c r="E355" s="77" t="s">
        <v>179</v>
      </c>
      <c r="F355" s="77" t="s">
        <v>180</v>
      </c>
      <c r="G355" s="77" t="s">
        <v>572</v>
      </c>
      <c r="H355" s="77" t="s">
        <v>53</v>
      </c>
      <c r="I355" s="77" t="s">
        <v>224</v>
      </c>
      <c r="J355" s="77" t="s">
        <v>376</v>
      </c>
      <c r="K355" s="77" t="s">
        <v>87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578</v>
      </c>
      <c r="B356" s="112">
        <v>45988</v>
      </c>
      <c r="C356" s="112">
        <v>45719</v>
      </c>
      <c r="D356" s="80" t="str">
        <f t="shared" si="4"/>
        <v>8 months</v>
      </c>
      <c r="E356" s="80" t="s">
        <v>179</v>
      </c>
      <c r="F356" s="80" t="s">
        <v>191</v>
      </c>
      <c r="G356" s="80" t="s">
        <v>285</v>
      </c>
      <c r="H356" s="80" t="s">
        <v>53</v>
      </c>
      <c r="I356" s="80" t="s">
        <v>529</v>
      </c>
      <c r="J356" s="80" t="s">
        <v>376</v>
      </c>
      <c r="K356" s="80" t="s">
        <v>83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579</v>
      </c>
      <c r="B357" s="111">
        <v>45990</v>
      </c>
      <c r="C357" s="111">
        <v>45910</v>
      </c>
      <c r="D357" s="77" t="str">
        <f t="shared" si="4"/>
        <v>2 months</v>
      </c>
      <c r="E357" s="77" t="s">
        <v>179</v>
      </c>
      <c r="F357" s="77" t="s">
        <v>191</v>
      </c>
      <c r="G357" s="77" t="s">
        <v>580</v>
      </c>
      <c r="H357" s="77" t="s">
        <v>58</v>
      </c>
      <c r="I357" s="77" t="s">
        <v>189</v>
      </c>
      <c r="J357" s="77" t="s">
        <v>581</v>
      </c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9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582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583</v>
      </c>
      <c r="B383" s="111">
        <v>46012</v>
      </c>
      <c r="C383" s="111">
        <v>45509</v>
      </c>
      <c r="D383" s="77" t="str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>1 year 4 months</v>
      </c>
      <c r="E383" s="77" t="s">
        <v>179</v>
      </c>
      <c r="F383" s="77" t="s">
        <v>180</v>
      </c>
      <c r="G383" s="77" t="s">
        <v>285</v>
      </c>
      <c r="H383" s="77" t="s">
        <v>53</v>
      </c>
      <c r="I383" s="77" t="s">
        <v>529</v>
      </c>
      <c r="J383" s="77" t="s">
        <v>376</v>
      </c>
      <c r="K383" s="77" t="s">
        <v>80</v>
      </c>
      <c r="L383" s="77"/>
      <c r="M383" s="102" t="str">
        <f>IFERROR(VLOOKUP(G383,Reference!$I$2:$J$175,2,FALSE()),"Operations")</f>
        <v>Children Services</v>
      </c>
    </row>
    <row r="384" spans="1:13" ht="15" customHeight="1" x14ac:dyDescent="0.25">
      <c r="A384" s="80" t="s">
        <v>584</v>
      </c>
      <c r="B384" s="112">
        <v>46016</v>
      </c>
      <c r="C384" s="112">
        <v>45237</v>
      </c>
      <c r="D384" s="80" t="str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>2 years 1 month</v>
      </c>
      <c r="E384" s="80" t="s">
        <v>184</v>
      </c>
      <c r="F384" s="80" t="s">
        <v>191</v>
      </c>
      <c r="G384" s="80" t="s">
        <v>585</v>
      </c>
      <c r="H384" s="80" t="s">
        <v>56</v>
      </c>
      <c r="I384" s="80" t="s">
        <v>586</v>
      </c>
      <c r="J384" s="80" t="s">
        <v>376</v>
      </c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587</v>
      </c>
      <c r="B385" s="111">
        <v>46004</v>
      </c>
      <c r="C385" s="111">
        <v>45937</v>
      </c>
      <c r="D385" s="77" t="str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>2 months</v>
      </c>
      <c r="E385" s="77" t="s">
        <v>184</v>
      </c>
      <c r="F385" s="77" t="s">
        <v>191</v>
      </c>
      <c r="G385" s="77" t="s">
        <v>285</v>
      </c>
      <c r="H385" s="77" t="s">
        <v>70</v>
      </c>
      <c r="I385" s="77" t="s">
        <v>529</v>
      </c>
      <c r="J385" s="77" t="s">
        <v>376</v>
      </c>
      <c r="K385" s="77" t="s">
        <v>83</v>
      </c>
      <c r="L385" s="77"/>
      <c r="M385" s="102" t="str">
        <f>IFERROR(VLOOKUP(G385,Reference!$I$2:$J$175,2,FALSE()),"Operations")</f>
        <v>Children Services</v>
      </c>
    </row>
    <row r="386" spans="1:13" ht="15" customHeight="1" x14ac:dyDescent="0.25">
      <c r="A386" s="80" t="s">
        <v>588</v>
      </c>
      <c r="B386" s="112">
        <v>46020</v>
      </c>
      <c r="C386" s="112">
        <v>45966</v>
      </c>
      <c r="D386" s="80" t="str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>1 month</v>
      </c>
      <c r="E386" s="80" t="s">
        <v>179</v>
      </c>
      <c r="F386" s="80" t="s">
        <v>191</v>
      </c>
      <c r="G386" s="80" t="s">
        <v>250</v>
      </c>
      <c r="H386" s="80" t="s">
        <v>56</v>
      </c>
      <c r="I386" s="80" t="s">
        <v>182</v>
      </c>
      <c r="J386" s="80" t="s">
        <v>376</v>
      </c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589</v>
      </c>
      <c r="B387" s="111">
        <v>49673</v>
      </c>
      <c r="C387" s="111">
        <v>45735</v>
      </c>
      <c r="D387" s="77" t="str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>10 years 9 months</v>
      </c>
      <c r="E387" s="77" t="s">
        <v>179</v>
      </c>
      <c r="F387" s="77" t="s">
        <v>191</v>
      </c>
      <c r="G387" s="77" t="s">
        <v>590</v>
      </c>
      <c r="H387" s="77" t="s">
        <v>58</v>
      </c>
      <c r="I387" s="77"/>
      <c r="J387" s="77"/>
      <c r="K387" s="77" t="s">
        <v>68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5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4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4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4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4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4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3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86AB"/>
  </sheetPr>
  <dimension ref="A1:M414"/>
  <sheetViews>
    <sheetView zoomScaleNormal="100" workbookViewId="0">
      <pane ySplit="6" topLeftCell="A202" activePane="bottomLeft" state="frozen"/>
      <selection pane="bottomLeft" activeCell="A224" sqref="A22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591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592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158</v>
      </c>
      <c r="F5" s="97"/>
      <c r="G5" s="95" t="s">
        <v>149</v>
      </c>
      <c r="H5" s="99">
        <f>IF(B5=0,0,E5/B5)</f>
        <v>0.46607669616519176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593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594</v>
      </c>
      <c r="B9" s="77"/>
      <c r="C9" s="77"/>
      <c r="D9" s="77" t="s">
        <v>595</v>
      </c>
      <c r="E9" s="77" t="s">
        <v>184</v>
      </c>
      <c r="F9" s="77" t="s">
        <v>191</v>
      </c>
      <c r="G9" s="77" t="s">
        <v>535</v>
      </c>
      <c r="H9" s="77" t="s">
        <v>60</v>
      </c>
      <c r="I9" s="77" t="s">
        <v>182</v>
      </c>
      <c r="J9" s="77"/>
      <c r="K9" s="77" t="s">
        <v>66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596</v>
      </c>
      <c r="B10" s="80"/>
      <c r="C10" s="80"/>
      <c r="D10" s="80" t="s">
        <v>597</v>
      </c>
      <c r="E10" s="80" t="s">
        <v>184</v>
      </c>
      <c r="F10" s="80" t="s">
        <v>191</v>
      </c>
      <c r="G10" s="80"/>
      <c r="H10" s="80" t="s">
        <v>58</v>
      </c>
      <c r="I10" s="80" t="s">
        <v>331</v>
      </c>
      <c r="J10" s="80"/>
      <c r="K10" s="80" t="s">
        <v>70</v>
      </c>
      <c r="L10" s="80"/>
      <c r="M10" s="105" t="str">
        <f>IFERROR(VLOOKUP(G10,Reference!$I$2:$J$175,2,FALSE()),"Operations")</f>
        <v>Operations</v>
      </c>
    </row>
    <row r="11" spans="1:13" ht="15" customHeight="1" x14ac:dyDescent="0.25">
      <c r="A11" s="77" t="s">
        <v>598</v>
      </c>
      <c r="B11" s="77"/>
      <c r="C11" s="77"/>
      <c r="D11" s="77" t="s">
        <v>599</v>
      </c>
      <c r="E11" s="77" t="s">
        <v>184</v>
      </c>
      <c r="F11" s="77" t="s">
        <v>191</v>
      </c>
      <c r="G11" s="77" t="s">
        <v>600</v>
      </c>
      <c r="H11" s="77" t="s">
        <v>58</v>
      </c>
      <c r="I11" s="77" t="s">
        <v>601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602</v>
      </c>
      <c r="B12" s="80"/>
      <c r="C12" s="80"/>
      <c r="D12" s="80" t="s">
        <v>603</v>
      </c>
      <c r="E12" s="80" t="s">
        <v>184</v>
      </c>
      <c r="F12" s="80" t="s">
        <v>191</v>
      </c>
      <c r="G12" s="80" t="s">
        <v>604</v>
      </c>
      <c r="H12" s="80" t="s">
        <v>58</v>
      </c>
      <c r="I12" s="80" t="s">
        <v>601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605</v>
      </c>
      <c r="B13" s="77"/>
      <c r="C13" s="77"/>
      <c r="D13" s="77" t="s">
        <v>606</v>
      </c>
      <c r="E13" s="77" t="s">
        <v>184</v>
      </c>
      <c r="F13" s="77" t="s">
        <v>191</v>
      </c>
      <c r="G13" s="77" t="s">
        <v>607</v>
      </c>
      <c r="H13" s="77" t="s">
        <v>70</v>
      </c>
      <c r="I13" s="77" t="s">
        <v>608</v>
      </c>
      <c r="J13" s="77"/>
      <c r="K13" s="77" t="s">
        <v>84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609</v>
      </c>
      <c r="B14" s="80"/>
      <c r="C14" s="80"/>
      <c r="D14" s="80" t="s">
        <v>610</v>
      </c>
      <c r="E14" s="80" t="s">
        <v>184</v>
      </c>
      <c r="F14" s="80" t="s">
        <v>191</v>
      </c>
      <c r="G14" s="80" t="s">
        <v>310</v>
      </c>
      <c r="H14" s="80" t="s">
        <v>58</v>
      </c>
      <c r="I14" s="80" t="s">
        <v>235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611</v>
      </c>
      <c r="B15" s="77"/>
      <c r="C15" s="77"/>
      <c r="D15" s="77" t="s">
        <v>612</v>
      </c>
      <c r="E15" s="77" t="s">
        <v>184</v>
      </c>
      <c r="F15" s="77" t="s">
        <v>191</v>
      </c>
      <c r="G15" s="77" t="s">
        <v>613</v>
      </c>
      <c r="H15" s="77" t="s">
        <v>58</v>
      </c>
      <c r="I15" s="77" t="s">
        <v>235</v>
      </c>
      <c r="J15" s="77"/>
      <c r="K15" s="77" t="s">
        <v>66</v>
      </c>
      <c r="L15" s="77"/>
      <c r="M15" s="102" t="str">
        <f>IFERROR(VLOOKUP(G15,Reference!$I$2:$J$175,2,FALSE()),"Operations")</f>
        <v>Operations</v>
      </c>
    </row>
    <row r="16" spans="1:13" ht="15" customHeight="1" x14ac:dyDescent="0.25">
      <c r="A16" s="80" t="s">
        <v>614</v>
      </c>
      <c r="B16" s="80"/>
      <c r="C16" s="80"/>
      <c r="D16" s="80" t="s">
        <v>615</v>
      </c>
      <c r="E16" s="80" t="s">
        <v>184</v>
      </c>
      <c r="F16" s="80" t="s">
        <v>191</v>
      </c>
      <c r="G16" s="80" t="s">
        <v>616</v>
      </c>
      <c r="H16" s="80" t="s">
        <v>70</v>
      </c>
      <c r="I16" s="80" t="s">
        <v>617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618</v>
      </c>
      <c r="B17" s="77"/>
      <c r="C17" s="77"/>
      <c r="D17" s="77" t="s">
        <v>619</v>
      </c>
      <c r="E17" s="77" t="s">
        <v>184</v>
      </c>
      <c r="F17" s="77" t="s">
        <v>191</v>
      </c>
      <c r="G17" s="77" t="s">
        <v>481</v>
      </c>
      <c r="H17" s="77" t="s">
        <v>56</v>
      </c>
      <c r="I17" s="77" t="s">
        <v>501</v>
      </c>
      <c r="J17" s="77"/>
      <c r="K17" s="77" t="s">
        <v>74</v>
      </c>
      <c r="L17" s="77"/>
      <c r="M17" s="102" t="str">
        <f>IFERROR(VLOOKUP(G17,Reference!$I$2:$J$175,2,FALSE()),"Operations")</f>
        <v>Professional Services</v>
      </c>
    </row>
    <row r="18" spans="1:13" ht="15" customHeight="1" x14ac:dyDescent="0.25">
      <c r="A18" s="80" t="s">
        <v>620</v>
      </c>
      <c r="B18" s="80"/>
      <c r="C18" s="80"/>
      <c r="D18" s="80" t="s">
        <v>621</v>
      </c>
      <c r="E18" s="80" t="s">
        <v>179</v>
      </c>
      <c r="F18" s="80" t="s">
        <v>191</v>
      </c>
      <c r="G18" s="80" t="s">
        <v>622</v>
      </c>
      <c r="H18" s="80" t="s">
        <v>60</v>
      </c>
      <c r="I18" s="80" t="s">
        <v>235</v>
      </c>
      <c r="J18" s="80"/>
      <c r="K18" s="80" t="s">
        <v>66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623</v>
      </c>
      <c r="B19" s="77"/>
      <c r="C19" s="77"/>
      <c r="D19" s="77" t="s">
        <v>624</v>
      </c>
      <c r="E19" s="77" t="s">
        <v>179</v>
      </c>
      <c r="F19" s="77" t="s">
        <v>191</v>
      </c>
      <c r="G19" s="77" t="s">
        <v>613</v>
      </c>
      <c r="H19" s="77" t="s">
        <v>70</v>
      </c>
      <c r="I19" s="77" t="s">
        <v>235</v>
      </c>
      <c r="J19" s="77"/>
      <c r="K19" s="77" t="s">
        <v>66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625</v>
      </c>
      <c r="B20" s="80"/>
      <c r="C20" s="80"/>
      <c r="D20" s="80" t="s">
        <v>626</v>
      </c>
      <c r="E20" s="80" t="s">
        <v>184</v>
      </c>
      <c r="F20" s="80" t="s">
        <v>191</v>
      </c>
      <c r="G20" s="80" t="s">
        <v>336</v>
      </c>
      <c r="H20" s="80" t="s">
        <v>58</v>
      </c>
      <c r="I20" s="80" t="s">
        <v>235</v>
      </c>
      <c r="J20" s="80"/>
      <c r="K20" s="80" t="s">
        <v>66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627</v>
      </c>
      <c r="B21" s="77"/>
      <c r="C21" s="77"/>
      <c r="D21" s="77" t="s">
        <v>358</v>
      </c>
      <c r="E21" s="77" t="s">
        <v>184</v>
      </c>
      <c r="F21" s="77" t="s">
        <v>191</v>
      </c>
      <c r="G21" s="77" t="s">
        <v>628</v>
      </c>
      <c r="H21" s="77" t="s">
        <v>58</v>
      </c>
      <c r="I21" s="77" t="s">
        <v>601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629</v>
      </c>
      <c r="B22" s="80"/>
      <c r="C22" s="80"/>
      <c r="D22" s="80" t="s">
        <v>302</v>
      </c>
      <c r="E22" s="80" t="s">
        <v>179</v>
      </c>
      <c r="F22" s="80" t="s">
        <v>191</v>
      </c>
      <c r="G22" s="80" t="s">
        <v>616</v>
      </c>
      <c r="H22" s="80" t="s">
        <v>56</v>
      </c>
      <c r="I22" s="80" t="s">
        <v>617</v>
      </c>
      <c r="J22" s="80"/>
      <c r="K22" s="80" t="s">
        <v>66</v>
      </c>
      <c r="L22" s="80"/>
      <c r="M22" s="105" t="str">
        <f>IFERROR(VLOOKUP(G22,Reference!$I$2:$J$175,2,FALSE()),"Operations")</f>
        <v>Operations</v>
      </c>
    </row>
    <row r="23" spans="1:13" ht="15" customHeight="1" x14ac:dyDescent="0.25">
      <c r="A23" s="77" t="s">
        <v>630</v>
      </c>
      <c r="B23" s="77"/>
      <c r="C23" s="77"/>
      <c r="D23" s="77" t="s">
        <v>323</v>
      </c>
      <c r="E23" s="77" t="s">
        <v>179</v>
      </c>
      <c r="F23" s="77" t="s">
        <v>191</v>
      </c>
      <c r="G23" s="77" t="s">
        <v>631</v>
      </c>
      <c r="H23" s="77" t="s">
        <v>70</v>
      </c>
      <c r="I23" s="77" t="s">
        <v>632</v>
      </c>
      <c r="J23" s="77"/>
      <c r="K23" s="77" t="s">
        <v>66</v>
      </c>
      <c r="L23" s="77"/>
      <c r="M23" s="102" t="str">
        <f>IFERROR(VLOOKUP(G23,Reference!$I$2:$J$175,2,FALSE()),"Operations")</f>
        <v>Operations</v>
      </c>
    </row>
    <row r="24" spans="1:13" ht="15" customHeight="1" x14ac:dyDescent="0.25">
      <c r="A24" s="80" t="s">
        <v>633</v>
      </c>
      <c r="B24" s="80"/>
      <c r="C24" s="80"/>
      <c r="D24" s="80" t="s">
        <v>634</v>
      </c>
      <c r="E24" s="80" t="s">
        <v>184</v>
      </c>
      <c r="F24" s="80" t="s">
        <v>191</v>
      </c>
      <c r="G24" s="80" t="s">
        <v>78</v>
      </c>
      <c r="H24" s="80" t="s">
        <v>60</v>
      </c>
      <c r="I24" s="80" t="s">
        <v>348</v>
      </c>
      <c r="J24" s="80"/>
      <c r="K24" s="80" t="s">
        <v>78</v>
      </c>
      <c r="L24" s="80"/>
      <c r="M24" s="105" t="str">
        <f>IFERROR(VLOOKUP(G24,Reference!$I$2:$J$175,2,FALSE()),"Operations")</f>
        <v>Family Support</v>
      </c>
    </row>
    <row r="25" spans="1:13" ht="15" customHeight="1" x14ac:dyDescent="0.25">
      <c r="A25" s="77" t="s">
        <v>635</v>
      </c>
      <c r="B25" s="77"/>
      <c r="C25" s="77"/>
      <c r="D25" s="77" t="s">
        <v>636</v>
      </c>
      <c r="E25" s="77" t="s">
        <v>184</v>
      </c>
      <c r="F25" s="77" t="s">
        <v>191</v>
      </c>
      <c r="G25" s="77" t="s">
        <v>637</v>
      </c>
      <c r="H25" s="77" t="s">
        <v>56</v>
      </c>
      <c r="I25" s="77" t="s">
        <v>235</v>
      </c>
      <c r="J25" s="77"/>
      <c r="K25" s="77" t="s">
        <v>66</v>
      </c>
      <c r="L25" s="77"/>
      <c r="M25" s="102" t="str">
        <f>IFERROR(VLOOKUP(G25,Reference!$I$2:$J$175,2,FALSE()),"Operations")</f>
        <v>Operations</v>
      </c>
    </row>
    <row r="26" spans="1:13" ht="15" customHeight="1" x14ac:dyDescent="0.25">
      <c r="A26" s="80" t="s">
        <v>638</v>
      </c>
      <c r="B26" s="80"/>
      <c r="C26" s="80"/>
      <c r="D26" s="80" t="s">
        <v>639</v>
      </c>
      <c r="E26" s="80" t="s">
        <v>184</v>
      </c>
      <c r="F26" s="80" t="s">
        <v>191</v>
      </c>
      <c r="G26" s="80" t="s">
        <v>640</v>
      </c>
      <c r="H26" s="80" t="s">
        <v>58</v>
      </c>
      <c r="I26" s="80" t="s">
        <v>617</v>
      </c>
      <c r="J26" s="80"/>
      <c r="K26" s="80" t="s">
        <v>66</v>
      </c>
      <c r="L26" s="80"/>
      <c r="M26" s="105" t="str">
        <f>IFERROR(VLOOKUP(G26,Reference!$I$2:$J$175,2,FALSE()),"Operations")</f>
        <v>Operations</v>
      </c>
    </row>
    <row r="27" spans="1:13" ht="15" customHeight="1" x14ac:dyDescent="0.25">
      <c r="A27" s="77" t="s">
        <v>641</v>
      </c>
      <c r="B27" s="77"/>
      <c r="C27" s="77"/>
      <c r="D27" s="77" t="s">
        <v>642</v>
      </c>
      <c r="E27" s="77" t="s">
        <v>179</v>
      </c>
      <c r="F27" s="77" t="s">
        <v>191</v>
      </c>
      <c r="G27" s="77" t="s">
        <v>307</v>
      </c>
      <c r="H27" s="77" t="s">
        <v>58</v>
      </c>
      <c r="I27" s="77" t="s">
        <v>632</v>
      </c>
      <c r="J27" s="77"/>
      <c r="K27" s="77" t="s">
        <v>66</v>
      </c>
      <c r="L27" s="77"/>
      <c r="M27" s="102" t="str">
        <f>IFERROR(VLOOKUP(G27,Reference!$I$2:$J$175,2,FALSE()),"Operations")</f>
        <v>Operations</v>
      </c>
    </row>
    <row r="28" spans="1:13" ht="15" customHeight="1" x14ac:dyDescent="0.25">
      <c r="A28" s="80" t="s">
        <v>643</v>
      </c>
      <c r="B28" s="80"/>
      <c r="C28" s="80"/>
      <c r="D28" s="80" t="s">
        <v>644</v>
      </c>
      <c r="E28" s="80" t="s">
        <v>179</v>
      </c>
      <c r="F28" s="80" t="s">
        <v>191</v>
      </c>
      <c r="G28" s="80" t="s">
        <v>645</v>
      </c>
      <c r="H28" s="80" t="s">
        <v>56</v>
      </c>
      <c r="I28" s="80" t="s">
        <v>632</v>
      </c>
      <c r="J28" s="80"/>
      <c r="K28" s="80" t="s">
        <v>66</v>
      </c>
      <c r="L28" s="80"/>
      <c r="M28" s="105" t="str">
        <f>IFERROR(VLOOKUP(G28,Reference!$I$2:$J$175,2,FALSE()),"Operations")</f>
        <v>Operations</v>
      </c>
    </row>
    <row r="29" spans="1:13" ht="15" customHeight="1" x14ac:dyDescent="0.25">
      <c r="A29" s="77" t="s">
        <v>646</v>
      </c>
      <c r="B29" s="77"/>
      <c r="C29" s="77"/>
      <c r="D29" s="77" t="s">
        <v>373</v>
      </c>
      <c r="E29" s="77" t="s">
        <v>184</v>
      </c>
      <c r="F29" s="77" t="s">
        <v>191</v>
      </c>
      <c r="G29" s="77" t="s">
        <v>647</v>
      </c>
      <c r="H29" s="77" t="s">
        <v>70</v>
      </c>
      <c r="I29" s="77" t="s">
        <v>601</v>
      </c>
      <c r="J29" s="77"/>
      <c r="K29" s="77" t="s">
        <v>66</v>
      </c>
      <c r="L29" s="77"/>
      <c r="M29" s="102" t="str">
        <f>IFERROR(VLOOKUP(G29,Reference!$I$2:$J$175,2,FALSE()),"Operations")</f>
        <v>Operations</v>
      </c>
    </row>
    <row r="30" spans="1:13" ht="15" customHeight="1" x14ac:dyDescent="0.25">
      <c r="A30" s="80" t="s">
        <v>648</v>
      </c>
      <c r="B30" s="80"/>
      <c r="C30" s="80"/>
      <c r="D30" s="80" t="s">
        <v>367</v>
      </c>
      <c r="E30" s="80" t="s">
        <v>179</v>
      </c>
      <c r="F30" s="80" t="s">
        <v>180</v>
      </c>
      <c r="G30" s="80" t="s">
        <v>87</v>
      </c>
      <c r="H30" s="80" t="s">
        <v>64</v>
      </c>
      <c r="I30" s="80" t="s">
        <v>649</v>
      </c>
      <c r="J30" s="80"/>
      <c r="K30" s="80" t="s">
        <v>70</v>
      </c>
      <c r="L30" s="80"/>
      <c r="M30" s="105" t="str">
        <f>IFERROR(VLOOKUP(G30,Reference!$I$2:$J$175,2,FALSE()),"Operations")</f>
        <v>Finance</v>
      </c>
    </row>
    <row r="31" spans="1:13" ht="15" customHeight="1" x14ac:dyDescent="0.25">
      <c r="A31" s="77" t="s">
        <v>650</v>
      </c>
      <c r="B31" s="77"/>
      <c r="C31" s="77"/>
      <c r="D31" s="77" t="s">
        <v>644</v>
      </c>
      <c r="E31" s="77" t="s">
        <v>179</v>
      </c>
      <c r="F31" s="77" t="s">
        <v>191</v>
      </c>
      <c r="G31" s="77" t="s">
        <v>199</v>
      </c>
      <c r="H31" s="77" t="s">
        <v>70</v>
      </c>
      <c r="I31" s="77" t="s">
        <v>617</v>
      </c>
      <c r="J31" s="77"/>
      <c r="K31" s="77" t="s">
        <v>66</v>
      </c>
      <c r="L31" s="77"/>
      <c r="M31" s="102" t="str">
        <f>IFERROR(VLOOKUP(G31,Reference!$I$2:$J$175,2,FALSE()),"Operations")</f>
        <v>Operations</v>
      </c>
    </row>
    <row r="32" spans="1:13" ht="15" customHeight="1" x14ac:dyDescent="0.25">
      <c r="A32" s="80" t="s">
        <v>651</v>
      </c>
      <c r="B32" s="80"/>
      <c r="C32" s="80"/>
      <c r="D32" s="80" t="s">
        <v>624</v>
      </c>
      <c r="E32" s="80" t="s">
        <v>179</v>
      </c>
      <c r="F32" s="80" t="s">
        <v>191</v>
      </c>
      <c r="G32" s="80" t="s">
        <v>613</v>
      </c>
      <c r="H32" s="80" t="s">
        <v>70</v>
      </c>
      <c r="I32" s="80" t="s">
        <v>235</v>
      </c>
      <c r="J32" s="80"/>
      <c r="K32" s="80" t="s">
        <v>66</v>
      </c>
      <c r="L32" s="80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24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652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653</v>
      </c>
      <c r="B43" s="111">
        <v>45327</v>
      </c>
      <c r="C43" s="77"/>
      <c r="D43" s="77" t="s">
        <v>318</v>
      </c>
      <c r="E43" s="77" t="s">
        <v>184</v>
      </c>
      <c r="F43" s="77" t="s">
        <v>191</v>
      </c>
      <c r="G43" s="77" t="s">
        <v>406</v>
      </c>
      <c r="H43" s="77" t="s">
        <v>56</v>
      </c>
      <c r="I43" s="77" t="s">
        <v>225</v>
      </c>
      <c r="J43" s="77"/>
      <c r="K43" s="77" t="s">
        <v>483</v>
      </c>
      <c r="L43" s="77"/>
      <c r="M43" s="102" t="str">
        <f>IFERROR(VLOOKUP(G43,Reference!$I$2:$J$175,2,FALSE()),"Operations")</f>
        <v>Human Resources</v>
      </c>
    </row>
    <row r="44" spans="1:13" ht="15" customHeight="1" x14ac:dyDescent="0.25">
      <c r="A44" s="80" t="s">
        <v>654</v>
      </c>
      <c r="B44" s="112">
        <v>45324</v>
      </c>
      <c r="C44" s="80"/>
      <c r="D44" s="80" t="s">
        <v>655</v>
      </c>
      <c r="E44" s="80" t="s">
        <v>184</v>
      </c>
      <c r="F44" s="80" t="s">
        <v>191</v>
      </c>
      <c r="G44" s="80" t="s">
        <v>656</v>
      </c>
      <c r="H44" s="80" t="s">
        <v>58</v>
      </c>
      <c r="I44" s="80" t="s">
        <v>657</v>
      </c>
      <c r="J44" s="80"/>
      <c r="K44" s="80" t="s">
        <v>66</v>
      </c>
      <c r="L44" s="80"/>
      <c r="M44" s="105" t="str">
        <f>IFERROR(VLOOKUP(G44,Reference!$I$2:$J$175,2,FALSE()),"Operations")</f>
        <v>Operations</v>
      </c>
    </row>
    <row r="45" spans="1:13" ht="15" customHeight="1" x14ac:dyDescent="0.25">
      <c r="A45" s="77" t="s">
        <v>658</v>
      </c>
      <c r="B45" s="111">
        <v>45328</v>
      </c>
      <c r="C45" s="77"/>
      <c r="D45" s="77" t="s">
        <v>659</v>
      </c>
      <c r="E45" s="77" t="s">
        <v>184</v>
      </c>
      <c r="F45" s="77" t="s">
        <v>191</v>
      </c>
      <c r="G45" s="77" t="s">
        <v>660</v>
      </c>
      <c r="H45" s="77" t="s">
        <v>58</v>
      </c>
      <c r="I45" s="77" t="s">
        <v>661</v>
      </c>
      <c r="J45" s="77"/>
      <c r="K45" s="77" t="s">
        <v>84</v>
      </c>
      <c r="L45" s="77"/>
      <c r="M45" s="102" t="str">
        <f>IFERROR(VLOOKUP(G45,Reference!$I$2:$J$175,2,FALSE()),"Operations")</f>
        <v>Employment Services</v>
      </c>
    </row>
    <row r="46" spans="1:13" ht="15" customHeight="1" x14ac:dyDescent="0.25">
      <c r="A46" s="80" t="s">
        <v>662</v>
      </c>
      <c r="B46" s="112">
        <v>45330</v>
      </c>
      <c r="C46" s="80"/>
      <c r="D46" s="80" t="s">
        <v>663</v>
      </c>
      <c r="E46" s="80" t="s">
        <v>179</v>
      </c>
      <c r="F46" s="80" t="s">
        <v>191</v>
      </c>
      <c r="G46" s="80" t="s">
        <v>181</v>
      </c>
      <c r="H46" s="80" t="s">
        <v>70</v>
      </c>
      <c r="I46" s="80" t="s">
        <v>617</v>
      </c>
      <c r="J46" s="80"/>
      <c r="K46" s="80" t="s">
        <v>66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664</v>
      </c>
      <c r="B47" s="111">
        <v>45330</v>
      </c>
      <c r="C47" s="77"/>
      <c r="D47" s="77" t="s">
        <v>665</v>
      </c>
      <c r="E47" s="77" t="s">
        <v>179</v>
      </c>
      <c r="F47" s="77" t="s">
        <v>191</v>
      </c>
      <c r="G47" s="77" t="s">
        <v>181</v>
      </c>
      <c r="H47" s="77" t="s">
        <v>70</v>
      </c>
      <c r="I47" s="77" t="s">
        <v>617</v>
      </c>
      <c r="J47" s="77"/>
      <c r="K47" s="77" t="s">
        <v>66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666</v>
      </c>
      <c r="B48" s="112">
        <v>45331</v>
      </c>
      <c r="C48" s="80"/>
      <c r="D48" s="80" t="s">
        <v>342</v>
      </c>
      <c r="E48" s="80" t="s">
        <v>179</v>
      </c>
      <c r="F48" s="80" t="s">
        <v>191</v>
      </c>
      <c r="G48" s="80" t="s">
        <v>199</v>
      </c>
      <c r="H48" s="80" t="s">
        <v>70</v>
      </c>
      <c r="I48" s="80" t="s">
        <v>617</v>
      </c>
      <c r="J48" s="80"/>
      <c r="K48" s="80" t="s">
        <v>68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667</v>
      </c>
      <c r="B49" s="111">
        <v>45341</v>
      </c>
      <c r="C49" s="77"/>
      <c r="D49" s="77" t="s">
        <v>668</v>
      </c>
      <c r="E49" s="77" t="s">
        <v>376</v>
      </c>
      <c r="F49" s="77" t="s">
        <v>376</v>
      </c>
      <c r="G49" s="77" t="s">
        <v>656</v>
      </c>
      <c r="H49" s="77" t="s">
        <v>70</v>
      </c>
      <c r="I49" s="77" t="s">
        <v>657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669</v>
      </c>
      <c r="B50" s="112">
        <v>45344</v>
      </c>
      <c r="C50" s="80"/>
      <c r="D50" s="80" t="s">
        <v>316</v>
      </c>
      <c r="E50" s="80" t="s">
        <v>184</v>
      </c>
      <c r="F50" s="80" t="s">
        <v>191</v>
      </c>
      <c r="G50" s="80" t="s">
        <v>670</v>
      </c>
      <c r="H50" s="80" t="s">
        <v>70</v>
      </c>
      <c r="I50" s="80" t="s">
        <v>182</v>
      </c>
      <c r="J50" s="80"/>
      <c r="K50" s="80" t="s">
        <v>68</v>
      </c>
      <c r="L50" s="80"/>
      <c r="M50" s="105" t="str">
        <f>IFERROR(VLOOKUP(G50,Reference!$I$2:$J$175,2,FALSE()),"Operations")</f>
        <v>Operations</v>
      </c>
    </row>
    <row r="51" spans="1:13" ht="15" customHeight="1" x14ac:dyDescent="0.25">
      <c r="A51" s="77" t="s">
        <v>671</v>
      </c>
      <c r="B51" s="111">
        <v>45348</v>
      </c>
      <c r="C51" s="77"/>
      <c r="D51" s="77" t="s">
        <v>672</v>
      </c>
      <c r="E51" s="77" t="s">
        <v>179</v>
      </c>
      <c r="F51" s="77" t="s">
        <v>180</v>
      </c>
      <c r="G51" s="77" t="s">
        <v>535</v>
      </c>
      <c r="H51" s="77" t="s">
        <v>53</v>
      </c>
      <c r="I51" s="77" t="s">
        <v>673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674</v>
      </c>
      <c r="B52" s="112">
        <v>45350</v>
      </c>
      <c r="C52" s="80"/>
      <c r="D52" s="80" t="s">
        <v>675</v>
      </c>
      <c r="E52" s="80" t="s">
        <v>184</v>
      </c>
      <c r="F52" s="80" t="s">
        <v>191</v>
      </c>
      <c r="G52" s="80" t="s">
        <v>285</v>
      </c>
      <c r="H52" s="80" t="s">
        <v>62</v>
      </c>
      <c r="I52" s="80" t="s">
        <v>304</v>
      </c>
      <c r="J52" s="80"/>
      <c r="K52" s="80" t="s">
        <v>83</v>
      </c>
      <c r="L52" s="80"/>
      <c r="M52" s="105" t="str">
        <f>IFERROR(VLOOKUP(G52,Reference!$I$2:$J$175,2,FALSE()),"Operations")</f>
        <v>Children Services</v>
      </c>
    </row>
    <row r="53" spans="1:13" ht="15" customHeight="1" x14ac:dyDescent="0.25">
      <c r="A53" s="77" t="s">
        <v>676</v>
      </c>
      <c r="B53" s="111">
        <v>45351</v>
      </c>
      <c r="C53" s="77"/>
      <c r="D53" s="77" t="s">
        <v>677</v>
      </c>
      <c r="E53" s="77" t="s">
        <v>179</v>
      </c>
      <c r="F53" s="77" t="s">
        <v>191</v>
      </c>
      <c r="G53" s="77" t="s">
        <v>181</v>
      </c>
      <c r="H53" s="77" t="s">
        <v>69</v>
      </c>
      <c r="I53" s="77" t="s">
        <v>617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11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678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679</v>
      </c>
      <c r="B77" s="111">
        <v>45355</v>
      </c>
      <c r="C77" s="77"/>
      <c r="D77" s="77" t="s">
        <v>680</v>
      </c>
      <c r="E77" s="77" t="s">
        <v>184</v>
      </c>
      <c r="F77" s="77" t="s">
        <v>191</v>
      </c>
      <c r="G77" s="77" t="s">
        <v>681</v>
      </c>
      <c r="H77" s="77" t="s">
        <v>56</v>
      </c>
      <c r="I77" s="77" t="s">
        <v>439</v>
      </c>
      <c r="J77" s="77"/>
      <c r="K77" s="77" t="s">
        <v>70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682</v>
      </c>
      <c r="B78" s="112">
        <v>45355</v>
      </c>
      <c r="C78" s="80"/>
      <c r="D78" s="80" t="s">
        <v>597</v>
      </c>
      <c r="E78" s="80" t="s">
        <v>179</v>
      </c>
      <c r="F78" s="80" t="s">
        <v>191</v>
      </c>
      <c r="G78" s="80" t="s">
        <v>681</v>
      </c>
      <c r="H78" s="80" t="s">
        <v>56</v>
      </c>
      <c r="I78" s="80" t="s">
        <v>377</v>
      </c>
      <c r="J78" s="80"/>
      <c r="K78" s="80" t="s">
        <v>71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683</v>
      </c>
      <c r="B79" s="111">
        <v>45355</v>
      </c>
      <c r="C79" s="77"/>
      <c r="D79" s="77" t="s">
        <v>677</v>
      </c>
      <c r="E79" s="77" t="s">
        <v>179</v>
      </c>
      <c r="F79" s="77" t="s">
        <v>191</v>
      </c>
      <c r="G79" s="77" t="s">
        <v>69</v>
      </c>
      <c r="H79" s="77" t="s">
        <v>69</v>
      </c>
      <c r="I79" s="77" t="s">
        <v>617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260</v>
      </c>
      <c r="B80" s="112">
        <v>45354</v>
      </c>
      <c r="C80" s="80"/>
      <c r="D80" s="80" t="s">
        <v>342</v>
      </c>
      <c r="E80" s="80" t="s">
        <v>179</v>
      </c>
      <c r="F80" s="80" t="s">
        <v>191</v>
      </c>
      <c r="G80" s="80" t="s">
        <v>684</v>
      </c>
      <c r="H80" s="80" t="s">
        <v>77</v>
      </c>
      <c r="I80" s="80" t="s">
        <v>617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685</v>
      </c>
      <c r="B81" s="111">
        <v>45358</v>
      </c>
      <c r="C81" s="77"/>
      <c r="D81" s="77" t="s">
        <v>323</v>
      </c>
      <c r="E81" s="77" t="s">
        <v>179</v>
      </c>
      <c r="F81" s="77" t="s">
        <v>191</v>
      </c>
      <c r="G81" s="77" t="s">
        <v>686</v>
      </c>
      <c r="H81" s="77" t="s">
        <v>58</v>
      </c>
      <c r="I81" s="77" t="s">
        <v>235</v>
      </c>
      <c r="J81" s="77"/>
      <c r="K81" s="77" t="s">
        <v>66</v>
      </c>
      <c r="L81" s="77"/>
      <c r="M81" s="102" t="str">
        <f>IFERROR(VLOOKUP(G81,Reference!$I$2:$J$175,2,FALSE()),"Operations")</f>
        <v>Operations</v>
      </c>
    </row>
    <row r="82" spans="1:13" ht="15" customHeight="1" x14ac:dyDescent="0.25">
      <c r="A82" s="80" t="s">
        <v>687</v>
      </c>
      <c r="B82" s="112">
        <v>45359</v>
      </c>
      <c r="C82" s="80"/>
      <c r="D82" s="80" t="s">
        <v>373</v>
      </c>
      <c r="E82" s="80" t="s">
        <v>179</v>
      </c>
      <c r="F82" s="80" t="s">
        <v>180</v>
      </c>
      <c r="G82" s="80" t="s">
        <v>688</v>
      </c>
      <c r="H82" s="80" t="s">
        <v>64</v>
      </c>
      <c r="I82" s="80" t="s">
        <v>657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689</v>
      </c>
      <c r="B83" s="111">
        <v>45359</v>
      </c>
      <c r="C83" s="77"/>
      <c r="D83" s="77" t="s">
        <v>690</v>
      </c>
      <c r="E83" s="77" t="s">
        <v>179</v>
      </c>
      <c r="F83" s="77" t="s">
        <v>191</v>
      </c>
      <c r="G83" s="77" t="s">
        <v>691</v>
      </c>
      <c r="H83" s="77" t="s">
        <v>70</v>
      </c>
      <c r="I83" s="77" t="s">
        <v>657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692</v>
      </c>
      <c r="B84" s="112">
        <v>45363</v>
      </c>
      <c r="C84" s="80"/>
      <c r="D84" s="80" t="s">
        <v>597</v>
      </c>
      <c r="E84" s="80" t="s">
        <v>179</v>
      </c>
      <c r="F84" s="80" t="s">
        <v>191</v>
      </c>
      <c r="G84" s="80" t="s">
        <v>693</v>
      </c>
      <c r="H84" s="80" t="s">
        <v>56</v>
      </c>
      <c r="I84" s="80" t="s">
        <v>661</v>
      </c>
      <c r="J84" s="80"/>
      <c r="K84" s="80" t="s">
        <v>84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694</v>
      </c>
      <c r="B85" s="111">
        <v>45366</v>
      </c>
      <c r="C85" s="77"/>
      <c r="D85" s="77" t="s">
        <v>695</v>
      </c>
      <c r="E85" s="77" t="s">
        <v>179</v>
      </c>
      <c r="F85" s="77" t="s">
        <v>191</v>
      </c>
      <c r="G85" s="77" t="s">
        <v>696</v>
      </c>
      <c r="H85" s="77" t="s">
        <v>69</v>
      </c>
      <c r="I85" s="77" t="s">
        <v>377</v>
      </c>
      <c r="J85" s="77"/>
      <c r="K85" s="77" t="s">
        <v>66</v>
      </c>
      <c r="L85" s="77"/>
      <c r="M85" s="102" t="str">
        <f>IFERROR(VLOOKUP(G85,Reference!$I$2:$J$175,2,FALSE()),"Operations")</f>
        <v>Operations</v>
      </c>
    </row>
    <row r="86" spans="1:13" ht="15" customHeight="1" x14ac:dyDescent="0.25">
      <c r="A86" s="80" t="s">
        <v>697</v>
      </c>
      <c r="B86" s="112">
        <v>45372</v>
      </c>
      <c r="C86" s="80"/>
      <c r="D86" s="80" t="s">
        <v>698</v>
      </c>
      <c r="E86" s="80" t="s">
        <v>179</v>
      </c>
      <c r="F86" s="80" t="s">
        <v>180</v>
      </c>
      <c r="G86" s="80" t="s">
        <v>688</v>
      </c>
      <c r="H86" s="80" t="s">
        <v>64</v>
      </c>
      <c r="I86" s="80" t="s">
        <v>682</v>
      </c>
      <c r="J86" s="80"/>
      <c r="K86" s="80" t="s">
        <v>80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699</v>
      </c>
      <c r="B87" s="111">
        <v>45373</v>
      </c>
      <c r="C87" s="77"/>
      <c r="D87" s="77" t="s">
        <v>597</v>
      </c>
      <c r="E87" s="77" t="s">
        <v>184</v>
      </c>
      <c r="F87" s="77" t="s">
        <v>191</v>
      </c>
      <c r="G87" s="77" t="s">
        <v>700</v>
      </c>
      <c r="H87" s="77" t="s">
        <v>58</v>
      </c>
      <c r="I87" s="77" t="s">
        <v>278</v>
      </c>
      <c r="J87" s="77"/>
      <c r="K87" s="77" t="s">
        <v>70</v>
      </c>
      <c r="L87" s="77"/>
      <c r="M87" s="102" t="str">
        <f>IFERROR(VLOOKUP(G87,Reference!$I$2:$J$175,2,FALSE()),"Operations")</f>
        <v>Operations</v>
      </c>
    </row>
    <row r="88" spans="1:13" ht="15" customHeight="1" x14ac:dyDescent="0.25">
      <c r="A88" s="80" t="s">
        <v>701</v>
      </c>
      <c r="B88" s="112">
        <v>45376</v>
      </c>
      <c r="C88" s="80"/>
      <c r="D88" s="80" t="s">
        <v>363</v>
      </c>
      <c r="E88" s="80" t="s">
        <v>179</v>
      </c>
      <c r="F88" s="80" t="s">
        <v>191</v>
      </c>
      <c r="G88" s="80" t="s">
        <v>681</v>
      </c>
      <c r="H88" s="80" t="s">
        <v>56</v>
      </c>
      <c r="I88" s="80" t="s">
        <v>182</v>
      </c>
      <c r="J88" s="80"/>
      <c r="K88" s="80" t="s">
        <v>66</v>
      </c>
      <c r="L88" s="80"/>
      <c r="M88" s="105" t="str">
        <f>IFERROR(VLOOKUP(G88,Reference!$I$2:$J$175,2,FALSE()),"Operations")</f>
        <v>Operations</v>
      </c>
    </row>
    <row r="89" spans="1:13" ht="15" customHeight="1" x14ac:dyDescent="0.25">
      <c r="A89" s="77" t="s">
        <v>702</v>
      </c>
      <c r="B89" s="111">
        <v>45376</v>
      </c>
      <c r="C89" s="77"/>
      <c r="D89" s="77" t="s">
        <v>342</v>
      </c>
      <c r="E89" s="77" t="s">
        <v>184</v>
      </c>
      <c r="F89" s="77" t="s">
        <v>191</v>
      </c>
      <c r="G89" s="77" t="s">
        <v>703</v>
      </c>
      <c r="H89" s="77" t="s">
        <v>64</v>
      </c>
      <c r="I89" s="77" t="s">
        <v>331</v>
      </c>
      <c r="J89" s="77"/>
      <c r="K89" s="77" t="s">
        <v>70</v>
      </c>
      <c r="L89" s="77"/>
      <c r="M89" s="102" t="str">
        <f>IFERROR(VLOOKUP(G89,Reference!$I$2:$J$175,2,FALSE()),"Operations")</f>
        <v>Operations</v>
      </c>
    </row>
    <row r="90" spans="1:13" ht="15" customHeight="1" x14ac:dyDescent="0.25">
      <c r="A90" s="80" t="s">
        <v>704</v>
      </c>
      <c r="B90" s="112">
        <v>45382</v>
      </c>
      <c r="C90" s="80"/>
      <c r="D90" s="80" t="s">
        <v>316</v>
      </c>
      <c r="E90" s="80" t="s">
        <v>179</v>
      </c>
      <c r="F90" s="80" t="s">
        <v>191</v>
      </c>
      <c r="G90" s="80" t="s">
        <v>69</v>
      </c>
      <c r="H90" s="80" t="s">
        <v>69</v>
      </c>
      <c r="I90" s="80" t="s">
        <v>182</v>
      </c>
      <c r="J90" s="80"/>
      <c r="K90" s="80" t="s">
        <v>66</v>
      </c>
      <c r="L90" s="80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14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705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706</v>
      </c>
      <c r="B111" s="111">
        <v>45397</v>
      </c>
      <c r="C111" s="77"/>
      <c r="D111" s="77" t="s">
        <v>382</v>
      </c>
      <c r="E111" s="77" t="s">
        <v>184</v>
      </c>
      <c r="F111" s="77" t="s">
        <v>191</v>
      </c>
      <c r="G111" s="77" t="s">
        <v>76</v>
      </c>
      <c r="H111" s="77" t="s">
        <v>60</v>
      </c>
      <c r="I111" s="77" t="s">
        <v>404</v>
      </c>
      <c r="J111" s="77"/>
      <c r="K111" s="77" t="s">
        <v>76</v>
      </c>
      <c r="L111" s="77"/>
      <c r="M111" s="102" t="str">
        <f>IFERROR(VLOOKUP(G111,Reference!$I$2:$J$175,2,FALSE()),"Operations")</f>
        <v>Children Services</v>
      </c>
    </row>
    <row r="112" spans="1:13" ht="15" customHeight="1" x14ac:dyDescent="0.25">
      <c r="A112" s="80" t="s">
        <v>707</v>
      </c>
      <c r="B112" s="112">
        <v>45392</v>
      </c>
      <c r="C112" s="80"/>
      <c r="D112" s="80" t="s">
        <v>708</v>
      </c>
      <c r="E112" s="80" t="s">
        <v>184</v>
      </c>
      <c r="F112" s="80" t="s">
        <v>191</v>
      </c>
      <c r="G112" s="80" t="s">
        <v>426</v>
      </c>
      <c r="H112" s="80" t="s">
        <v>56</v>
      </c>
      <c r="I112" s="80" t="s">
        <v>377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709</v>
      </c>
      <c r="B113" s="111">
        <v>45394</v>
      </c>
      <c r="C113" s="77"/>
      <c r="D113" s="77" t="s">
        <v>302</v>
      </c>
      <c r="E113" s="77" t="s">
        <v>179</v>
      </c>
      <c r="F113" s="77" t="s">
        <v>191</v>
      </c>
      <c r="G113" s="77" t="s">
        <v>76</v>
      </c>
      <c r="H113" s="77" t="s">
        <v>56</v>
      </c>
      <c r="I113" s="77" t="s">
        <v>404</v>
      </c>
      <c r="J113" s="77"/>
      <c r="K113" s="77" t="s">
        <v>76</v>
      </c>
      <c r="L113" s="77"/>
      <c r="M113" s="102" t="str">
        <f>IFERROR(VLOOKUP(G113,Reference!$I$2:$J$175,2,FALSE()),"Operations")</f>
        <v>Children Services</v>
      </c>
    </row>
    <row r="114" spans="1:13" ht="15" customHeight="1" x14ac:dyDescent="0.25">
      <c r="A114" s="80" t="s">
        <v>710</v>
      </c>
      <c r="B114" s="112">
        <v>45387</v>
      </c>
      <c r="C114" s="80"/>
      <c r="D114" s="80" t="s">
        <v>373</v>
      </c>
      <c r="E114" s="80" t="s">
        <v>179</v>
      </c>
      <c r="F114" s="80" t="s">
        <v>191</v>
      </c>
      <c r="G114" s="80" t="s">
        <v>711</v>
      </c>
      <c r="H114" s="80" t="s">
        <v>69</v>
      </c>
      <c r="I114" s="80" t="s">
        <v>617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712</v>
      </c>
      <c r="B115" s="111">
        <v>45391</v>
      </c>
      <c r="C115" s="77"/>
      <c r="D115" s="77" t="s">
        <v>713</v>
      </c>
      <c r="E115" s="77" t="s">
        <v>179</v>
      </c>
      <c r="F115" s="77" t="s">
        <v>191</v>
      </c>
      <c r="G115" s="77" t="s">
        <v>714</v>
      </c>
      <c r="H115" s="77" t="s">
        <v>69</v>
      </c>
      <c r="I115" s="77" t="s">
        <v>657</v>
      </c>
      <c r="J115" s="77"/>
      <c r="K115" s="77" t="s">
        <v>66</v>
      </c>
      <c r="L115" s="77"/>
      <c r="M115" s="102" t="str">
        <f>IFERROR(VLOOKUP(G115,Reference!$I$2:$J$175,2,FALSE()),"Operations")</f>
        <v>Operations</v>
      </c>
    </row>
    <row r="116" spans="1:13" ht="15" customHeight="1" x14ac:dyDescent="0.25">
      <c r="A116" s="80" t="s">
        <v>715</v>
      </c>
      <c r="B116" s="112">
        <v>45391</v>
      </c>
      <c r="C116" s="80"/>
      <c r="D116" s="80" t="s">
        <v>713</v>
      </c>
      <c r="E116" s="80" t="s">
        <v>179</v>
      </c>
      <c r="F116" s="80" t="s">
        <v>191</v>
      </c>
      <c r="G116" s="80" t="s">
        <v>656</v>
      </c>
      <c r="H116" s="80" t="s">
        <v>69</v>
      </c>
      <c r="I116" s="80" t="s">
        <v>657</v>
      </c>
      <c r="J116" s="80"/>
      <c r="K116" s="80" t="s">
        <v>66</v>
      </c>
      <c r="L116" s="80"/>
      <c r="M116" s="105" t="str">
        <f>IFERROR(VLOOKUP(G116,Reference!$I$2:$J$175,2,FALSE()),"Operations")</f>
        <v>Operations</v>
      </c>
    </row>
    <row r="117" spans="1:13" ht="15" customHeight="1" x14ac:dyDescent="0.25">
      <c r="A117" s="77" t="s">
        <v>716</v>
      </c>
      <c r="B117" s="111">
        <v>45391</v>
      </c>
      <c r="C117" s="77"/>
      <c r="D117" s="77" t="s">
        <v>713</v>
      </c>
      <c r="E117" s="77" t="s">
        <v>464</v>
      </c>
      <c r="F117" s="77" t="s">
        <v>191</v>
      </c>
      <c r="G117" s="77" t="s">
        <v>656</v>
      </c>
      <c r="H117" s="77" t="s">
        <v>69</v>
      </c>
      <c r="I117" s="77" t="s">
        <v>657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80" t="s">
        <v>717</v>
      </c>
      <c r="B118" s="112">
        <v>45393</v>
      </c>
      <c r="C118" s="80"/>
      <c r="D118" s="80" t="s">
        <v>695</v>
      </c>
      <c r="E118" s="80" t="s">
        <v>179</v>
      </c>
      <c r="F118" s="80" t="s">
        <v>191</v>
      </c>
      <c r="G118" s="80" t="s">
        <v>616</v>
      </c>
      <c r="H118" s="80" t="s">
        <v>58</v>
      </c>
      <c r="I118" s="80" t="s">
        <v>617</v>
      </c>
      <c r="J118" s="80"/>
      <c r="K118" s="80" t="s">
        <v>66</v>
      </c>
      <c r="L118" s="80"/>
      <c r="M118" s="105" t="str">
        <f>IFERROR(VLOOKUP(G118,Reference!$I$2:$J$175,2,FALSE()),"Operations")</f>
        <v>Operations</v>
      </c>
    </row>
    <row r="119" spans="1:13" ht="15" customHeight="1" x14ac:dyDescent="0.25">
      <c r="A119" s="77" t="s">
        <v>718</v>
      </c>
      <c r="B119" s="111">
        <v>45399</v>
      </c>
      <c r="C119" s="77"/>
      <c r="D119" s="77" t="s">
        <v>713</v>
      </c>
      <c r="E119" s="77" t="s">
        <v>179</v>
      </c>
      <c r="F119" s="77" t="s">
        <v>191</v>
      </c>
      <c r="G119" s="77" t="s">
        <v>719</v>
      </c>
      <c r="H119" s="77" t="s">
        <v>69</v>
      </c>
      <c r="I119" s="77" t="s">
        <v>182</v>
      </c>
      <c r="J119" s="77"/>
      <c r="K119" s="77" t="s">
        <v>66</v>
      </c>
      <c r="L119" s="77"/>
      <c r="M119" s="102" t="str">
        <f>IFERROR(VLOOKUP(G119,Reference!$I$2:$J$175,2,FALSE()),"Operations")</f>
        <v>Operations</v>
      </c>
    </row>
    <row r="120" spans="1:13" ht="15" customHeight="1" x14ac:dyDescent="0.25">
      <c r="A120" s="80" t="s">
        <v>720</v>
      </c>
      <c r="B120" s="112">
        <v>45405</v>
      </c>
      <c r="C120" s="80"/>
      <c r="D120" s="80" t="s">
        <v>313</v>
      </c>
      <c r="E120" s="80" t="s">
        <v>184</v>
      </c>
      <c r="F120" s="80" t="s">
        <v>191</v>
      </c>
      <c r="G120" s="80" t="s">
        <v>631</v>
      </c>
      <c r="H120" s="80" t="s">
        <v>58</v>
      </c>
      <c r="I120" s="80" t="s">
        <v>235</v>
      </c>
      <c r="J120" s="80"/>
      <c r="K120" s="80" t="s">
        <v>66</v>
      </c>
      <c r="L120" s="80"/>
      <c r="M120" s="105" t="str">
        <f>IFERROR(VLOOKUP(G120,Reference!$I$2:$J$175,2,FALSE()),"Operations")</f>
        <v>Operations</v>
      </c>
    </row>
    <row r="121" spans="1:13" ht="15" customHeight="1" x14ac:dyDescent="0.25">
      <c r="A121" s="77" t="s">
        <v>721</v>
      </c>
      <c r="B121" s="111">
        <v>45408</v>
      </c>
      <c r="C121" s="77"/>
      <c r="D121" s="77" t="s">
        <v>677</v>
      </c>
      <c r="E121" s="77" t="s">
        <v>179</v>
      </c>
      <c r="F121" s="77" t="s">
        <v>191</v>
      </c>
      <c r="G121" s="77" t="s">
        <v>722</v>
      </c>
      <c r="H121" s="77" t="s">
        <v>69</v>
      </c>
      <c r="I121" s="77" t="s">
        <v>182</v>
      </c>
      <c r="J121" s="77"/>
      <c r="K121" s="77" t="s">
        <v>66</v>
      </c>
      <c r="L121" s="77"/>
      <c r="M121" s="102" t="str">
        <f>IFERROR(VLOOKUP(G121,Reference!$I$2:$J$175,2,FALSE()),"Operations")</f>
        <v>Operations</v>
      </c>
    </row>
    <row r="122" spans="1:13" ht="15" customHeight="1" x14ac:dyDescent="0.25">
      <c r="A122" s="80" t="s">
        <v>723</v>
      </c>
      <c r="B122" s="112">
        <v>45412</v>
      </c>
      <c r="C122" s="80"/>
      <c r="D122" s="80" t="s">
        <v>313</v>
      </c>
      <c r="E122" s="80" t="s">
        <v>179</v>
      </c>
      <c r="F122" s="80" t="s">
        <v>191</v>
      </c>
      <c r="G122" s="80" t="s">
        <v>637</v>
      </c>
      <c r="H122" s="80" t="s">
        <v>60</v>
      </c>
      <c r="I122" s="80" t="s">
        <v>235</v>
      </c>
      <c r="J122" s="80"/>
      <c r="K122" s="80" t="s">
        <v>66</v>
      </c>
      <c r="L122" s="80"/>
      <c r="M122" s="105" t="str">
        <f>IFERROR(VLOOKUP(G122,Reference!$I$2:$J$175,2,FALSE()),"Operations")</f>
        <v>Operations</v>
      </c>
    </row>
    <row r="123" spans="1:13" ht="15" customHeight="1" x14ac:dyDescent="0.25">
      <c r="A123" s="77" t="s">
        <v>724</v>
      </c>
      <c r="B123" s="111">
        <v>45411</v>
      </c>
      <c r="C123" s="77"/>
      <c r="D123" s="77" t="s">
        <v>695</v>
      </c>
      <c r="E123" s="77" t="s">
        <v>179</v>
      </c>
      <c r="F123" s="77" t="s">
        <v>191</v>
      </c>
      <c r="G123" s="77" t="s">
        <v>725</v>
      </c>
      <c r="H123" s="77" t="s">
        <v>58</v>
      </c>
      <c r="I123" s="77" t="s">
        <v>617</v>
      </c>
      <c r="J123" s="77"/>
      <c r="K123" s="77" t="s">
        <v>66</v>
      </c>
      <c r="L123" s="77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13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726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727</v>
      </c>
      <c r="B145" s="111">
        <v>45420</v>
      </c>
      <c r="C145" s="77"/>
      <c r="D145" s="77" t="s">
        <v>615</v>
      </c>
      <c r="E145" s="77" t="s">
        <v>184</v>
      </c>
      <c r="F145" s="77" t="s">
        <v>191</v>
      </c>
      <c r="G145" s="77" t="s">
        <v>728</v>
      </c>
      <c r="H145" s="77" t="s">
        <v>681</v>
      </c>
      <c r="I145" s="77" t="s">
        <v>657</v>
      </c>
      <c r="J145" s="77"/>
      <c r="K145" s="77" t="s">
        <v>66</v>
      </c>
      <c r="L145" s="77"/>
      <c r="M145" s="102" t="str">
        <f>IFERROR(VLOOKUP(G145,Reference!$I$2:$J$175,2,FALSE()),"Operations")</f>
        <v>Operations</v>
      </c>
    </row>
    <row r="146" spans="1:13" ht="15" customHeight="1" x14ac:dyDescent="0.25">
      <c r="A146" s="80" t="s">
        <v>729</v>
      </c>
      <c r="B146" s="112">
        <v>45421</v>
      </c>
      <c r="C146" s="80"/>
      <c r="D146" s="80" t="s">
        <v>677</v>
      </c>
      <c r="E146" s="80" t="s">
        <v>179</v>
      </c>
      <c r="F146" s="80" t="s">
        <v>191</v>
      </c>
      <c r="G146" s="80" t="s">
        <v>730</v>
      </c>
      <c r="H146" s="80" t="s">
        <v>69</v>
      </c>
      <c r="I146" s="80" t="s">
        <v>731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732</v>
      </c>
      <c r="B147" s="111">
        <v>45423</v>
      </c>
      <c r="C147" s="77"/>
      <c r="D147" s="77" t="s">
        <v>690</v>
      </c>
      <c r="E147" s="77" t="s">
        <v>179</v>
      </c>
      <c r="F147" s="77" t="s">
        <v>191</v>
      </c>
      <c r="G147" s="77" t="s">
        <v>299</v>
      </c>
      <c r="H147" s="77" t="s">
        <v>58</v>
      </c>
      <c r="I147" s="77" t="s">
        <v>731</v>
      </c>
      <c r="J147" s="77"/>
      <c r="K147" s="77" t="s">
        <v>66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733</v>
      </c>
      <c r="B148" s="112">
        <v>45427</v>
      </c>
      <c r="C148" s="80"/>
      <c r="D148" s="80" t="s">
        <v>734</v>
      </c>
      <c r="E148" s="80" t="s">
        <v>184</v>
      </c>
      <c r="F148" s="80" t="s">
        <v>191</v>
      </c>
      <c r="G148" s="80" t="s">
        <v>380</v>
      </c>
      <c r="H148" s="80" t="s">
        <v>56</v>
      </c>
      <c r="I148" s="80" t="s">
        <v>735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736</v>
      </c>
      <c r="B149" s="111">
        <v>45428</v>
      </c>
      <c r="C149" s="77"/>
      <c r="D149" s="77" t="s">
        <v>737</v>
      </c>
      <c r="E149" s="77" t="s">
        <v>184</v>
      </c>
      <c r="F149" s="77" t="s">
        <v>191</v>
      </c>
      <c r="G149" s="77" t="s">
        <v>738</v>
      </c>
      <c r="H149" s="77" t="s">
        <v>64</v>
      </c>
      <c r="I149" s="77" t="s">
        <v>415</v>
      </c>
      <c r="J149" s="77"/>
      <c r="K149" s="77" t="s">
        <v>66</v>
      </c>
      <c r="L149" s="77"/>
      <c r="M149" s="102" t="str">
        <f>IFERROR(VLOOKUP(G149,Reference!$I$2:$J$175,2,FALSE()),"Operations")</f>
        <v>Employment Services</v>
      </c>
    </row>
    <row r="150" spans="1:13" ht="15" customHeight="1" x14ac:dyDescent="0.25">
      <c r="A150" s="80" t="s">
        <v>739</v>
      </c>
      <c r="B150" s="112">
        <v>45428</v>
      </c>
      <c r="C150" s="80"/>
      <c r="D150" s="80" t="s">
        <v>363</v>
      </c>
      <c r="E150" s="80" t="s">
        <v>179</v>
      </c>
      <c r="F150" s="80" t="s">
        <v>191</v>
      </c>
      <c r="G150" s="80" t="s">
        <v>380</v>
      </c>
      <c r="H150" s="80" t="s">
        <v>58</v>
      </c>
      <c r="I150" s="80" t="s">
        <v>235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740</v>
      </c>
      <c r="B151" s="111">
        <v>45434</v>
      </c>
      <c r="C151" s="77"/>
      <c r="D151" s="77" t="s">
        <v>597</v>
      </c>
      <c r="E151" s="77" t="s">
        <v>179</v>
      </c>
      <c r="F151" s="77" t="s">
        <v>180</v>
      </c>
      <c r="G151" s="77" t="s">
        <v>741</v>
      </c>
      <c r="H151" s="77" t="s">
        <v>64</v>
      </c>
      <c r="I151" s="77" t="s">
        <v>742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743</v>
      </c>
      <c r="B152" s="112">
        <v>45436</v>
      </c>
      <c r="C152" s="80"/>
      <c r="D152" s="80" t="s">
        <v>302</v>
      </c>
      <c r="E152" s="80" t="s">
        <v>179</v>
      </c>
      <c r="F152" s="80" t="s">
        <v>191</v>
      </c>
      <c r="G152" s="80" t="s">
        <v>744</v>
      </c>
      <c r="H152" s="80" t="s">
        <v>58</v>
      </c>
      <c r="I152" s="80" t="s">
        <v>657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745</v>
      </c>
      <c r="B153" s="111">
        <v>45438</v>
      </c>
      <c r="C153" s="77"/>
      <c r="D153" s="77" t="s">
        <v>302</v>
      </c>
      <c r="E153" s="77" t="s">
        <v>184</v>
      </c>
      <c r="F153" s="77" t="s">
        <v>191</v>
      </c>
      <c r="G153" s="77" t="s">
        <v>355</v>
      </c>
      <c r="H153" s="77" t="s">
        <v>60</v>
      </c>
      <c r="I153" s="77" t="s">
        <v>235</v>
      </c>
      <c r="J153" s="77"/>
      <c r="K153" s="77" t="s">
        <v>66</v>
      </c>
      <c r="L153" s="77"/>
      <c r="M153" s="102" t="str">
        <f>IFERROR(VLOOKUP(G153,Reference!$I$2:$J$175,2,FALSE()),"Operations")</f>
        <v>Operations</v>
      </c>
    </row>
    <row r="154" spans="1:13" ht="15" customHeight="1" x14ac:dyDescent="0.25">
      <c r="A154" s="80" t="s">
        <v>746</v>
      </c>
      <c r="B154" s="112">
        <v>45438</v>
      </c>
      <c r="C154" s="80"/>
      <c r="D154" s="80" t="s">
        <v>373</v>
      </c>
      <c r="E154" s="80" t="s">
        <v>179</v>
      </c>
      <c r="F154" s="80" t="s">
        <v>191</v>
      </c>
      <c r="G154" s="80" t="s">
        <v>747</v>
      </c>
      <c r="H154" s="80" t="s">
        <v>58</v>
      </c>
      <c r="I154" s="80" t="s">
        <v>182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748</v>
      </c>
      <c r="B155" s="111">
        <v>45440</v>
      </c>
      <c r="C155" s="77"/>
      <c r="D155" s="77" t="s">
        <v>713</v>
      </c>
      <c r="E155" s="77" t="s">
        <v>179</v>
      </c>
      <c r="F155" s="77" t="s">
        <v>191</v>
      </c>
      <c r="G155" s="77" t="s">
        <v>728</v>
      </c>
      <c r="H155" s="77" t="s">
        <v>75</v>
      </c>
      <c r="I155" s="77" t="s">
        <v>657</v>
      </c>
      <c r="J155" s="77"/>
      <c r="K155" s="77" t="s">
        <v>66</v>
      </c>
      <c r="L155" s="77"/>
      <c r="M155" s="102" t="str">
        <f>IFERROR(VLOOKUP(G155,Reference!$I$2:$J$175,2,FALSE()),"Operations")</f>
        <v>Operations</v>
      </c>
    </row>
    <row r="156" spans="1:13" ht="15" customHeight="1" x14ac:dyDescent="0.25">
      <c r="A156" s="80" t="s">
        <v>749</v>
      </c>
      <c r="B156" s="112">
        <v>45441</v>
      </c>
      <c r="C156" s="80"/>
      <c r="D156" s="80" t="s">
        <v>626</v>
      </c>
      <c r="E156" s="80" t="s">
        <v>184</v>
      </c>
      <c r="F156" s="80" t="s">
        <v>191</v>
      </c>
      <c r="G156" s="80" t="s">
        <v>750</v>
      </c>
      <c r="H156" s="80" t="s">
        <v>56</v>
      </c>
      <c r="I156" s="80" t="s">
        <v>751</v>
      </c>
      <c r="J156" s="80"/>
      <c r="K156" s="80" t="s">
        <v>68</v>
      </c>
      <c r="L156" s="80"/>
      <c r="M156" s="105" t="str">
        <f>IFERROR(VLOOKUP(G156,Reference!$I$2:$J$175,2,FALSE()),"Operations")</f>
        <v>Operations</v>
      </c>
    </row>
    <row r="157" spans="1:13" ht="15" customHeight="1" x14ac:dyDescent="0.25">
      <c r="A157" s="77" t="s">
        <v>752</v>
      </c>
      <c r="B157" s="111">
        <v>45443</v>
      </c>
      <c r="C157" s="77"/>
      <c r="D157" s="77" t="s">
        <v>318</v>
      </c>
      <c r="E157" s="77" t="s">
        <v>184</v>
      </c>
      <c r="F157" s="77" t="s">
        <v>191</v>
      </c>
      <c r="G157" s="77" t="s">
        <v>259</v>
      </c>
      <c r="H157" s="77" t="s">
        <v>60</v>
      </c>
      <c r="I157" s="77" t="s">
        <v>331</v>
      </c>
      <c r="J157" s="77"/>
      <c r="K157" s="77" t="s">
        <v>70</v>
      </c>
      <c r="L157" s="77"/>
      <c r="M157" s="102" t="str">
        <f>IFERROR(VLOOKUP(G157,Reference!$I$2:$J$175,2,FALSE()),"Operations")</f>
        <v>Behavioral Health</v>
      </c>
    </row>
    <row r="158" spans="1:13" ht="15" customHeight="1" x14ac:dyDescent="0.25">
      <c r="A158" s="80" t="s">
        <v>753</v>
      </c>
      <c r="B158" s="112">
        <v>45443</v>
      </c>
      <c r="C158" s="80"/>
      <c r="D158" s="80" t="s">
        <v>373</v>
      </c>
      <c r="E158" s="80" t="s">
        <v>184</v>
      </c>
      <c r="F158" s="80" t="s">
        <v>191</v>
      </c>
      <c r="G158" s="80" t="s">
        <v>76</v>
      </c>
      <c r="H158" s="80" t="s">
        <v>56</v>
      </c>
      <c r="I158" s="80" t="s">
        <v>439</v>
      </c>
      <c r="J158" s="80"/>
      <c r="K158" s="80" t="s">
        <v>76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754</v>
      </c>
      <c r="B159" s="111">
        <v>45440</v>
      </c>
      <c r="C159" s="77"/>
      <c r="D159" s="77" t="s">
        <v>313</v>
      </c>
      <c r="E159" s="77" t="s">
        <v>179</v>
      </c>
      <c r="F159" s="77" t="s">
        <v>191</v>
      </c>
      <c r="G159" s="77" t="s">
        <v>755</v>
      </c>
      <c r="H159" s="77" t="s">
        <v>58</v>
      </c>
      <c r="I159" s="77" t="s">
        <v>657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756</v>
      </c>
      <c r="B160" s="112">
        <v>45442</v>
      </c>
      <c r="C160" s="80"/>
      <c r="D160" s="80" t="s">
        <v>595</v>
      </c>
      <c r="E160" s="80" t="s">
        <v>179</v>
      </c>
      <c r="F160" s="80" t="s">
        <v>180</v>
      </c>
      <c r="G160" s="80" t="s">
        <v>310</v>
      </c>
      <c r="H160" s="80" t="s">
        <v>64</v>
      </c>
      <c r="I160" s="80" t="s">
        <v>235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757</v>
      </c>
      <c r="B161" s="111">
        <v>45442</v>
      </c>
      <c r="C161" s="77"/>
      <c r="D161" s="77" t="s">
        <v>695</v>
      </c>
      <c r="E161" s="77" t="s">
        <v>184</v>
      </c>
      <c r="F161" s="77" t="s">
        <v>191</v>
      </c>
      <c r="G161" s="77" t="s">
        <v>319</v>
      </c>
      <c r="H161" s="77" t="s">
        <v>69</v>
      </c>
      <c r="I161" s="77" t="s">
        <v>182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17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758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759</v>
      </c>
      <c r="B179" s="111">
        <v>45447</v>
      </c>
      <c r="C179" s="77"/>
      <c r="D179" s="77" t="s">
        <v>313</v>
      </c>
      <c r="E179" s="77" t="s">
        <v>179</v>
      </c>
      <c r="F179" s="77" t="s">
        <v>191</v>
      </c>
      <c r="G179" s="77" t="s">
        <v>656</v>
      </c>
      <c r="H179" s="77" t="s">
        <v>75</v>
      </c>
      <c r="I179" s="77" t="s">
        <v>657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760</v>
      </c>
      <c r="B180" s="112">
        <v>45447</v>
      </c>
      <c r="C180" s="80"/>
      <c r="D180" s="80" t="s">
        <v>695</v>
      </c>
      <c r="E180" s="80" t="s">
        <v>179</v>
      </c>
      <c r="F180" s="80" t="s">
        <v>191</v>
      </c>
      <c r="G180" s="80" t="s">
        <v>285</v>
      </c>
      <c r="H180" s="80" t="s">
        <v>70</v>
      </c>
      <c r="I180" s="80" t="s">
        <v>304</v>
      </c>
      <c r="J180" s="80"/>
      <c r="K180" s="80" t="s">
        <v>483</v>
      </c>
      <c r="L180" s="80"/>
      <c r="M180" s="105" t="str">
        <f>IFERROR(VLOOKUP(G180,Reference!$I$2:$J$175,2,FALSE()),"Operations")</f>
        <v>Children Services</v>
      </c>
    </row>
    <row r="181" spans="1:13" ht="15" customHeight="1" x14ac:dyDescent="0.25">
      <c r="A181" s="77" t="s">
        <v>761</v>
      </c>
      <c r="B181" s="111">
        <v>45448</v>
      </c>
      <c r="C181" s="77"/>
      <c r="D181" s="77" t="s">
        <v>644</v>
      </c>
      <c r="E181" s="77" t="s">
        <v>179</v>
      </c>
      <c r="F181" s="77" t="s">
        <v>191</v>
      </c>
      <c r="G181" s="77" t="s">
        <v>307</v>
      </c>
      <c r="H181" s="77" t="s">
        <v>64</v>
      </c>
      <c r="I181" s="77" t="s">
        <v>762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763</v>
      </c>
      <c r="B182" s="112">
        <v>45450</v>
      </c>
      <c r="C182" s="80"/>
      <c r="D182" s="80" t="s">
        <v>677</v>
      </c>
      <c r="E182" s="80" t="s">
        <v>179</v>
      </c>
      <c r="F182" s="80" t="s">
        <v>191</v>
      </c>
      <c r="G182" s="80" t="s">
        <v>355</v>
      </c>
      <c r="H182" s="80" t="s">
        <v>75</v>
      </c>
      <c r="I182" s="80" t="s">
        <v>235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764</v>
      </c>
      <c r="B183" s="111">
        <v>45455</v>
      </c>
      <c r="C183" s="77"/>
      <c r="D183" s="77" t="s">
        <v>644</v>
      </c>
      <c r="E183" s="77" t="s">
        <v>179</v>
      </c>
      <c r="F183" s="77" t="s">
        <v>191</v>
      </c>
      <c r="G183" s="77" t="s">
        <v>355</v>
      </c>
      <c r="H183" s="77" t="s">
        <v>69</v>
      </c>
      <c r="I183" s="77" t="s">
        <v>235</v>
      </c>
      <c r="J183" s="77"/>
      <c r="K183" s="77" t="s">
        <v>66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80" t="s">
        <v>765</v>
      </c>
      <c r="B184" s="112">
        <v>45457</v>
      </c>
      <c r="C184" s="80"/>
      <c r="D184" s="80" t="s">
        <v>595</v>
      </c>
      <c r="E184" s="80" t="s">
        <v>184</v>
      </c>
      <c r="F184" s="80" t="s">
        <v>191</v>
      </c>
      <c r="G184" s="80" t="s">
        <v>285</v>
      </c>
      <c r="H184" s="80" t="s">
        <v>58</v>
      </c>
      <c r="I184" s="80" t="s">
        <v>304</v>
      </c>
      <c r="J184" s="80"/>
      <c r="K184" s="80" t="s">
        <v>81</v>
      </c>
      <c r="L184" s="80"/>
      <c r="M184" s="105" t="str">
        <f>IFERROR(VLOOKUP(G184,Reference!$I$2:$J$175,2,FALSE()),"Operations")</f>
        <v>Children Services</v>
      </c>
    </row>
    <row r="185" spans="1:13" ht="15" customHeight="1" x14ac:dyDescent="0.25">
      <c r="A185" s="77" t="s">
        <v>766</v>
      </c>
      <c r="B185" s="111">
        <v>45457</v>
      </c>
      <c r="C185" s="77"/>
      <c r="D185" s="77" t="s">
        <v>358</v>
      </c>
      <c r="E185" s="77" t="s">
        <v>179</v>
      </c>
      <c r="F185" s="77" t="s">
        <v>191</v>
      </c>
      <c r="G185" s="77" t="s">
        <v>181</v>
      </c>
      <c r="H185" s="77" t="s">
        <v>75</v>
      </c>
      <c r="I185" s="77" t="s">
        <v>617</v>
      </c>
      <c r="J185" s="77"/>
      <c r="K185" s="77" t="s">
        <v>66</v>
      </c>
      <c r="L185" s="77"/>
      <c r="M185" s="102" t="str">
        <f>IFERROR(VLOOKUP(G185,Reference!$I$2:$J$175,2,FALSE()),"Operations")</f>
        <v>Operations</v>
      </c>
    </row>
    <row r="186" spans="1:13" ht="15" customHeight="1" x14ac:dyDescent="0.25">
      <c r="A186" s="80" t="s">
        <v>767</v>
      </c>
      <c r="B186" s="112">
        <v>45457</v>
      </c>
      <c r="C186" s="80"/>
      <c r="D186" s="80" t="s">
        <v>677</v>
      </c>
      <c r="E186" s="80" t="s">
        <v>179</v>
      </c>
      <c r="F186" s="80" t="s">
        <v>191</v>
      </c>
      <c r="G186" s="80" t="s">
        <v>319</v>
      </c>
      <c r="H186" s="80" t="s">
        <v>70</v>
      </c>
      <c r="I186" s="80" t="s">
        <v>182</v>
      </c>
      <c r="J186" s="80"/>
      <c r="K186" s="80" t="s">
        <v>66</v>
      </c>
      <c r="L186" s="80"/>
      <c r="M186" s="105" t="str">
        <f>IFERROR(VLOOKUP(G186,Reference!$I$2:$J$175,2,FALSE()),"Operations")</f>
        <v>Operations</v>
      </c>
    </row>
    <row r="187" spans="1:13" ht="15" customHeight="1" x14ac:dyDescent="0.25">
      <c r="A187" s="77" t="s">
        <v>768</v>
      </c>
      <c r="B187" s="111">
        <v>45459</v>
      </c>
      <c r="C187" s="77"/>
      <c r="D187" s="77" t="s">
        <v>342</v>
      </c>
      <c r="E187" s="77" t="s">
        <v>184</v>
      </c>
      <c r="F187" s="77" t="s">
        <v>191</v>
      </c>
      <c r="G187" s="77" t="s">
        <v>475</v>
      </c>
      <c r="H187" s="77" t="s">
        <v>70</v>
      </c>
      <c r="I187" s="77" t="s">
        <v>182</v>
      </c>
      <c r="J187" s="77"/>
      <c r="K187" s="77" t="s">
        <v>66</v>
      </c>
      <c r="L187" s="77"/>
      <c r="M187" s="102" t="str">
        <f>IFERROR(VLOOKUP(G187,Reference!$I$2:$J$175,2,FALSE()),"Operations")</f>
        <v>Operations</v>
      </c>
    </row>
    <row r="188" spans="1:13" ht="15" customHeight="1" x14ac:dyDescent="0.25">
      <c r="A188" s="80" t="s">
        <v>769</v>
      </c>
      <c r="B188" s="112">
        <v>45463</v>
      </c>
      <c r="C188" s="80"/>
      <c r="D188" s="80" t="s">
        <v>367</v>
      </c>
      <c r="E188" s="80" t="s">
        <v>184</v>
      </c>
      <c r="F188" s="80" t="s">
        <v>191</v>
      </c>
      <c r="G188" s="80" t="s">
        <v>738</v>
      </c>
      <c r="H188" s="80" t="s">
        <v>60</v>
      </c>
      <c r="I188" s="80" t="s">
        <v>608</v>
      </c>
      <c r="J188" s="80"/>
      <c r="K188" s="80" t="s">
        <v>84</v>
      </c>
      <c r="L188" s="80"/>
      <c r="M188" s="105" t="str">
        <f>IFERROR(VLOOKUP(G188,Reference!$I$2:$J$175,2,FALSE()),"Operations")</f>
        <v>Employment Services</v>
      </c>
    </row>
    <row r="189" spans="1:13" ht="15" customHeight="1" x14ac:dyDescent="0.25">
      <c r="A189" s="77" t="s">
        <v>770</v>
      </c>
      <c r="B189" s="111">
        <v>45464</v>
      </c>
      <c r="C189" s="77"/>
      <c r="D189" s="77" t="s">
        <v>302</v>
      </c>
      <c r="E189" s="77" t="s">
        <v>179</v>
      </c>
      <c r="F189" s="77" t="s">
        <v>180</v>
      </c>
      <c r="G189" s="77" t="s">
        <v>223</v>
      </c>
      <c r="H189" s="77" t="s">
        <v>64</v>
      </c>
      <c r="I189" s="77" t="s">
        <v>762</v>
      </c>
      <c r="J189" s="77"/>
      <c r="K189" s="77" t="s">
        <v>66</v>
      </c>
      <c r="L189" s="77"/>
      <c r="M189" s="102" t="str">
        <f>IFERROR(VLOOKUP(G189,Reference!$I$2:$J$175,2,FALSE()),"Operations")</f>
        <v>Operations</v>
      </c>
    </row>
    <row r="190" spans="1:13" ht="15" customHeight="1" x14ac:dyDescent="0.25">
      <c r="A190" s="80" t="s">
        <v>771</v>
      </c>
      <c r="B190" s="112">
        <v>45470</v>
      </c>
      <c r="C190" s="80"/>
      <c r="D190" s="80" t="s">
        <v>677</v>
      </c>
      <c r="E190" s="80" t="s">
        <v>179</v>
      </c>
      <c r="F190" s="80" t="s">
        <v>180</v>
      </c>
      <c r="G190" s="80" t="s">
        <v>285</v>
      </c>
      <c r="H190" s="80" t="s">
        <v>70</v>
      </c>
      <c r="I190" s="80" t="s">
        <v>304</v>
      </c>
      <c r="J190" s="80"/>
      <c r="K190" s="80" t="s">
        <v>81</v>
      </c>
      <c r="L190" s="80"/>
      <c r="M190" s="105" t="str">
        <f>IFERROR(VLOOKUP(G190,Reference!$I$2:$J$175,2,FALSE()),"Operations")</f>
        <v>Children Services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12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772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773</v>
      </c>
      <c r="B213" s="111">
        <v>45474</v>
      </c>
      <c r="C213" s="77"/>
      <c r="D213" s="77" t="s">
        <v>774</v>
      </c>
      <c r="E213" s="77" t="s">
        <v>179</v>
      </c>
      <c r="F213" s="77" t="s">
        <v>191</v>
      </c>
      <c r="G213" s="77" t="s">
        <v>775</v>
      </c>
      <c r="H213" s="77" t="s">
        <v>56</v>
      </c>
      <c r="I213" s="77" t="s">
        <v>235</v>
      </c>
      <c r="J213" s="77"/>
      <c r="K213" s="77" t="s">
        <v>68</v>
      </c>
      <c r="L213" s="77"/>
      <c r="M213" s="102" t="str">
        <f>IFERROR(VLOOKUP(G213,Reference!$I$2:$J$175,2,FALSE()),"Operations")</f>
        <v>Operations</v>
      </c>
    </row>
    <row r="214" spans="1:13" ht="15" customHeight="1" x14ac:dyDescent="0.25">
      <c r="A214" s="80" t="s">
        <v>776</v>
      </c>
      <c r="B214" s="112">
        <v>45474</v>
      </c>
      <c r="C214" s="80"/>
      <c r="D214" s="80" t="s">
        <v>777</v>
      </c>
      <c r="E214" s="80" t="s">
        <v>179</v>
      </c>
      <c r="F214" s="80" t="s">
        <v>191</v>
      </c>
      <c r="G214" s="80" t="s">
        <v>778</v>
      </c>
      <c r="H214" s="80" t="s">
        <v>58</v>
      </c>
      <c r="I214" s="80" t="s">
        <v>415</v>
      </c>
      <c r="J214" s="80"/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779</v>
      </c>
      <c r="B215" s="111">
        <v>45474</v>
      </c>
      <c r="C215" s="77"/>
      <c r="D215" s="77" t="s">
        <v>695</v>
      </c>
      <c r="E215" s="77" t="s">
        <v>184</v>
      </c>
      <c r="F215" s="77" t="s">
        <v>191</v>
      </c>
      <c r="G215" s="77" t="s">
        <v>380</v>
      </c>
      <c r="H215" s="77" t="s">
        <v>60</v>
      </c>
      <c r="I215" s="77" t="s">
        <v>235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780</v>
      </c>
      <c r="B216" s="112">
        <v>45474</v>
      </c>
      <c r="C216" s="80"/>
      <c r="D216" s="80" t="s">
        <v>777</v>
      </c>
      <c r="E216" s="80" t="s">
        <v>179</v>
      </c>
      <c r="F216" s="80" t="s">
        <v>191</v>
      </c>
      <c r="G216" s="80" t="s">
        <v>479</v>
      </c>
      <c r="H216" s="80" t="s">
        <v>56</v>
      </c>
      <c r="I216" s="80" t="s">
        <v>762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781</v>
      </c>
      <c r="B217" s="111">
        <v>45475</v>
      </c>
      <c r="C217" s="77"/>
      <c r="D217" s="77" t="s">
        <v>782</v>
      </c>
      <c r="E217" s="77" t="s">
        <v>184</v>
      </c>
      <c r="F217" s="77" t="s">
        <v>191</v>
      </c>
      <c r="G217" s="77" t="s">
        <v>371</v>
      </c>
      <c r="H217" s="77" t="s">
        <v>56</v>
      </c>
      <c r="I217" s="77" t="s">
        <v>617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783</v>
      </c>
      <c r="B218" s="112">
        <v>45488</v>
      </c>
      <c r="C218" s="80"/>
      <c r="D218" s="80" t="s">
        <v>644</v>
      </c>
      <c r="E218" s="80" t="s">
        <v>179</v>
      </c>
      <c r="F218" s="80" t="s">
        <v>191</v>
      </c>
      <c r="G218" s="80" t="s">
        <v>293</v>
      </c>
      <c r="H218" s="80" t="s">
        <v>69</v>
      </c>
      <c r="I218" s="80" t="s">
        <v>762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784</v>
      </c>
      <c r="B219" s="111">
        <v>45489</v>
      </c>
      <c r="C219" s="77"/>
      <c r="D219" s="77" t="s">
        <v>785</v>
      </c>
      <c r="E219" s="77" t="s">
        <v>179</v>
      </c>
      <c r="F219" s="77" t="s">
        <v>191</v>
      </c>
      <c r="G219" s="77" t="s">
        <v>371</v>
      </c>
      <c r="H219" s="77" t="s">
        <v>69</v>
      </c>
      <c r="I219" s="77" t="s">
        <v>235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786</v>
      </c>
      <c r="B220" s="112">
        <v>45490</v>
      </c>
      <c r="C220" s="80"/>
      <c r="D220" s="80" t="s">
        <v>734</v>
      </c>
      <c r="E220" s="80" t="s">
        <v>179</v>
      </c>
      <c r="F220" s="80" t="s">
        <v>191</v>
      </c>
      <c r="G220" s="80" t="s">
        <v>747</v>
      </c>
      <c r="H220" s="80" t="s">
        <v>56</v>
      </c>
      <c r="I220" s="80" t="s">
        <v>182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787</v>
      </c>
      <c r="B221" s="111">
        <v>45491</v>
      </c>
      <c r="C221" s="77"/>
      <c r="D221" s="77" t="s">
        <v>677</v>
      </c>
      <c r="E221" s="77" t="s">
        <v>179</v>
      </c>
      <c r="F221" s="77" t="s">
        <v>180</v>
      </c>
      <c r="G221" s="77" t="s">
        <v>775</v>
      </c>
      <c r="H221" s="77" t="s">
        <v>64</v>
      </c>
      <c r="I221" s="77" t="s">
        <v>235</v>
      </c>
      <c r="J221" s="77"/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788</v>
      </c>
      <c r="B222" s="112">
        <v>45495</v>
      </c>
      <c r="C222" s="80"/>
      <c r="D222" s="80" t="s">
        <v>382</v>
      </c>
      <c r="E222" s="80" t="s">
        <v>179</v>
      </c>
      <c r="F222" s="80" t="s">
        <v>191</v>
      </c>
      <c r="G222" s="80" t="s">
        <v>196</v>
      </c>
      <c r="H222" s="80" t="s">
        <v>69</v>
      </c>
      <c r="I222" s="80" t="s">
        <v>762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789</v>
      </c>
      <c r="B223" s="111">
        <v>45495</v>
      </c>
      <c r="C223" s="77"/>
      <c r="D223" s="77" t="s">
        <v>323</v>
      </c>
      <c r="E223" s="77" t="s">
        <v>179</v>
      </c>
      <c r="F223" s="77" t="s">
        <v>191</v>
      </c>
      <c r="G223" s="77" t="s">
        <v>310</v>
      </c>
      <c r="H223" s="77" t="s">
        <v>56</v>
      </c>
      <c r="I223" s="77" t="s">
        <v>235</v>
      </c>
      <c r="J223" s="77"/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790</v>
      </c>
      <c r="B224" s="112">
        <v>45497</v>
      </c>
      <c r="C224" s="80"/>
      <c r="D224" s="80" t="s">
        <v>791</v>
      </c>
      <c r="E224" s="80" t="s">
        <v>184</v>
      </c>
      <c r="F224" s="80" t="s">
        <v>191</v>
      </c>
      <c r="G224" s="80" t="s">
        <v>738</v>
      </c>
      <c r="H224" s="80" t="s">
        <v>58</v>
      </c>
      <c r="I224" s="80" t="s">
        <v>389</v>
      </c>
      <c r="J224" s="80"/>
      <c r="K224" s="80" t="s">
        <v>66</v>
      </c>
      <c r="L224" s="80"/>
      <c r="M224" s="105" t="str">
        <f>IFERROR(VLOOKUP(G224,Reference!$I$2:$J$175,2,FALSE()),"Operations")</f>
        <v>Employment Services</v>
      </c>
    </row>
    <row r="225" spans="1:13" ht="15" customHeight="1" x14ac:dyDescent="0.25">
      <c r="A225" s="77" t="s">
        <v>792</v>
      </c>
      <c r="B225" s="111">
        <v>45499</v>
      </c>
      <c r="C225" s="77"/>
      <c r="D225" s="77" t="s">
        <v>713</v>
      </c>
      <c r="E225" s="77" t="s">
        <v>184</v>
      </c>
      <c r="F225" s="77" t="s">
        <v>191</v>
      </c>
      <c r="G225" s="77" t="s">
        <v>319</v>
      </c>
      <c r="H225" s="77" t="s">
        <v>70</v>
      </c>
      <c r="I225" s="77" t="s">
        <v>182</v>
      </c>
      <c r="J225" s="77"/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13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793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794</v>
      </c>
      <c r="B247" s="111">
        <v>45505</v>
      </c>
      <c r="C247" s="77"/>
      <c r="D247" s="77" t="s">
        <v>695</v>
      </c>
      <c r="E247" s="77" t="s">
        <v>179</v>
      </c>
      <c r="F247" s="77" t="s">
        <v>191</v>
      </c>
      <c r="G247" s="77" t="s">
        <v>426</v>
      </c>
      <c r="H247" s="77" t="s">
        <v>69</v>
      </c>
      <c r="I247" s="77" t="s">
        <v>235</v>
      </c>
      <c r="J247" s="77"/>
      <c r="K247" s="77" t="s">
        <v>66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795</v>
      </c>
      <c r="B248" s="112">
        <v>45505</v>
      </c>
      <c r="C248" s="80"/>
      <c r="D248" s="80" t="s">
        <v>796</v>
      </c>
      <c r="E248" s="80" t="s">
        <v>179</v>
      </c>
      <c r="F248" s="80" t="s">
        <v>180</v>
      </c>
      <c r="G248" s="80" t="s">
        <v>426</v>
      </c>
      <c r="H248" s="80" t="s">
        <v>64</v>
      </c>
      <c r="I248" s="80" t="s">
        <v>235</v>
      </c>
      <c r="J248" s="80"/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797</v>
      </c>
      <c r="B249" s="111">
        <v>45507</v>
      </c>
      <c r="C249" s="77"/>
      <c r="D249" s="77" t="s">
        <v>798</v>
      </c>
      <c r="E249" s="77" t="s">
        <v>184</v>
      </c>
      <c r="F249" s="77" t="s">
        <v>191</v>
      </c>
      <c r="G249" s="77" t="s">
        <v>616</v>
      </c>
      <c r="H249" s="77" t="s">
        <v>53</v>
      </c>
      <c r="I249" s="77" t="s">
        <v>235</v>
      </c>
      <c r="J249" s="77"/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799</v>
      </c>
      <c r="B250" s="112">
        <v>45508</v>
      </c>
      <c r="C250" s="80"/>
      <c r="D250" s="80" t="s">
        <v>644</v>
      </c>
      <c r="E250" s="80" t="s">
        <v>184</v>
      </c>
      <c r="F250" s="80" t="s">
        <v>191</v>
      </c>
      <c r="G250" s="80" t="s">
        <v>293</v>
      </c>
      <c r="H250" s="80" t="s">
        <v>58</v>
      </c>
      <c r="I250" s="80" t="s">
        <v>182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762</v>
      </c>
      <c r="B251" s="111">
        <v>45511</v>
      </c>
      <c r="C251" s="77"/>
      <c r="D251" s="77" t="s">
        <v>619</v>
      </c>
      <c r="E251" s="77" t="s">
        <v>179</v>
      </c>
      <c r="F251" s="77" t="s">
        <v>191</v>
      </c>
      <c r="G251" s="77" t="s">
        <v>426</v>
      </c>
      <c r="H251" s="77" t="s">
        <v>70</v>
      </c>
      <c r="I251" s="77" t="s">
        <v>377</v>
      </c>
      <c r="J251" s="77"/>
      <c r="K251" s="77" t="s">
        <v>71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800</v>
      </c>
      <c r="B252" s="112">
        <v>45511</v>
      </c>
      <c r="C252" s="80"/>
      <c r="D252" s="80" t="s">
        <v>644</v>
      </c>
      <c r="E252" s="80" t="s">
        <v>179</v>
      </c>
      <c r="F252" s="80" t="s">
        <v>191</v>
      </c>
      <c r="G252" s="80" t="s">
        <v>738</v>
      </c>
      <c r="H252" s="80" t="s">
        <v>58</v>
      </c>
      <c r="I252" s="80" t="s">
        <v>389</v>
      </c>
      <c r="J252" s="80"/>
      <c r="K252" s="80" t="s">
        <v>84</v>
      </c>
      <c r="L252" s="80"/>
      <c r="M252" s="105" t="str">
        <f>IFERROR(VLOOKUP(G252,Reference!$I$2:$J$175,2,FALSE()),"Operations")</f>
        <v>Employment Services</v>
      </c>
    </row>
    <row r="253" spans="1:13" ht="15" customHeight="1" x14ac:dyDescent="0.25">
      <c r="A253" s="77" t="s">
        <v>801</v>
      </c>
      <c r="B253" s="111">
        <v>45516</v>
      </c>
      <c r="C253" s="77"/>
      <c r="D253" s="77" t="s">
        <v>802</v>
      </c>
      <c r="E253" s="77" t="s">
        <v>179</v>
      </c>
      <c r="F253" s="77" t="s">
        <v>180</v>
      </c>
      <c r="G253" s="77" t="s">
        <v>310</v>
      </c>
      <c r="H253" s="77" t="s">
        <v>64</v>
      </c>
      <c r="I253" s="77" t="s">
        <v>803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804</v>
      </c>
      <c r="B254" s="112">
        <v>45516</v>
      </c>
      <c r="C254" s="80"/>
      <c r="D254" s="80" t="s">
        <v>316</v>
      </c>
      <c r="E254" s="80" t="s">
        <v>179</v>
      </c>
      <c r="F254" s="80" t="s">
        <v>180</v>
      </c>
      <c r="G254" s="80" t="s">
        <v>310</v>
      </c>
      <c r="H254" s="80" t="s">
        <v>64</v>
      </c>
      <c r="I254" s="80" t="s">
        <v>803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805</v>
      </c>
      <c r="B255" s="111">
        <v>45516</v>
      </c>
      <c r="C255" s="77"/>
      <c r="D255" s="77" t="s">
        <v>344</v>
      </c>
      <c r="E255" s="77" t="s">
        <v>179</v>
      </c>
      <c r="F255" s="77" t="s">
        <v>191</v>
      </c>
      <c r="G255" s="77" t="s">
        <v>806</v>
      </c>
      <c r="H255" s="77" t="s">
        <v>58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807</v>
      </c>
      <c r="B256" s="112">
        <v>45518</v>
      </c>
      <c r="C256" s="80"/>
      <c r="D256" s="80" t="s">
        <v>298</v>
      </c>
      <c r="E256" s="80" t="s">
        <v>184</v>
      </c>
      <c r="F256" s="80" t="s">
        <v>191</v>
      </c>
      <c r="G256" s="80" t="s">
        <v>76</v>
      </c>
      <c r="H256" s="80" t="s">
        <v>56</v>
      </c>
      <c r="I256" s="80" t="s">
        <v>439</v>
      </c>
      <c r="J256" s="80"/>
      <c r="K256" s="80" t="s">
        <v>76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808</v>
      </c>
      <c r="B257" s="111">
        <v>45519</v>
      </c>
      <c r="C257" s="77"/>
      <c r="D257" s="77" t="s">
        <v>302</v>
      </c>
      <c r="E257" s="77" t="s">
        <v>179</v>
      </c>
      <c r="F257" s="77" t="s">
        <v>191</v>
      </c>
      <c r="G257" s="77" t="s">
        <v>613</v>
      </c>
      <c r="H257" s="77" t="s">
        <v>69</v>
      </c>
      <c r="I257" s="77" t="s">
        <v>235</v>
      </c>
      <c r="J257" s="77"/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809</v>
      </c>
      <c r="B258" s="112">
        <v>45519</v>
      </c>
      <c r="C258" s="80"/>
      <c r="D258" s="80" t="s">
        <v>810</v>
      </c>
      <c r="E258" s="80" t="s">
        <v>179</v>
      </c>
      <c r="F258" s="80" t="s">
        <v>191</v>
      </c>
      <c r="G258" s="80" t="s">
        <v>738</v>
      </c>
      <c r="H258" s="80" t="s">
        <v>69</v>
      </c>
      <c r="I258" s="80" t="s">
        <v>389</v>
      </c>
      <c r="J258" s="80"/>
      <c r="K258" s="80" t="s">
        <v>66</v>
      </c>
      <c r="L258" s="80"/>
      <c r="M258" s="105" t="str">
        <f>IFERROR(VLOOKUP(G258,Reference!$I$2:$J$175,2,FALSE()),"Operations")</f>
        <v>Employment Services</v>
      </c>
    </row>
    <row r="259" spans="1:13" ht="15" customHeight="1" x14ac:dyDescent="0.25">
      <c r="A259" s="77" t="s">
        <v>811</v>
      </c>
      <c r="B259" s="111">
        <v>45520</v>
      </c>
      <c r="C259" s="77"/>
      <c r="D259" s="77" t="s">
        <v>713</v>
      </c>
      <c r="E259" s="77" t="s">
        <v>179</v>
      </c>
      <c r="F259" s="77" t="s">
        <v>191</v>
      </c>
      <c r="G259" s="77" t="s">
        <v>307</v>
      </c>
      <c r="H259" s="77" t="s">
        <v>69</v>
      </c>
      <c r="I259" s="77" t="s">
        <v>235</v>
      </c>
      <c r="J259" s="77"/>
      <c r="K259" s="77" t="s">
        <v>66</v>
      </c>
      <c r="L259" s="77"/>
      <c r="M259" s="102" t="str">
        <f>IFERROR(VLOOKUP(G259,Reference!$I$2:$J$175,2,FALSE()),"Operations")</f>
        <v>Operations</v>
      </c>
    </row>
    <row r="260" spans="1:13" ht="15" customHeight="1" x14ac:dyDescent="0.25">
      <c r="A260" s="80" t="s">
        <v>812</v>
      </c>
      <c r="B260" s="112">
        <v>45524</v>
      </c>
      <c r="C260" s="80"/>
      <c r="D260" s="80" t="s">
        <v>813</v>
      </c>
      <c r="E260" s="80" t="s">
        <v>179</v>
      </c>
      <c r="F260" s="80" t="s">
        <v>191</v>
      </c>
      <c r="G260" s="80" t="s">
        <v>181</v>
      </c>
      <c r="H260" s="80" t="s">
        <v>69</v>
      </c>
      <c r="I260" s="80" t="s">
        <v>617</v>
      </c>
      <c r="J260" s="80"/>
      <c r="K260" s="80" t="s">
        <v>66</v>
      </c>
      <c r="L260" s="80"/>
      <c r="M260" s="105" t="str">
        <f>IFERROR(VLOOKUP(G260,Reference!$I$2:$J$175,2,FALSE()),"Operations")</f>
        <v>Operations</v>
      </c>
    </row>
    <row r="261" spans="1:13" ht="15" customHeight="1" x14ac:dyDescent="0.25">
      <c r="A261" s="77" t="s">
        <v>814</v>
      </c>
      <c r="B261" s="111">
        <v>45526</v>
      </c>
      <c r="C261" s="77"/>
      <c r="D261" s="77" t="s">
        <v>815</v>
      </c>
      <c r="E261" s="77" t="s">
        <v>179</v>
      </c>
      <c r="F261" s="77" t="s">
        <v>180</v>
      </c>
      <c r="G261" s="77" t="s">
        <v>181</v>
      </c>
      <c r="H261" s="77" t="s">
        <v>53</v>
      </c>
      <c r="I261" s="77" t="s">
        <v>617</v>
      </c>
      <c r="J261" s="77"/>
      <c r="K261" s="77" t="s">
        <v>66</v>
      </c>
      <c r="L261" s="77"/>
      <c r="M261" s="102" t="str">
        <f>IFERROR(VLOOKUP(G261,Reference!$I$2:$J$175,2,FALSE()),"Operations")</f>
        <v>Operations</v>
      </c>
    </row>
    <row r="262" spans="1:13" ht="15" customHeight="1" x14ac:dyDescent="0.25">
      <c r="A262" s="80" t="s">
        <v>816</v>
      </c>
      <c r="B262" s="112">
        <v>46993</v>
      </c>
      <c r="C262" s="80"/>
      <c r="D262" s="80" t="s">
        <v>817</v>
      </c>
      <c r="E262" s="80" t="s">
        <v>179</v>
      </c>
      <c r="F262" s="80" t="s">
        <v>191</v>
      </c>
      <c r="G262" s="80" t="s">
        <v>818</v>
      </c>
      <c r="H262" s="80" t="s">
        <v>60</v>
      </c>
      <c r="I262" s="80" t="s">
        <v>657</v>
      </c>
      <c r="J262" s="80"/>
      <c r="K262" s="80" t="s">
        <v>66</v>
      </c>
      <c r="L262" s="80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16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819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820</v>
      </c>
      <c r="B281" s="111">
        <v>45537</v>
      </c>
      <c r="C281" s="77"/>
      <c r="D281" s="77" t="s">
        <v>363</v>
      </c>
      <c r="E281" s="77" t="s">
        <v>184</v>
      </c>
      <c r="F281" s="77" t="s">
        <v>191</v>
      </c>
      <c r="G281" s="77" t="s">
        <v>246</v>
      </c>
      <c r="H281" s="77" t="s">
        <v>56</v>
      </c>
      <c r="I281" s="77" t="s">
        <v>235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821</v>
      </c>
      <c r="B282" s="112">
        <v>45542</v>
      </c>
      <c r="C282" s="80"/>
      <c r="D282" s="80" t="s">
        <v>363</v>
      </c>
      <c r="E282" s="80" t="s">
        <v>184</v>
      </c>
      <c r="F282" s="80" t="s">
        <v>191</v>
      </c>
      <c r="G282" s="80" t="s">
        <v>822</v>
      </c>
      <c r="H282" s="80" t="s">
        <v>58</v>
      </c>
      <c r="I282" s="80" t="s">
        <v>617</v>
      </c>
      <c r="J282" s="80"/>
      <c r="K282" s="80" t="s">
        <v>66</v>
      </c>
      <c r="L282" s="80"/>
      <c r="M282" s="105" t="str">
        <f>IFERROR(VLOOKUP(G282,Reference!$I$2:$J$175,2,FALSE()),"Operations")</f>
        <v>Operations</v>
      </c>
    </row>
    <row r="283" spans="1:13" ht="15" customHeight="1" x14ac:dyDescent="0.25">
      <c r="A283" s="77" t="s">
        <v>823</v>
      </c>
      <c r="B283" s="111">
        <v>45550</v>
      </c>
      <c r="C283" s="77"/>
      <c r="D283" s="77" t="s">
        <v>824</v>
      </c>
      <c r="E283" s="77" t="s">
        <v>184</v>
      </c>
      <c r="F283" s="77" t="s">
        <v>191</v>
      </c>
      <c r="G283" s="77" t="s">
        <v>822</v>
      </c>
      <c r="H283" s="77" t="s">
        <v>70</v>
      </c>
      <c r="I283" s="77" t="s">
        <v>617</v>
      </c>
      <c r="J283" s="77"/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825</v>
      </c>
      <c r="B284" s="112">
        <v>45558</v>
      </c>
      <c r="C284" s="80"/>
      <c r="D284" s="80" t="s">
        <v>302</v>
      </c>
      <c r="E284" s="80" t="s">
        <v>184</v>
      </c>
      <c r="F284" s="80" t="s">
        <v>191</v>
      </c>
      <c r="G284" s="80" t="s">
        <v>246</v>
      </c>
      <c r="H284" s="80" t="s">
        <v>60</v>
      </c>
      <c r="I284" s="80" t="s">
        <v>197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826</v>
      </c>
      <c r="B285" s="111">
        <v>45551</v>
      </c>
      <c r="C285" s="77"/>
      <c r="D285" s="77" t="s">
        <v>827</v>
      </c>
      <c r="E285" s="77" t="s">
        <v>179</v>
      </c>
      <c r="F285" s="77" t="s">
        <v>191</v>
      </c>
      <c r="G285" s="77" t="s">
        <v>828</v>
      </c>
      <c r="H285" s="77" t="s">
        <v>70</v>
      </c>
      <c r="I285" s="77" t="s">
        <v>197</v>
      </c>
      <c r="J285" s="77"/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829</v>
      </c>
      <c r="B286" s="112">
        <v>45555</v>
      </c>
      <c r="C286" s="80"/>
      <c r="D286" s="80" t="s">
        <v>323</v>
      </c>
      <c r="E286" s="80" t="s">
        <v>179</v>
      </c>
      <c r="F286" s="80" t="s">
        <v>191</v>
      </c>
      <c r="G286" s="80" t="s">
        <v>475</v>
      </c>
      <c r="H286" s="80" t="s">
        <v>70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830</v>
      </c>
      <c r="B287" s="111">
        <v>45559</v>
      </c>
      <c r="C287" s="77"/>
      <c r="D287" s="77" t="s">
        <v>302</v>
      </c>
      <c r="E287" s="77" t="s">
        <v>179</v>
      </c>
      <c r="F287" s="77" t="s">
        <v>191</v>
      </c>
      <c r="G287" s="77" t="s">
        <v>535</v>
      </c>
      <c r="H287" s="77" t="s">
        <v>58</v>
      </c>
      <c r="I287" s="77" t="s">
        <v>182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831</v>
      </c>
      <c r="B288" s="80"/>
      <c r="C288" s="80"/>
      <c r="D288" s="80" t="s">
        <v>785</v>
      </c>
      <c r="E288" s="80"/>
      <c r="F288" s="80"/>
      <c r="G288" s="80" t="s">
        <v>535</v>
      </c>
      <c r="H288" s="80" t="s">
        <v>58</v>
      </c>
      <c r="I288" s="80" t="s">
        <v>182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8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832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833</v>
      </c>
      <c r="B315" s="111">
        <v>45571</v>
      </c>
      <c r="C315" s="77"/>
      <c r="D315" s="77" t="s">
        <v>834</v>
      </c>
      <c r="E315" s="77" t="s">
        <v>184</v>
      </c>
      <c r="F315" s="77" t="s">
        <v>191</v>
      </c>
      <c r="G315" s="77" t="s">
        <v>199</v>
      </c>
      <c r="H315" s="77" t="s">
        <v>70</v>
      </c>
      <c r="I315" s="77" t="s">
        <v>657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835</v>
      </c>
      <c r="B316" s="112">
        <v>45579</v>
      </c>
      <c r="C316" s="80"/>
      <c r="D316" s="80" t="s">
        <v>836</v>
      </c>
      <c r="E316" s="80" t="s">
        <v>184</v>
      </c>
      <c r="F316" s="80" t="s">
        <v>191</v>
      </c>
      <c r="G316" s="80" t="s">
        <v>837</v>
      </c>
      <c r="H316" s="80" t="s">
        <v>58</v>
      </c>
      <c r="I316" s="80" t="s">
        <v>838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839</v>
      </c>
      <c r="B317" s="111">
        <v>45573</v>
      </c>
      <c r="C317" s="77"/>
      <c r="D317" s="77" t="s">
        <v>318</v>
      </c>
      <c r="E317" s="77" t="s">
        <v>179</v>
      </c>
      <c r="F317" s="77" t="s">
        <v>191</v>
      </c>
      <c r="G317" s="77" t="s">
        <v>840</v>
      </c>
      <c r="H317" s="77" t="s">
        <v>58</v>
      </c>
      <c r="I317" s="77" t="s">
        <v>197</v>
      </c>
      <c r="J317" s="77"/>
      <c r="K317" s="77" t="s">
        <v>68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841</v>
      </c>
      <c r="B318" s="112">
        <v>45574</v>
      </c>
      <c r="C318" s="80"/>
      <c r="D318" s="80" t="s">
        <v>313</v>
      </c>
      <c r="E318" s="80" t="s">
        <v>179</v>
      </c>
      <c r="F318" s="80" t="s">
        <v>191</v>
      </c>
      <c r="G318" s="80" t="s">
        <v>223</v>
      </c>
      <c r="H318" s="80" t="s">
        <v>69</v>
      </c>
      <c r="I318" s="80"/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842</v>
      </c>
      <c r="B319" s="111">
        <v>45582</v>
      </c>
      <c r="C319" s="77"/>
      <c r="D319" s="77" t="s">
        <v>713</v>
      </c>
      <c r="E319" s="77" t="s">
        <v>184</v>
      </c>
      <c r="F319" s="77" t="s">
        <v>191</v>
      </c>
      <c r="G319" s="77" t="s">
        <v>843</v>
      </c>
      <c r="H319" s="77" t="s">
        <v>58</v>
      </c>
      <c r="I319" s="77" t="s">
        <v>617</v>
      </c>
      <c r="J319" s="77"/>
      <c r="K319" s="77" t="s">
        <v>68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844</v>
      </c>
      <c r="B320" s="112">
        <v>45573</v>
      </c>
      <c r="C320" s="80"/>
      <c r="D320" s="80" t="s">
        <v>845</v>
      </c>
      <c r="E320" s="80" t="s">
        <v>179</v>
      </c>
      <c r="F320" s="80" t="s">
        <v>180</v>
      </c>
      <c r="G320" s="80" t="s">
        <v>246</v>
      </c>
      <c r="H320" s="80" t="s">
        <v>56</v>
      </c>
      <c r="I320" s="80" t="s">
        <v>197</v>
      </c>
      <c r="J320" s="80"/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846</v>
      </c>
      <c r="B321" s="111">
        <v>1</v>
      </c>
      <c r="C321" s="77"/>
      <c r="D321" s="77" t="s">
        <v>373</v>
      </c>
      <c r="E321" s="77" t="s">
        <v>179</v>
      </c>
      <c r="F321" s="77" t="s">
        <v>191</v>
      </c>
      <c r="G321" s="77" t="s">
        <v>307</v>
      </c>
      <c r="H321" s="77" t="s">
        <v>58</v>
      </c>
      <c r="I321" s="77" t="s">
        <v>182</v>
      </c>
      <c r="J321" s="77"/>
      <c r="K321" s="77" t="s">
        <v>66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7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847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848</v>
      </c>
      <c r="B349" s="111">
        <v>45601</v>
      </c>
      <c r="C349" s="77"/>
      <c r="D349" s="77" t="s">
        <v>373</v>
      </c>
      <c r="E349" s="77" t="s">
        <v>179</v>
      </c>
      <c r="F349" s="77" t="s">
        <v>191</v>
      </c>
      <c r="G349" s="77" t="s">
        <v>307</v>
      </c>
      <c r="H349" s="77" t="s">
        <v>58</v>
      </c>
      <c r="I349" s="77" t="s">
        <v>220</v>
      </c>
      <c r="J349" s="77"/>
      <c r="K349" s="77" t="s">
        <v>66</v>
      </c>
      <c r="L349" s="77"/>
      <c r="M349" s="102" t="str">
        <f>IFERROR(VLOOKUP(G349,Reference!$I$2:$J$175,2,FALSE()),"Operations")</f>
        <v>Operations</v>
      </c>
    </row>
    <row r="350" spans="1:13" ht="15" customHeight="1" x14ac:dyDescent="0.25">
      <c r="A350" s="80" t="s">
        <v>657</v>
      </c>
      <c r="B350" s="112">
        <v>45608</v>
      </c>
      <c r="C350" s="80"/>
      <c r="D350" s="80" t="s">
        <v>665</v>
      </c>
      <c r="E350" s="80" t="s">
        <v>184</v>
      </c>
      <c r="F350" s="80" t="s">
        <v>191</v>
      </c>
      <c r="G350" s="80" t="s">
        <v>426</v>
      </c>
      <c r="H350" s="80" t="s">
        <v>58</v>
      </c>
      <c r="I350" s="80" t="s">
        <v>377</v>
      </c>
      <c r="J350" s="80"/>
      <c r="K350" s="80" t="s">
        <v>71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849</v>
      </c>
      <c r="B351" s="111">
        <v>45609</v>
      </c>
      <c r="C351" s="77"/>
      <c r="D351" s="77" t="s">
        <v>298</v>
      </c>
      <c r="E351" s="77" t="s">
        <v>179</v>
      </c>
      <c r="F351" s="77" t="s">
        <v>191</v>
      </c>
      <c r="G351" s="77" t="s">
        <v>850</v>
      </c>
      <c r="H351" s="77" t="s">
        <v>58</v>
      </c>
      <c r="I351" s="77" t="s">
        <v>182</v>
      </c>
      <c r="J351" s="77"/>
      <c r="K351" s="77" t="s">
        <v>68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851</v>
      </c>
      <c r="B352" s="112">
        <v>45612</v>
      </c>
      <c r="C352" s="80"/>
      <c r="D352" s="80" t="s">
        <v>852</v>
      </c>
      <c r="E352" s="80" t="s">
        <v>179</v>
      </c>
      <c r="F352" s="80" t="s">
        <v>180</v>
      </c>
      <c r="G352" s="80" t="s">
        <v>327</v>
      </c>
      <c r="H352" s="80" t="s">
        <v>70</v>
      </c>
      <c r="I352" s="80" t="s">
        <v>328</v>
      </c>
      <c r="J352" s="80"/>
      <c r="K352" s="80" t="s">
        <v>66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853</v>
      </c>
      <c r="B353" s="111">
        <v>45612</v>
      </c>
      <c r="C353" s="77"/>
      <c r="D353" s="77" t="s">
        <v>358</v>
      </c>
      <c r="E353" s="77" t="s">
        <v>179</v>
      </c>
      <c r="F353" s="77" t="s">
        <v>191</v>
      </c>
      <c r="G353" s="77" t="s">
        <v>854</v>
      </c>
      <c r="H353" s="77" t="s">
        <v>58</v>
      </c>
      <c r="I353" s="77" t="s">
        <v>855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856</v>
      </c>
      <c r="B354" s="112">
        <v>45614</v>
      </c>
      <c r="C354" s="80"/>
      <c r="D354" s="80" t="s">
        <v>313</v>
      </c>
      <c r="E354" s="80" t="s">
        <v>179</v>
      </c>
      <c r="F354" s="80" t="s">
        <v>191</v>
      </c>
      <c r="G354" s="80" t="s">
        <v>310</v>
      </c>
      <c r="H354" s="80" t="s">
        <v>69</v>
      </c>
      <c r="I354" s="80" t="s">
        <v>311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857</v>
      </c>
      <c r="B355" s="111">
        <v>45617</v>
      </c>
      <c r="C355" s="77"/>
      <c r="D355" s="77" t="s">
        <v>373</v>
      </c>
      <c r="E355" s="77" t="s">
        <v>179</v>
      </c>
      <c r="F355" s="77" t="s">
        <v>191</v>
      </c>
      <c r="G355" s="77" t="s">
        <v>285</v>
      </c>
      <c r="H355" s="77" t="s">
        <v>58</v>
      </c>
      <c r="I355" s="77" t="s">
        <v>286</v>
      </c>
      <c r="J355" s="77"/>
      <c r="K355" s="77" t="s">
        <v>81</v>
      </c>
      <c r="L355" s="77"/>
      <c r="M355" s="102" t="str">
        <f>IFERROR(VLOOKUP(G355,Reference!$I$2:$J$175,2,FALSE()),"Operations")</f>
        <v>Children Services</v>
      </c>
    </row>
    <row r="356" spans="1:13" ht="15" customHeight="1" x14ac:dyDescent="0.25">
      <c r="A356" s="80" t="s">
        <v>858</v>
      </c>
      <c r="B356" s="112">
        <v>45618</v>
      </c>
      <c r="C356" s="80"/>
      <c r="D356" s="80" t="s">
        <v>859</v>
      </c>
      <c r="E356" s="80" t="s">
        <v>184</v>
      </c>
      <c r="F356" s="80" t="s">
        <v>191</v>
      </c>
      <c r="G356" s="80" t="s">
        <v>76</v>
      </c>
      <c r="H356" s="80" t="s">
        <v>62</v>
      </c>
      <c r="I356" s="80" t="s">
        <v>439</v>
      </c>
      <c r="J356" s="80"/>
      <c r="K356" s="80" t="s">
        <v>76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860</v>
      </c>
      <c r="B357" s="111">
        <v>45619</v>
      </c>
      <c r="C357" s="77"/>
      <c r="D357" s="77" t="s">
        <v>298</v>
      </c>
      <c r="E357" s="77" t="s">
        <v>179</v>
      </c>
      <c r="F357" s="77" t="s">
        <v>191</v>
      </c>
      <c r="G357" s="77" t="s">
        <v>310</v>
      </c>
      <c r="H357" s="77" t="s">
        <v>56</v>
      </c>
      <c r="I357" s="77" t="s">
        <v>197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861</v>
      </c>
      <c r="B358" s="112">
        <v>45622</v>
      </c>
      <c r="C358" s="80"/>
      <c r="D358" s="80" t="s">
        <v>862</v>
      </c>
      <c r="E358" s="80" t="s">
        <v>179</v>
      </c>
      <c r="F358" s="80" t="s">
        <v>191</v>
      </c>
      <c r="G358" s="80" t="s">
        <v>863</v>
      </c>
      <c r="H358" s="80" t="s">
        <v>58</v>
      </c>
      <c r="I358" s="80" t="s">
        <v>864</v>
      </c>
      <c r="J358" s="80"/>
      <c r="K358" s="80" t="s">
        <v>68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77" t="s">
        <v>865</v>
      </c>
      <c r="B359" s="111">
        <v>45626</v>
      </c>
      <c r="C359" s="77"/>
      <c r="D359" s="77" t="s">
        <v>342</v>
      </c>
      <c r="E359" s="77" t="s">
        <v>179</v>
      </c>
      <c r="F359" s="77" t="s">
        <v>191</v>
      </c>
      <c r="G359" s="77" t="s">
        <v>299</v>
      </c>
      <c r="H359" s="77" t="s">
        <v>56</v>
      </c>
      <c r="I359" s="77" t="s">
        <v>300</v>
      </c>
      <c r="J359" s="77"/>
      <c r="K359" s="77" t="s">
        <v>66</v>
      </c>
      <c r="L359" s="77"/>
      <c r="M359" s="102" t="str">
        <f>IFERROR(VLOOKUP(G359,Reference!$I$2:$J$175,2,FALSE()),"Operations")</f>
        <v>Operations</v>
      </c>
    </row>
    <row r="360" spans="1:13" ht="15" customHeight="1" x14ac:dyDescent="0.25">
      <c r="A360" s="80" t="s">
        <v>866</v>
      </c>
      <c r="B360" s="112">
        <v>45626</v>
      </c>
      <c r="C360" s="80"/>
      <c r="D360" s="80" t="s">
        <v>867</v>
      </c>
      <c r="E360" s="80" t="s">
        <v>179</v>
      </c>
      <c r="F360" s="80" t="s">
        <v>191</v>
      </c>
      <c r="G360" s="80" t="s">
        <v>475</v>
      </c>
      <c r="H360" s="80" t="s">
        <v>56</v>
      </c>
      <c r="I360" s="80" t="s">
        <v>868</v>
      </c>
      <c r="J360" s="80"/>
      <c r="K360" s="80" t="s">
        <v>66</v>
      </c>
      <c r="L360" s="80"/>
      <c r="M360" s="105" t="str">
        <f>IFERROR(VLOOKUP(G360,Reference!$I$2:$J$175,2,FALSE()),"Operations")</f>
        <v>Operations</v>
      </c>
    </row>
    <row r="361" spans="1:13" ht="15" customHeight="1" x14ac:dyDescent="0.25">
      <c r="A361" s="77" t="s">
        <v>869</v>
      </c>
      <c r="B361" s="111">
        <v>45626</v>
      </c>
      <c r="C361" s="77"/>
      <c r="D361" s="77" t="s">
        <v>870</v>
      </c>
      <c r="E361" s="77" t="s">
        <v>184</v>
      </c>
      <c r="F361" s="77" t="s">
        <v>180</v>
      </c>
      <c r="G361" s="77" t="s">
        <v>234</v>
      </c>
      <c r="H361" s="77" t="s">
        <v>70</v>
      </c>
      <c r="I361" s="77" t="s">
        <v>871</v>
      </c>
      <c r="J361" s="77"/>
      <c r="K361" s="77" t="s">
        <v>66</v>
      </c>
      <c r="L361" s="77"/>
      <c r="M361" s="102" t="str">
        <f>IFERROR(VLOOKUP(G361,Reference!$I$2:$J$175,2,FALSE()),"Operations")</f>
        <v>Operations</v>
      </c>
    </row>
    <row r="362" spans="1:13" ht="15" customHeight="1" x14ac:dyDescent="0.25">
      <c r="A362" s="80" t="s">
        <v>872</v>
      </c>
      <c r="B362" s="112">
        <v>45626</v>
      </c>
      <c r="C362" s="80"/>
      <c r="D362" s="80" t="s">
        <v>873</v>
      </c>
      <c r="E362" s="80" t="s">
        <v>184</v>
      </c>
      <c r="F362" s="80" t="s">
        <v>180</v>
      </c>
      <c r="G362" s="80" t="s">
        <v>234</v>
      </c>
      <c r="H362" s="80" t="s">
        <v>70</v>
      </c>
      <c r="I362" s="80" t="s">
        <v>871</v>
      </c>
      <c r="J362" s="80"/>
      <c r="K362" s="80" t="s">
        <v>66</v>
      </c>
      <c r="L362" s="80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14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874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875</v>
      </c>
      <c r="B383" s="111">
        <v>45629</v>
      </c>
      <c r="C383" s="77"/>
      <c r="D383" s="77" t="s">
        <v>695</v>
      </c>
      <c r="E383" s="77" t="s">
        <v>179</v>
      </c>
      <c r="F383" s="77" t="s">
        <v>191</v>
      </c>
      <c r="G383" s="77" t="s">
        <v>181</v>
      </c>
      <c r="H383" s="77" t="s">
        <v>56</v>
      </c>
      <c r="I383" s="77" t="s">
        <v>541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876</v>
      </c>
      <c r="B384" s="112">
        <v>45631</v>
      </c>
      <c r="C384" s="80"/>
      <c r="D384" s="80" t="s">
        <v>323</v>
      </c>
      <c r="E384" s="80" t="s">
        <v>184</v>
      </c>
      <c r="F384" s="80" t="s">
        <v>191</v>
      </c>
      <c r="G384" s="80" t="s">
        <v>303</v>
      </c>
      <c r="H384" s="80" t="s">
        <v>58</v>
      </c>
      <c r="I384" s="80" t="s">
        <v>304</v>
      </c>
      <c r="J384" s="80"/>
      <c r="K384" s="80" t="s">
        <v>80</v>
      </c>
      <c r="L384" s="80"/>
      <c r="M384" s="105" t="str">
        <f>IFERROR(VLOOKUP(G384,Reference!$I$2:$J$175,2,FALSE()),"Operations")</f>
        <v>Children Services</v>
      </c>
    </row>
    <row r="385" spans="1:13" ht="15" customHeight="1" x14ac:dyDescent="0.25">
      <c r="A385" s="77" t="s">
        <v>877</v>
      </c>
      <c r="B385" s="111">
        <v>45634</v>
      </c>
      <c r="C385" s="77"/>
      <c r="D385" s="77" t="s">
        <v>358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861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878</v>
      </c>
      <c r="B386" s="112">
        <v>45639</v>
      </c>
      <c r="C386" s="80"/>
      <c r="D386" s="80" t="s">
        <v>879</v>
      </c>
      <c r="E386" s="80" t="s">
        <v>184</v>
      </c>
      <c r="F386" s="80" t="s">
        <v>191</v>
      </c>
      <c r="G386" s="80" t="s">
        <v>285</v>
      </c>
      <c r="H386" s="80" t="s">
        <v>58</v>
      </c>
      <c r="I386" s="80" t="s">
        <v>286</v>
      </c>
      <c r="J386" s="80"/>
      <c r="K386" s="80" t="s">
        <v>80</v>
      </c>
      <c r="L386" s="80"/>
      <c r="M386" s="105" t="str">
        <f>IFERROR(VLOOKUP(G386,Reference!$I$2:$J$175,2,FALSE()),"Operations")</f>
        <v>Children Services</v>
      </c>
    </row>
    <row r="387" spans="1:13" ht="15" customHeight="1" x14ac:dyDescent="0.25">
      <c r="A387" s="77" t="s">
        <v>880</v>
      </c>
      <c r="B387" s="111">
        <v>45639</v>
      </c>
      <c r="C387" s="77"/>
      <c r="D387" s="77" t="s">
        <v>342</v>
      </c>
      <c r="E387" s="77" t="s">
        <v>184</v>
      </c>
      <c r="F387" s="77" t="s">
        <v>191</v>
      </c>
      <c r="G387" s="77" t="s">
        <v>535</v>
      </c>
      <c r="H387" s="77" t="s">
        <v>70</v>
      </c>
      <c r="I387" s="77" t="s">
        <v>749</v>
      </c>
      <c r="J387" s="77"/>
      <c r="K387" s="77" t="s">
        <v>66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881</v>
      </c>
      <c r="B388" s="112">
        <v>45638</v>
      </c>
      <c r="C388" s="80"/>
      <c r="D388" s="80" t="s">
        <v>882</v>
      </c>
      <c r="E388" s="80" t="s">
        <v>179</v>
      </c>
      <c r="F388" s="80" t="s">
        <v>180</v>
      </c>
      <c r="G388" s="80" t="s">
        <v>883</v>
      </c>
      <c r="H388" s="80" t="s">
        <v>69</v>
      </c>
      <c r="I388" s="80" t="s">
        <v>884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885</v>
      </c>
      <c r="B389" s="111">
        <v>45643</v>
      </c>
      <c r="C389" s="77"/>
      <c r="D389" s="77" t="s">
        <v>886</v>
      </c>
      <c r="E389" s="77" t="s">
        <v>179</v>
      </c>
      <c r="F389" s="77" t="s">
        <v>180</v>
      </c>
      <c r="G389" s="77" t="s">
        <v>887</v>
      </c>
      <c r="H389" s="77" t="s">
        <v>58</v>
      </c>
      <c r="I389" s="77" t="s">
        <v>311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888</v>
      </c>
      <c r="B390" s="112">
        <v>45647</v>
      </c>
      <c r="C390" s="80"/>
      <c r="D390" s="80" t="s">
        <v>342</v>
      </c>
      <c r="E390" s="80" t="s">
        <v>184</v>
      </c>
      <c r="F390" s="80" t="s">
        <v>191</v>
      </c>
      <c r="G390" s="80" t="s">
        <v>307</v>
      </c>
      <c r="H390" s="80" t="s">
        <v>58</v>
      </c>
      <c r="I390" s="80" t="s">
        <v>308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889</v>
      </c>
      <c r="B391" s="111">
        <v>45655</v>
      </c>
      <c r="C391" s="77"/>
      <c r="D391" s="77" t="s">
        <v>882</v>
      </c>
      <c r="E391" s="77" t="s">
        <v>179</v>
      </c>
      <c r="F391" s="77" t="s">
        <v>191</v>
      </c>
      <c r="G391" s="77" t="s">
        <v>616</v>
      </c>
      <c r="H391" s="77" t="s">
        <v>70</v>
      </c>
      <c r="I391" s="77" t="s">
        <v>521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5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5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5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5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5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2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86AB"/>
  </sheetPr>
  <dimension ref="A1:M414"/>
  <sheetViews>
    <sheetView zoomScaleNormal="100" workbookViewId="0">
      <pane ySplit="6" topLeftCell="A7" activePane="bottomLeft" state="frozen"/>
      <selection pane="bottomLeft" activeCell="C14" sqref="C1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890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891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62</v>
      </c>
      <c r="F5" s="97"/>
      <c r="G5" s="95" t="s">
        <v>149</v>
      </c>
      <c r="H5" s="99">
        <f>IF(B5=0,0,E5/B5)</f>
        <v>0.18289085545722714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892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893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894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895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896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897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898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899</v>
      </c>
      <c r="B213" s="77"/>
      <c r="C213" s="77"/>
      <c r="D213" s="77" t="s">
        <v>358</v>
      </c>
      <c r="E213" s="77" t="s">
        <v>184</v>
      </c>
      <c r="F213" s="77" t="s">
        <v>191</v>
      </c>
      <c r="G213" s="77" t="s">
        <v>388</v>
      </c>
      <c r="H213" s="77" t="s">
        <v>56</v>
      </c>
      <c r="I213" s="77" t="s">
        <v>605</v>
      </c>
      <c r="J213" s="77"/>
      <c r="K213" s="77" t="s">
        <v>70</v>
      </c>
      <c r="L213" s="77"/>
      <c r="M213" s="102" t="str">
        <f>IFERROR(VLOOKUP(G213,Reference!$I$2:$J$175,2,FALSE()),"Operations")</f>
        <v>Employment Services</v>
      </c>
    </row>
    <row r="214" spans="1:13" ht="15" customHeight="1" x14ac:dyDescent="0.25">
      <c r="A214" s="80" t="s">
        <v>900</v>
      </c>
      <c r="B214" s="80"/>
      <c r="C214" s="80"/>
      <c r="D214" s="80" t="s">
        <v>342</v>
      </c>
      <c r="E214" s="80" t="s">
        <v>184</v>
      </c>
      <c r="F214" s="80" t="s">
        <v>191</v>
      </c>
      <c r="G214" s="80" t="s">
        <v>76</v>
      </c>
      <c r="H214" s="80" t="s">
        <v>56</v>
      </c>
      <c r="I214" s="80" t="s">
        <v>404</v>
      </c>
      <c r="J214" s="80"/>
      <c r="K214" s="80" t="s">
        <v>76</v>
      </c>
      <c r="L214" s="80"/>
      <c r="M214" s="105" t="str">
        <f>IFERROR(VLOOKUP(G214,Reference!$I$2:$J$175,2,FALSE()),"Operations")</f>
        <v>Children Services</v>
      </c>
    </row>
    <row r="215" spans="1:13" ht="15" customHeight="1" x14ac:dyDescent="0.25">
      <c r="A215" s="77" t="s">
        <v>901</v>
      </c>
      <c r="B215" s="77"/>
      <c r="C215" s="77"/>
      <c r="D215" s="77" t="s">
        <v>313</v>
      </c>
      <c r="E215" s="77" t="s">
        <v>179</v>
      </c>
      <c r="F215" s="77" t="s">
        <v>191</v>
      </c>
      <c r="G215" s="77" t="s">
        <v>640</v>
      </c>
      <c r="H215" s="77" t="s">
        <v>69</v>
      </c>
      <c r="I215" s="77" t="s">
        <v>902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903</v>
      </c>
      <c r="B216" s="80"/>
      <c r="C216" s="80"/>
      <c r="D216" s="80" t="s">
        <v>316</v>
      </c>
      <c r="E216" s="80" t="s">
        <v>184</v>
      </c>
      <c r="F216" s="80" t="s">
        <v>191</v>
      </c>
      <c r="G216" s="80" t="s">
        <v>479</v>
      </c>
      <c r="H216" s="80" t="s">
        <v>56</v>
      </c>
      <c r="I216" s="80" t="s">
        <v>657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904</v>
      </c>
      <c r="B217" s="77"/>
      <c r="C217" s="77"/>
      <c r="D217" s="77" t="s">
        <v>905</v>
      </c>
      <c r="E217" s="77" t="s">
        <v>184</v>
      </c>
      <c r="F217" s="77" t="s">
        <v>191</v>
      </c>
      <c r="G217" s="77" t="s">
        <v>906</v>
      </c>
      <c r="H217" s="77" t="s">
        <v>60</v>
      </c>
      <c r="I217" s="77" t="s">
        <v>632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907</v>
      </c>
      <c r="B218" s="80"/>
      <c r="C218" s="80"/>
      <c r="D218" s="80" t="s">
        <v>298</v>
      </c>
      <c r="E218" s="80" t="s">
        <v>179</v>
      </c>
      <c r="F218" s="80" t="s">
        <v>191</v>
      </c>
      <c r="G218" s="80" t="s">
        <v>310</v>
      </c>
      <c r="H218" s="80" t="s">
        <v>70</v>
      </c>
      <c r="I218" s="80" t="s">
        <v>235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908</v>
      </c>
      <c r="B219" s="77"/>
      <c r="C219" s="77"/>
      <c r="D219" s="77" t="s">
        <v>373</v>
      </c>
      <c r="E219" s="77" t="s">
        <v>179</v>
      </c>
      <c r="F219" s="77" t="s">
        <v>180</v>
      </c>
      <c r="G219" s="77" t="s">
        <v>909</v>
      </c>
      <c r="H219" s="77" t="s">
        <v>69</v>
      </c>
      <c r="I219" s="77" t="s">
        <v>902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910</v>
      </c>
      <c r="B220" s="80"/>
      <c r="C220" s="80"/>
      <c r="D220" s="80" t="s">
        <v>695</v>
      </c>
      <c r="E220" s="80" t="s">
        <v>179</v>
      </c>
      <c r="F220" s="80" t="s">
        <v>180</v>
      </c>
      <c r="G220" s="80" t="s">
        <v>911</v>
      </c>
      <c r="H220" s="80" t="s">
        <v>69</v>
      </c>
      <c r="I220" s="80" t="s">
        <v>902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912</v>
      </c>
      <c r="B221" s="77"/>
      <c r="C221" s="77"/>
      <c r="D221" s="77" t="s">
        <v>298</v>
      </c>
      <c r="E221" s="77" t="s">
        <v>184</v>
      </c>
      <c r="F221" s="77" t="s">
        <v>180</v>
      </c>
      <c r="G221" s="77" t="s">
        <v>285</v>
      </c>
      <c r="H221" s="77" t="s">
        <v>69</v>
      </c>
      <c r="I221" s="77" t="s">
        <v>304</v>
      </c>
      <c r="J221" s="77"/>
      <c r="K221" s="77" t="s">
        <v>83</v>
      </c>
      <c r="L221" s="77"/>
      <c r="M221" s="102" t="str">
        <f>IFERROR(VLOOKUP(G221,Reference!$I$2:$J$175,2,FALSE()),"Operations")</f>
        <v>Children Services</v>
      </c>
    </row>
    <row r="222" spans="1:13" ht="15" customHeight="1" x14ac:dyDescent="0.25">
      <c r="A222" s="80" t="s">
        <v>913</v>
      </c>
      <c r="B222" s="80"/>
      <c r="C222" s="80"/>
      <c r="D222" s="80" t="s">
        <v>695</v>
      </c>
      <c r="E222" s="80" t="s">
        <v>179</v>
      </c>
      <c r="F222" s="80" t="s">
        <v>191</v>
      </c>
      <c r="G222" s="80" t="s">
        <v>914</v>
      </c>
      <c r="H222" s="80" t="s">
        <v>69</v>
      </c>
      <c r="I222" s="80" t="s">
        <v>235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915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916</v>
      </c>
      <c r="B247" s="77"/>
      <c r="C247" s="77"/>
      <c r="D247" s="77" t="s">
        <v>917</v>
      </c>
      <c r="E247" s="77" t="s">
        <v>184</v>
      </c>
      <c r="F247" s="77" t="s">
        <v>191</v>
      </c>
      <c r="G247" s="77" t="s">
        <v>747</v>
      </c>
      <c r="H247" s="77" t="s">
        <v>56</v>
      </c>
      <c r="I247" s="77" t="s">
        <v>182</v>
      </c>
      <c r="J247" s="77"/>
      <c r="K247" s="77" t="s">
        <v>70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918</v>
      </c>
      <c r="B248" s="80"/>
      <c r="C248" s="80"/>
      <c r="D248" s="80" t="s">
        <v>597</v>
      </c>
      <c r="E248" s="80" t="s">
        <v>179</v>
      </c>
      <c r="F248" s="80" t="s">
        <v>191</v>
      </c>
      <c r="G248" s="80" t="s">
        <v>778</v>
      </c>
      <c r="H248" s="80" t="s">
        <v>56</v>
      </c>
      <c r="I248" s="80" t="s">
        <v>389</v>
      </c>
      <c r="J248" s="80"/>
      <c r="K248" s="80" t="s">
        <v>83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919</v>
      </c>
      <c r="B249" s="77"/>
      <c r="C249" s="77"/>
      <c r="D249" s="77" t="s">
        <v>920</v>
      </c>
      <c r="E249" s="77" t="s">
        <v>184</v>
      </c>
      <c r="F249" s="77" t="s">
        <v>180</v>
      </c>
      <c r="G249" s="77" t="s">
        <v>741</v>
      </c>
      <c r="H249" s="77" t="s">
        <v>58</v>
      </c>
      <c r="I249" s="77" t="s">
        <v>742</v>
      </c>
      <c r="J249" s="77"/>
      <c r="K249" s="77" t="s">
        <v>70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921</v>
      </c>
      <c r="B250" s="80"/>
      <c r="C250" s="80"/>
      <c r="D250" s="80" t="s">
        <v>922</v>
      </c>
      <c r="E250" s="80" t="s">
        <v>179</v>
      </c>
      <c r="F250" s="80" t="s">
        <v>180</v>
      </c>
      <c r="G250" s="80" t="s">
        <v>181</v>
      </c>
      <c r="H250" s="80" t="s">
        <v>64</v>
      </c>
      <c r="I250" s="80" t="s">
        <v>205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923</v>
      </c>
      <c r="B251" s="77"/>
      <c r="C251" s="77"/>
      <c r="D251" s="77" t="s">
        <v>344</v>
      </c>
      <c r="E251" s="77" t="s">
        <v>179</v>
      </c>
      <c r="F251" s="77" t="s">
        <v>180</v>
      </c>
      <c r="G251" s="77" t="s">
        <v>600</v>
      </c>
      <c r="H251" s="77" t="s">
        <v>64</v>
      </c>
      <c r="I251" s="77" t="s">
        <v>657</v>
      </c>
      <c r="J251" s="77"/>
      <c r="K251" s="77" t="s">
        <v>66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924</v>
      </c>
      <c r="B252" s="80"/>
      <c r="C252" s="80"/>
      <c r="D252" s="80" t="s">
        <v>323</v>
      </c>
      <c r="E252" s="80" t="s">
        <v>179</v>
      </c>
      <c r="F252" s="80" t="s">
        <v>191</v>
      </c>
      <c r="G252" s="80" t="s">
        <v>906</v>
      </c>
      <c r="H252" s="80" t="s">
        <v>69</v>
      </c>
      <c r="I252" s="80" t="s">
        <v>632</v>
      </c>
      <c r="J252" s="80"/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925</v>
      </c>
      <c r="B253" s="77"/>
      <c r="C253" s="77"/>
      <c r="D253" s="77" t="s">
        <v>713</v>
      </c>
      <c r="E253" s="77" t="s">
        <v>179</v>
      </c>
      <c r="F253" s="77" t="s">
        <v>191</v>
      </c>
      <c r="G253" s="77" t="s">
        <v>296</v>
      </c>
      <c r="H253" s="77" t="s">
        <v>69</v>
      </c>
      <c r="I253" s="77" t="s">
        <v>205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926</v>
      </c>
      <c r="B254" s="80"/>
      <c r="C254" s="80"/>
      <c r="D254" s="80" t="s">
        <v>318</v>
      </c>
      <c r="E254" s="80" t="s">
        <v>179</v>
      </c>
      <c r="F254" s="80" t="s">
        <v>180</v>
      </c>
      <c r="G254" s="80" t="s">
        <v>927</v>
      </c>
      <c r="H254" s="80" t="s">
        <v>53</v>
      </c>
      <c r="I254" s="80" t="s">
        <v>182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928</v>
      </c>
      <c r="B255" s="77"/>
      <c r="C255" s="77"/>
      <c r="D255" s="77" t="s">
        <v>882</v>
      </c>
      <c r="E255" s="77" t="s">
        <v>184</v>
      </c>
      <c r="F255" s="77" t="s">
        <v>191</v>
      </c>
      <c r="G255" s="77" t="s">
        <v>637</v>
      </c>
      <c r="H255" s="77" t="s">
        <v>56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9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929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930</v>
      </c>
      <c r="B281" s="77"/>
      <c r="C281" s="77"/>
      <c r="D281" s="77" t="s">
        <v>318</v>
      </c>
      <c r="E281" s="77" t="s">
        <v>179</v>
      </c>
      <c r="F281" s="77" t="s">
        <v>180</v>
      </c>
      <c r="G281" s="77" t="s">
        <v>616</v>
      </c>
      <c r="H281" s="77" t="s">
        <v>64</v>
      </c>
      <c r="I281" s="77" t="s">
        <v>205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931</v>
      </c>
      <c r="B282" s="80"/>
      <c r="C282" s="80"/>
      <c r="D282" s="80" t="s">
        <v>358</v>
      </c>
      <c r="E282" s="80" t="s">
        <v>184</v>
      </c>
      <c r="F282" s="80" t="s">
        <v>191</v>
      </c>
      <c r="G282" s="80" t="s">
        <v>285</v>
      </c>
      <c r="H282" s="80" t="s">
        <v>58</v>
      </c>
      <c r="I282" s="80" t="s">
        <v>304</v>
      </c>
      <c r="J282" s="80"/>
      <c r="K282" s="80" t="s">
        <v>83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932</v>
      </c>
      <c r="B283" s="77"/>
      <c r="C283" s="77"/>
      <c r="D283" s="77" t="s">
        <v>933</v>
      </c>
      <c r="E283" s="77" t="s">
        <v>184</v>
      </c>
      <c r="F283" s="77" t="s">
        <v>191</v>
      </c>
      <c r="G283" s="77" t="s">
        <v>934</v>
      </c>
      <c r="H283" s="77" t="s">
        <v>56</v>
      </c>
      <c r="I283" s="77" t="s">
        <v>340</v>
      </c>
      <c r="J283" s="77"/>
      <c r="K283" s="77" t="s">
        <v>70</v>
      </c>
      <c r="L283" s="77"/>
      <c r="M283" s="102" t="str">
        <f>IFERROR(VLOOKUP(G283,Reference!$I$2:$J$175,2,FALSE()),"Operations")</f>
        <v>Behavioral Health</v>
      </c>
    </row>
    <row r="284" spans="1:13" ht="15" customHeight="1" x14ac:dyDescent="0.25">
      <c r="A284" s="80" t="s">
        <v>935</v>
      </c>
      <c r="B284" s="80"/>
      <c r="C284" s="80"/>
      <c r="D284" s="80" t="s">
        <v>713</v>
      </c>
      <c r="E284" s="80" t="s">
        <v>179</v>
      </c>
      <c r="F284" s="80" t="s">
        <v>191</v>
      </c>
      <c r="G284" s="80" t="s">
        <v>936</v>
      </c>
      <c r="H284" s="80" t="s">
        <v>64</v>
      </c>
      <c r="I284" s="80" t="s">
        <v>235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937</v>
      </c>
      <c r="B285" s="77"/>
      <c r="C285" s="77"/>
      <c r="D285" s="77" t="s">
        <v>938</v>
      </c>
      <c r="E285" s="77" t="s">
        <v>184</v>
      </c>
      <c r="F285" s="77" t="s">
        <v>191</v>
      </c>
      <c r="G285" s="77" t="s">
        <v>660</v>
      </c>
      <c r="H285" s="77" t="s">
        <v>58</v>
      </c>
      <c r="I285" s="77" t="s">
        <v>939</v>
      </c>
      <c r="J285" s="77"/>
      <c r="K285" s="77" t="s">
        <v>70</v>
      </c>
      <c r="L285" s="77"/>
      <c r="M285" s="102" t="str">
        <f>IFERROR(VLOOKUP(G285,Reference!$I$2:$J$175,2,FALSE()),"Operations")</f>
        <v>Employment Services</v>
      </c>
    </row>
    <row r="286" spans="1:13" ht="15" customHeight="1" x14ac:dyDescent="0.25">
      <c r="A286" s="80" t="s">
        <v>926</v>
      </c>
      <c r="B286" s="80"/>
      <c r="C286" s="80"/>
      <c r="D286" s="80" t="s">
        <v>318</v>
      </c>
      <c r="E286" s="80" t="s">
        <v>179</v>
      </c>
      <c r="F286" s="80" t="s">
        <v>191</v>
      </c>
      <c r="G286" s="80" t="s">
        <v>293</v>
      </c>
      <c r="H286" s="80" t="s">
        <v>60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940</v>
      </c>
      <c r="B287" s="77"/>
      <c r="C287" s="77"/>
      <c r="D287" s="77" t="s">
        <v>344</v>
      </c>
      <c r="E287" s="77" t="s">
        <v>179</v>
      </c>
      <c r="F287" s="77" t="s">
        <v>191</v>
      </c>
      <c r="G287" s="77" t="s">
        <v>613</v>
      </c>
      <c r="H287" s="77" t="s">
        <v>58</v>
      </c>
      <c r="I287" s="77" t="s">
        <v>235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941</v>
      </c>
      <c r="B288" s="80"/>
      <c r="C288" s="80"/>
      <c r="D288" s="80" t="s">
        <v>942</v>
      </c>
      <c r="E288" s="80" t="s">
        <v>179</v>
      </c>
      <c r="F288" s="80" t="s">
        <v>180</v>
      </c>
      <c r="G288" s="80" t="s">
        <v>380</v>
      </c>
      <c r="H288" s="80" t="s">
        <v>69</v>
      </c>
      <c r="I288" s="80" t="s">
        <v>632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77" t="s">
        <v>943</v>
      </c>
      <c r="B289" s="77"/>
      <c r="C289" s="77"/>
      <c r="D289" s="77" t="s">
        <v>358</v>
      </c>
      <c r="E289" s="77" t="s">
        <v>179</v>
      </c>
      <c r="F289" s="77" t="s">
        <v>191</v>
      </c>
      <c r="G289" s="77" t="s">
        <v>580</v>
      </c>
      <c r="H289" s="77" t="s">
        <v>53</v>
      </c>
      <c r="I289" s="77" t="s">
        <v>632</v>
      </c>
      <c r="J289" s="77"/>
      <c r="K289" s="77" t="s">
        <v>66</v>
      </c>
      <c r="L289" s="77"/>
      <c r="M289" s="102" t="str">
        <f>IFERROR(VLOOKUP(G289,Reference!$I$2:$J$175,2,FALSE()),"Operations")</f>
        <v>Operations</v>
      </c>
    </row>
    <row r="290" spans="1:13" ht="15" customHeight="1" x14ac:dyDescent="0.25">
      <c r="A290" s="80" t="s">
        <v>944</v>
      </c>
      <c r="B290" s="80"/>
      <c r="C290" s="80"/>
      <c r="D290" s="80" t="s">
        <v>942</v>
      </c>
      <c r="E290" s="80" t="s">
        <v>179</v>
      </c>
      <c r="F290" s="80" t="s">
        <v>191</v>
      </c>
      <c r="G290" s="80" t="s">
        <v>616</v>
      </c>
      <c r="H290" s="80" t="s">
        <v>69</v>
      </c>
      <c r="I290" s="80" t="s">
        <v>617</v>
      </c>
      <c r="J290" s="80"/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945</v>
      </c>
      <c r="B291" s="77"/>
      <c r="C291" s="77"/>
      <c r="D291" s="77" t="s">
        <v>942</v>
      </c>
      <c r="E291" s="77" t="s">
        <v>179</v>
      </c>
      <c r="F291" s="77" t="s">
        <v>191</v>
      </c>
      <c r="G291" s="77" t="s">
        <v>319</v>
      </c>
      <c r="H291" s="77" t="s">
        <v>69</v>
      </c>
      <c r="I291" s="77" t="s">
        <v>182</v>
      </c>
      <c r="J291" s="77"/>
      <c r="K291" s="77" t="s">
        <v>66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946</v>
      </c>
      <c r="B292" s="80"/>
      <c r="C292" s="80"/>
      <c r="D292" s="80" t="s">
        <v>947</v>
      </c>
      <c r="E292" s="80" t="s">
        <v>179</v>
      </c>
      <c r="F292" s="80" t="s">
        <v>191</v>
      </c>
      <c r="G292" s="80" t="s">
        <v>948</v>
      </c>
      <c r="H292" s="80" t="s">
        <v>58</v>
      </c>
      <c r="I292" s="80" t="s">
        <v>404</v>
      </c>
      <c r="J292" s="80"/>
      <c r="K292" s="80" t="s">
        <v>76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949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950</v>
      </c>
      <c r="B315" s="77"/>
      <c r="C315" s="77"/>
      <c r="D315" s="77" t="s">
        <v>951</v>
      </c>
      <c r="E315" s="77" t="s">
        <v>179</v>
      </c>
      <c r="F315" s="77" t="s">
        <v>191</v>
      </c>
      <c r="G315" s="77" t="s">
        <v>613</v>
      </c>
      <c r="H315" s="77" t="s">
        <v>69</v>
      </c>
      <c r="I315" s="77" t="s">
        <v>235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952</v>
      </c>
      <c r="B316" s="80"/>
      <c r="C316" s="80"/>
      <c r="D316" s="80" t="s">
        <v>713</v>
      </c>
      <c r="E316" s="80" t="s">
        <v>179</v>
      </c>
      <c r="F316" s="80" t="s">
        <v>191</v>
      </c>
      <c r="G316" s="80" t="s">
        <v>613</v>
      </c>
      <c r="H316" s="80" t="s">
        <v>58</v>
      </c>
      <c r="I316" s="80" t="s">
        <v>235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953</v>
      </c>
      <c r="B317" s="77"/>
      <c r="C317" s="77"/>
      <c r="D317" s="77" t="s">
        <v>954</v>
      </c>
      <c r="E317" s="77" t="s">
        <v>179</v>
      </c>
      <c r="F317" s="77" t="s">
        <v>191</v>
      </c>
      <c r="G317" s="77" t="s">
        <v>631</v>
      </c>
      <c r="H317" s="77" t="s">
        <v>58</v>
      </c>
      <c r="I317" s="77" t="s">
        <v>632</v>
      </c>
      <c r="J317" s="77"/>
      <c r="K317" s="77" t="s">
        <v>66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955</v>
      </c>
      <c r="B318" s="80"/>
      <c r="C318" s="80"/>
      <c r="D318" s="80" t="s">
        <v>954</v>
      </c>
      <c r="E318" s="80" t="s">
        <v>179</v>
      </c>
      <c r="F318" s="80" t="s">
        <v>191</v>
      </c>
      <c r="G318" s="80" t="s">
        <v>616</v>
      </c>
      <c r="H318" s="80" t="s">
        <v>58</v>
      </c>
      <c r="I318" s="80" t="s">
        <v>617</v>
      </c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956</v>
      </c>
      <c r="B319" s="77"/>
      <c r="C319" s="77"/>
      <c r="D319" s="77" t="s">
        <v>951</v>
      </c>
      <c r="E319" s="77" t="s">
        <v>184</v>
      </c>
      <c r="F319" s="77" t="s">
        <v>191</v>
      </c>
      <c r="G319" s="77" t="s">
        <v>957</v>
      </c>
      <c r="H319" s="77" t="s">
        <v>69</v>
      </c>
      <c r="I319" s="77" t="s">
        <v>632</v>
      </c>
      <c r="J319" s="77"/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958</v>
      </c>
      <c r="B320" s="80"/>
      <c r="C320" s="80"/>
      <c r="D320" s="80" t="s">
        <v>959</v>
      </c>
      <c r="E320" s="80" t="s">
        <v>184</v>
      </c>
      <c r="F320" s="80" t="s">
        <v>191</v>
      </c>
      <c r="G320" s="80" t="s">
        <v>285</v>
      </c>
      <c r="H320" s="80" t="s">
        <v>53</v>
      </c>
      <c r="I320" s="80" t="s">
        <v>304</v>
      </c>
      <c r="J320" s="80"/>
      <c r="K320" s="80" t="s">
        <v>83</v>
      </c>
      <c r="L320" s="80"/>
      <c r="M320" s="105" t="str">
        <f>IFERROR(VLOOKUP(G320,Reference!$I$2:$J$175,2,FALSE()),"Operations")</f>
        <v>Children Services</v>
      </c>
    </row>
    <row r="321" spans="1:13" ht="15" customHeight="1" x14ac:dyDescent="0.25">
      <c r="A321" s="77" t="s">
        <v>960</v>
      </c>
      <c r="B321" s="77"/>
      <c r="C321" s="77"/>
      <c r="D321" s="77" t="s">
        <v>951</v>
      </c>
      <c r="E321" s="77" t="s">
        <v>179</v>
      </c>
      <c r="F321" s="77" t="s">
        <v>191</v>
      </c>
      <c r="G321" s="77" t="s">
        <v>285</v>
      </c>
      <c r="H321" s="77" t="s">
        <v>69</v>
      </c>
      <c r="I321" s="77" t="s">
        <v>304</v>
      </c>
      <c r="J321" s="77"/>
      <c r="K321" s="77" t="s">
        <v>83</v>
      </c>
      <c r="L321" s="77"/>
      <c r="M321" s="102" t="str">
        <f>IFERROR(VLOOKUP(G321,Reference!$I$2:$J$175,2,FALSE()),"Operations")</f>
        <v>Children Services</v>
      </c>
    </row>
    <row r="322" spans="1:13" ht="15" customHeight="1" x14ac:dyDescent="0.25">
      <c r="A322" s="80" t="s">
        <v>961</v>
      </c>
      <c r="B322" s="80"/>
      <c r="C322" s="80"/>
      <c r="D322" s="80" t="s">
        <v>951</v>
      </c>
      <c r="E322" s="80" t="s">
        <v>179</v>
      </c>
      <c r="F322" s="80" t="s">
        <v>191</v>
      </c>
      <c r="G322" s="80" t="s">
        <v>962</v>
      </c>
      <c r="H322" s="80" t="s">
        <v>75</v>
      </c>
      <c r="I322" s="80" t="s">
        <v>632</v>
      </c>
      <c r="J322" s="80"/>
      <c r="K322" s="80" t="s">
        <v>66</v>
      </c>
      <c r="L322" s="80"/>
      <c r="M322" s="105" t="str">
        <f>IFERROR(VLOOKUP(G322,Reference!$I$2:$J$175,2,FALSE()),"Operations")</f>
        <v>Operations</v>
      </c>
    </row>
    <row r="323" spans="1:13" ht="15" customHeight="1" x14ac:dyDescent="0.25">
      <c r="A323" s="77" t="s">
        <v>963</v>
      </c>
      <c r="B323" s="77"/>
      <c r="C323" s="77"/>
      <c r="D323" s="77" t="s">
        <v>302</v>
      </c>
      <c r="E323" s="77" t="s">
        <v>179</v>
      </c>
      <c r="F323" s="77" t="s">
        <v>180</v>
      </c>
      <c r="G323" s="77" t="s">
        <v>246</v>
      </c>
      <c r="H323" s="77" t="s">
        <v>56</v>
      </c>
      <c r="I323" s="77" t="s">
        <v>235</v>
      </c>
      <c r="J323" s="77"/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964</v>
      </c>
      <c r="B324" s="80"/>
      <c r="C324" s="80"/>
      <c r="D324" s="80" t="s">
        <v>845</v>
      </c>
      <c r="E324" s="80" t="s">
        <v>179</v>
      </c>
      <c r="F324" s="80" t="s">
        <v>191</v>
      </c>
      <c r="G324" s="80" t="s">
        <v>76</v>
      </c>
      <c r="H324" s="80" t="s">
        <v>58</v>
      </c>
      <c r="I324" s="80" t="s">
        <v>404</v>
      </c>
      <c r="J324" s="80"/>
      <c r="K324" s="80" t="s">
        <v>76</v>
      </c>
      <c r="L324" s="80"/>
      <c r="M324" s="105" t="str">
        <f>IFERROR(VLOOKUP(G324,Reference!$I$2:$J$175,2,FALSE()),"Operations")</f>
        <v>Children Services</v>
      </c>
    </row>
    <row r="325" spans="1:13" ht="15" customHeight="1" x14ac:dyDescent="0.25">
      <c r="A325" s="77" t="s">
        <v>965</v>
      </c>
      <c r="B325" s="77"/>
      <c r="C325" s="77"/>
      <c r="D325" s="77" t="s">
        <v>302</v>
      </c>
      <c r="E325" s="77" t="s">
        <v>966</v>
      </c>
      <c r="F325" s="77" t="s">
        <v>191</v>
      </c>
      <c r="G325" s="77" t="s">
        <v>967</v>
      </c>
      <c r="H325" s="77" t="s">
        <v>58</v>
      </c>
      <c r="I325" s="77" t="s">
        <v>682</v>
      </c>
      <c r="J325" s="77"/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968</v>
      </c>
      <c r="B326" s="80"/>
      <c r="C326" s="80"/>
      <c r="D326" s="80" t="s">
        <v>358</v>
      </c>
      <c r="E326" s="80" t="s">
        <v>184</v>
      </c>
      <c r="F326" s="80" t="s">
        <v>191</v>
      </c>
      <c r="G326" s="80" t="s">
        <v>296</v>
      </c>
      <c r="H326" s="80" t="s">
        <v>58</v>
      </c>
      <c r="I326" s="80" t="s">
        <v>617</v>
      </c>
      <c r="J326" s="80"/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12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969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970</v>
      </c>
      <c r="B349" s="77"/>
      <c r="C349" s="77"/>
      <c r="D349" s="77" t="s">
        <v>971</v>
      </c>
      <c r="E349" s="77" t="s">
        <v>184</v>
      </c>
      <c r="F349" s="77" t="s">
        <v>191</v>
      </c>
      <c r="G349" s="77" t="s">
        <v>76</v>
      </c>
      <c r="H349" s="77" t="s">
        <v>62</v>
      </c>
      <c r="I349" s="77" t="s">
        <v>404</v>
      </c>
      <c r="J349" s="77"/>
      <c r="K349" s="77" t="s">
        <v>76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972</v>
      </c>
      <c r="B350" s="80"/>
      <c r="C350" s="80"/>
      <c r="D350" s="80" t="s">
        <v>677</v>
      </c>
      <c r="E350" s="80" t="s">
        <v>179</v>
      </c>
      <c r="F350" s="80" t="s">
        <v>180</v>
      </c>
      <c r="G350" s="80" t="s">
        <v>973</v>
      </c>
      <c r="H350" s="80" t="s">
        <v>56</v>
      </c>
      <c r="I350" s="80" t="s">
        <v>389</v>
      </c>
      <c r="J350" s="80"/>
      <c r="K350" s="80" t="s">
        <v>70</v>
      </c>
      <c r="L350" s="80"/>
      <c r="M350" s="105" t="str">
        <f>IFERROR(VLOOKUP(G350,Reference!$I$2:$J$175,2,FALSE()),"Operations")</f>
        <v>Employment Services</v>
      </c>
    </row>
    <row r="351" spans="1:13" ht="15" customHeight="1" x14ac:dyDescent="0.25">
      <c r="A351" s="77" t="s">
        <v>974</v>
      </c>
      <c r="B351" s="77"/>
      <c r="C351" s="77"/>
      <c r="D351" s="77" t="s">
        <v>975</v>
      </c>
      <c r="E351" s="77" t="s">
        <v>184</v>
      </c>
      <c r="F351" s="77" t="s">
        <v>180</v>
      </c>
      <c r="G351" s="77" t="s">
        <v>616</v>
      </c>
      <c r="H351" s="77" t="s">
        <v>75</v>
      </c>
      <c r="I351" s="77" t="s">
        <v>205</v>
      </c>
      <c r="J351" s="77"/>
      <c r="K351" s="77" t="s">
        <v>66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976</v>
      </c>
      <c r="B352" s="80"/>
      <c r="C352" s="80"/>
      <c r="D352" s="80" t="s">
        <v>373</v>
      </c>
      <c r="E352" s="80" t="s">
        <v>179</v>
      </c>
      <c r="F352" s="80" t="s">
        <v>180</v>
      </c>
      <c r="G352" s="80" t="s">
        <v>778</v>
      </c>
      <c r="H352" s="80" t="s">
        <v>53</v>
      </c>
      <c r="I352" s="80" t="s">
        <v>389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977</v>
      </c>
      <c r="B353" s="77"/>
      <c r="C353" s="77"/>
      <c r="D353" s="77" t="s">
        <v>713</v>
      </c>
      <c r="E353" s="77" t="s">
        <v>179</v>
      </c>
      <c r="F353" s="77" t="s">
        <v>191</v>
      </c>
      <c r="G353" s="77" t="s">
        <v>307</v>
      </c>
      <c r="H353" s="77" t="s">
        <v>69</v>
      </c>
      <c r="I353" s="77" t="s">
        <v>632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978</v>
      </c>
      <c r="B354" s="80"/>
      <c r="C354" s="80"/>
      <c r="D354" s="80" t="s">
        <v>344</v>
      </c>
      <c r="E354" s="80" t="s">
        <v>184</v>
      </c>
      <c r="F354" s="80" t="s">
        <v>180</v>
      </c>
      <c r="G354" s="80" t="s">
        <v>979</v>
      </c>
      <c r="H354" s="80" t="s">
        <v>58</v>
      </c>
      <c r="I354" s="80" t="s">
        <v>205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980</v>
      </c>
      <c r="B355" s="77"/>
      <c r="C355" s="77"/>
      <c r="D355" s="77" t="s">
        <v>981</v>
      </c>
      <c r="E355" s="77" t="s">
        <v>179</v>
      </c>
      <c r="F355" s="77" t="s">
        <v>191</v>
      </c>
      <c r="G355" s="77" t="s">
        <v>631</v>
      </c>
      <c r="H355" s="77" t="s">
        <v>58</v>
      </c>
      <c r="I355" s="77" t="s">
        <v>632</v>
      </c>
      <c r="J355" s="77"/>
      <c r="K355" s="77" t="s">
        <v>66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982</v>
      </c>
      <c r="B356" s="80"/>
      <c r="C356" s="80"/>
      <c r="D356" s="80" t="s">
        <v>373</v>
      </c>
      <c r="E356" s="80" t="s">
        <v>179</v>
      </c>
      <c r="F356" s="80" t="s">
        <v>180</v>
      </c>
      <c r="G356" s="80" t="s">
        <v>983</v>
      </c>
      <c r="H356" s="80" t="s">
        <v>69</v>
      </c>
      <c r="I356" s="80" t="s">
        <v>632</v>
      </c>
      <c r="J356" s="80"/>
      <c r="K356" s="80" t="s">
        <v>66</v>
      </c>
      <c r="L356" s="80"/>
      <c r="M356" s="105" t="str">
        <f>IFERROR(VLOOKUP(G356,Reference!$I$2:$J$175,2,FALSE()),"Operations")</f>
        <v>Operations</v>
      </c>
    </row>
    <row r="357" spans="1:13" ht="15" customHeight="1" x14ac:dyDescent="0.25">
      <c r="A357" s="77" t="s">
        <v>984</v>
      </c>
      <c r="B357" s="77"/>
      <c r="C357" s="77"/>
      <c r="D357" s="77" t="s">
        <v>313</v>
      </c>
      <c r="E357" s="77" t="s">
        <v>179</v>
      </c>
      <c r="F357" s="77" t="s">
        <v>191</v>
      </c>
      <c r="G357" s="77" t="s">
        <v>319</v>
      </c>
      <c r="H357" s="77" t="s">
        <v>75</v>
      </c>
      <c r="I357" s="77" t="s">
        <v>182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985</v>
      </c>
      <c r="B358" s="80"/>
      <c r="C358" s="80"/>
      <c r="D358" s="80" t="s">
        <v>344</v>
      </c>
      <c r="E358" s="80" t="s">
        <v>179</v>
      </c>
      <c r="F358" s="80" t="s">
        <v>191</v>
      </c>
      <c r="G358" s="80" t="s">
        <v>986</v>
      </c>
      <c r="H358" s="80" t="s">
        <v>53</v>
      </c>
      <c r="I358" s="80" t="s">
        <v>235</v>
      </c>
      <c r="J358" s="80"/>
      <c r="K358" s="80" t="s">
        <v>66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987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988</v>
      </c>
      <c r="B383" s="77"/>
      <c r="C383" s="77"/>
      <c r="D383" s="77" t="s">
        <v>713</v>
      </c>
      <c r="E383" s="77" t="s">
        <v>179</v>
      </c>
      <c r="F383" s="77" t="s">
        <v>191</v>
      </c>
      <c r="G383" s="77" t="s">
        <v>475</v>
      </c>
      <c r="H383" s="77" t="s">
        <v>58</v>
      </c>
      <c r="I383" s="77" t="s">
        <v>182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989</v>
      </c>
      <c r="B384" s="80"/>
      <c r="C384" s="80"/>
      <c r="D384" s="80" t="s">
        <v>990</v>
      </c>
      <c r="E384" s="80" t="s">
        <v>184</v>
      </c>
      <c r="F384" s="80" t="s">
        <v>191</v>
      </c>
      <c r="G384" s="80" t="s">
        <v>604</v>
      </c>
      <c r="H384" s="80" t="s">
        <v>62</v>
      </c>
      <c r="I384" s="80" t="s">
        <v>657</v>
      </c>
      <c r="J384" s="80"/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991</v>
      </c>
      <c r="B385" s="77"/>
      <c r="C385" s="77"/>
      <c r="D385" s="77" t="s">
        <v>597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182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992</v>
      </c>
      <c r="B386" s="80"/>
      <c r="C386" s="80"/>
      <c r="D386" s="80" t="s">
        <v>313</v>
      </c>
      <c r="E386" s="80" t="s">
        <v>179</v>
      </c>
      <c r="F386" s="80" t="s">
        <v>191</v>
      </c>
      <c r="G386" s="80" t="s">
        <v>199</v>
      </c>
      <c r="H386" s="80" t="s">
        <v>69</v>
      </c>
      <c r="I386" s="80" t="s">
        <v>205</v>
      </c>
      <c r="J386" s="80"/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993</v>
      </c>
      <c r="B387" s="77"/>
      <c r="C387" s="77"/>
      <c r="D387" s="77" t="s">
        <v>713</v>
      </c>
      <c r="E387" s="77" t="s">
        <v>184</v>
      </c>
      <c r="F387" s="77" t="s">
        <v>191</v>
      </c>
      <c r="G387" s="77" t="s">
        <v>778</v>
      </c>
      <c r="H387" s="77" t="s">
        <v>58</v>
      </c>
      <c r="I387" s="77" t="s">
        <v>389</v>
      </c>
      <c r="J387" s="77"/>
      <c r="K387" s="77" t="s">
        <v>70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994</v>
      </c>
      <c r="B388" s="80"/>
      <c r="C388" s="80"/>
      <c r="D388" s="80" t="s">
        <v>318</v>
      </c>
      <c r="E388" s="80" t="s">
        <v>184</v>
      </c>
      <c r="F388" s="80" t="s">
        <v>191</v>
      </c>
      <c r="G388" s="80" t="s">
        <v>995</v>
      </c>
      <c r="H388" s="80" t="s">
        <v>56</v>
      </c>
      <c r="I388" s="80" t="s">
        <v>632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996</v>
      </c>
      <c r="B389" s="77"/>
      <c r="C389" s="77"/>
      <c r="D389" s="77" t="s">
        <v>313</v>
      </c>
      <c r="E389" s="77" t="s">
        <v>179</v>
      </c>
      <c r="F389" s="77" t="s">
        <v>191</v>
      </c>
      <c r="G389" s="77" t="s">
        <v>613</v>
      </c>
      <c r="H389" s="77" t="s">
        <v>69</v>
      </c>
      <c r="I389" s="77" t="s">
        <v>235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997</v>
      </c>
      <c r="B390" s="80"/>
      <c r="C390" s="80"/>
      <c r="D390" s="80" t="s">
        <v>597</v>
      </c>
      <c r="E390" s="80" t="s">
        <v>179</v>
      </c>
      <c r="F390" s="80" t="s">
        <v>191</v>
      </c>
      <c r="G390" s="80" t="s">
        <v>535</v>
      </c>
      <c r="H390" s="80" t="s">
        <v>77</v>
      </c>
      <c r="I390" s="80" t="s">
        <v>182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998</v>
      </c>
      <c r="B391" s="77"/>
      <c r="C391" s="77"/>
      <c r="D391" s="77" t="s">
        <v>344</v>
      </c>
      <c r="E391" s="77" t="s">
        <v>184</v>
      </c>
      <c r="F391" s="77" t="s">
        <v>191</v>
      </c>
      <c r="G391" s="77" t="s">
        <v>310</v>
      </c>
      <c r="H391" s="77" t="s">
        <v>60</v>
      </c>
      <c r="I391" s="77" t="s">
        <v>235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6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6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6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6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6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1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A5A6"/>
  </sheetPr>
  <dimension ref="A1:O187"/>
  <sheetViews>
    <sheetView zoomScaleNormal="100" workbookViewId="0">
      <selection activeCell="E113" sqref="E113"/>
    </sheetView>
  </sheetViews>
  <sheetFormatPr defaultColWidth="8.7109375" defaultRowHeight="15" x14ac:dyDescent="0.25"/>
  <cols>
    <col min="1" max="15" width="14" customWidth="1"/>
  </cols>
  <sheetData>
    <row r="1" spans="1:15" ht="15" customHeight="1" x14ac:dyDescent="0.25">
      <c r="A1" s="137" t="s">
        <v>999</v>
      </c>
      <c r="B1" s="137" t="s">
        <v>97</v>
      </c>
      <c r="C1" s="137" t="s">
        <v>98</v>
      </c>
      <c r="D1" s="137" t="s">
        <v>18</v>
      </c>
      <c r="E1" s="137" t="s">
        <v>99</v>
      </c>
      <c r="F1" s="137" t="s">
        <v>54</v>
      </c>
      <c r="G1" s="137" t="s">
        <v>65</v>
      </c>
      <c r="H1" s="137" t="s">
        <v>70</v>
      </c>
      <c r="I1" s="137" t="s">
        <v>101</v>
      </c>
      <c r="J1" s="137" t="s">
        <v>1000</v>
      </c>
      <c r="K1" s="137" t="s">
        <v>1001</v>
      </c>
      <c r="L1" s="6"/>
      <c r="M1" s="6"/>
      <c r="N1" s="6"/>
      <c r="O1" s="6"/>
    </row>
    <row r="2" spans="1:15" ht="15" customHeight="1" x14ac:dyDescent="0.25">
      <c r="A2" s="6" t="s">
        <v>103</v>
      </c>
      <c r="B2" s="6">
        <f>IFERROR(VLOOKUP("FY 2023",Reference!$N$2:$O$6,2,FALSE),0)</f>
      </c>
      <c r="C2" s="6">
        <f>'FY 2023 (Jan23-Dec23)'!E5</f>
        <v>62</v>
      </c>
      <c r="D2" s="6">
        <f>IF(B2=0,0,C2/B2)</f>
        <v>0.18289085545722714</v>
      </c>
      <c r="E2" s="6">
        <f>IFERROR(C2/IF(VALUE(RIGHT(A2,4))&lt;YEAR(TODAY()),12,IF(VALUE(RIGHT(A2,4))&gt;YEAR(TODAY()),NA(),MONTH(TODAY()))),0)</f>
      </c>
      <c r="F2" s="6">
        <f>SUMPRODUCT((Data!$B$56:$B$68="Voluntary")*Data!$C$56:$C$68)</f>
      </c>
      <c r="G2" s="6">
        <f>SUMPRODUCT((Data!$B$56:$B$68="Involuntary")*Data!$C$56:$C$68)</f>
      </c>
      <c r="H2" s="6">
        <f>SUMPRODUCT((Data!$B$56:$B$68="Other")*Data!$C$56:$C$68)</f>
      </c>
      <c r="I2" s="6">
        <f>IF(C2=0,0,F2/C2)</f>
        <v>0.58064516129032262</v>
      </c>
      <c r="J2" s="6">
        <f>IFERROR(COUNTIF('FY 2023 (Jan23-Dec23)'!E9:E412,"Yes")/(COUNTIF('FY 2023 (Jan23-Dec23)'!E9:E412,"Yes")+COUNTIF('FY 2023 (Jan23-Dec23)'!E9:E412,"No")),0)</f>
        <v>0.36065573770491804</v>
      </c>
      <c r="K2" s="6">
        <f>IFERROR(SUMPRODUCT(ISNUMBER('FY 2023 (Jan23-Dec23)'!J9:J412)*1)/C2,0)</f>
        <v>0</v>
      </c>
      <c r="L2" s="6"/>
      <c r="M2" s="6"/>
      <c r="N2" s="6"/>
      <c r="O2" s="6" t="s">
        <v>103</v>
      </c>
    </row>
    <row r="3" spans="1:15" ht="15" customHeight="1" x14ac:dyDescent="0.25">
      <c r="A3" s="6" t="s">
        <v>104</v>
      </c>
      <c r="B3" s="6">
        <f>IFERROR(VLOOKUP("FY 2024",Reference!$N$2:$O$6,2,FALSE),0)</f>
      </c>
      <c r="C3" s="6">
        <f>'FY 2024 (Jan24-Dec24)'!E5</f>
        <v>158</v>
      </c>
      <c r="D3" s="6">
        <f>IF(B3=0,0,C3/B3)</f>
        <v>0.46607669616519176</v>
      </c>
      <c r="E3" s="6">
        <f>IFERROR(C3/IF(VALUE(RIGHT(A3,4))&lt;YEAR(TODAY()),12,IF(VALUE(RIGHT(A3,4))&gt;YEAR(TODAY()),NA(),MONTH(TODAY()))),0)</f>
      </c>
      <c r="F3" s="6">
        <f>SUMPRODUCT((Data!$B$56:$B$68="Voluntary")*Data!$D$56:$D$68)</f>
      </c>
      <c r="G3" s="6">
        <f>SUMPRODUCT((Data!$B$56:$B$68="Involuntary")*Data!$D$56:$D$68)</f>
      </c>
      <c r="H3" s="6">
        <f>SUMPRODUCT((Data!$B$56:$B$68="Other")*Data!$D$56:$D$68)</f>
      </c>
      <c r="I3" s="6">
        <f>IF(C3=0,0,F3/C3)</f>
        <v>0.55063291139240511</v>
      </c>
      <c r="J3" s="6">
        <f>IFERROR(COUNTIF('FY 2024 (Jan24-Dec24)'!E9:E412,"Yes")/(COUNTIF('FY 2024 (Jan24-Dec24)'!E9:E412,"Yes")+COUNTIF('FY 2024 (Jan24-Dec24)'!E9:E412,"No")),0)</f>
        <v>0.38709677419354838</v>
      </c>
      <c r="K3" s="6">
        <f>IFERROR(SUMPRODUCT(ISNUMBER('FY 2024 (Jan24-Dec24)'!J9:J412)*1)/C3,0)</f>
        <v>0</v>
      </c>
      <c r="L3" s="6"/>
      <c r="M3" s="6"/>
      <c r="N3" s="6"/>
      <c r="O3" s="6" t="s">
        <v>104</v>
      </c>
    </row>
    <row r="4" spans="1:15" ht="15" customHeight="1" x14ac:dyDescent="0.25">
      <c r="A4" s="6" t="s">
        <v>105</v>
      </c>
      <c r="B4" s="6">
        <f>IFERROR(VLOOKUP("FY 2025",Reference!$N$2:$O$6,2,FALSE),0)</f>
      </c>
      <c r="C4" s="6">
        <f>'FY 2025 (Jan25-Dec25)'!E5</f>
        <v>138</v>
      </c>
      <c r="D4" s="6">
        <f>IF(B4=0,0,C4/B4)</f>
        <v>0.39884393063583817</v>
      </c>
      <c r="E4" s="6">
        <f>IFERROR(C4/IF(VALUE(RIGHT(A4,4))&lt;YEAR(TODAY()),12,IF(VALUE(RIGHT(A4,4))&gt;YEAR(TODAY()),NA(),MONTH(TODAY()))),0)</f>
      </c>
      <c r="F4" s="6">
        <f>SUMPRODUCT((Data!$B$56:$B$68="Voluntary")*Data!$E$56:$E$68)</f>
      </c>
      <c r="G4" s="6">
        <f>SUMPRODUCT((Data!$B$56:$B$68="Involuntary")*Data!$E$56:$E$68)</f>
      </c>
      <c r="H4" s="6">
        <f>SUMPRODUCT((Data!$B$56:$B$68="Other")*Data!$E$56:$E$68)</f>
      </c>
      <c r="I4" s="6">
        <f>IF(C4=0,0,F4/C4)</f>
        <v>0.71014492753623193</v>
      </c>
      <c r="J4" s="6">
        <f>IFERROR(COUNTIF('FY 2025 (Jan25-Dec25)'!E9:E412,"Yes")/(COUNTIF('FY 2025 (Jan25-Dec25)'!E9:E412,"Yes")+COUNTIF('FY 2025 (Jan25-Dec25)'!E9:E412,"No")),0)</f>
        <v>0.3037037037037037</v>
      </c>
      <c r="K4" s="6">
        <f>IFERROR(SUMPRODUCT(ISNUMBER('FY 2025 (Jan25-Dec25)'!J9:J412)*1)/C4,0)</f>
        <v>0.14492753623188406</v>
      </c>
      <c r="L4" s="6"/>
      <c r="M4" s="6"/>
      <c r="N4" s="6"/>
      <c r="O4" s="6" t="s">
        <v>105</v>
      </c>
    </row>
    <row r="5" spans="1:15" ht="15" customHeight="1" x14ac:dyDescent="0.25">
      <c r="A5" s="6" t="s">
        <v>3</v>
      </c>
      <c r="B5" s="6">
        <f>IFERROR(VLOOKUP("FY 2026",Reference!$N$2:$O$6,2,FALSE),0)</f>
      </c>
      <c r="C5" s="6">
        <f>'FY 2026 (Jan26-Dec26)'!E5</f>
        <v>35</v>
      </c>
      <c r="D5" s="6">
        <f>IF(B5=0,0,C5/B5)</f>
        <v>9.5628415300546443E-2</v>
      </c>
      <c r="E5" s="6">
        <f>IFERROR(C5/IF(VALUE(RIGHT(A5,4))&lt;YEAR(TODAY()),12,IF(VALUE(RIGHT(A5,4))&gt;YEAR(TODAY()),NA(),MONTH(TODAY()))),0)</f>
      </c>
      <c r="F5" s="6">
        <f>SUMPRODUCT((Data!$B$56:$B$68="Voluntary")*Data!$F$56:$F$68)</f>
      </c>
      <c r="G5" s="6">
        <f>SUMPRODUCT((Data!$B$56:$B$68="Involuntary")*Data!$F$56:$F$68)</f>
      </c>
      <c r="H5" s="6">
        <f>SUMPRODUCT((Data!$B$56:$B$68="Other")*Data!$F$56:$F$68)</f>
      </c>
      <c r="I5" s="6">
        <f>IF(C5=0,0,F5/C5)</f>
        <v>0.6</v>
      </c>
      <c r="J5" s="6">
        <f>IFERROR(COUNTIF('FY 2026 (Jan26-Dec26)'!E9:E356,"Yes")/(COUNTIF('FY 2026 (Jan26-Dec26)'!E9:E356,"Yes")+COUNTIF('FY 2026 (Jan26-Dec26)'!E9:E356,"No")),0)</f>
        <v>0.43333333333333335</v>
      </c>
      <c r="K5" s="6">
        <f>IFERROR(SUMPRODUCT(ISNUMBER('FY 2026 (Jan26-Dec26)'!J9:J356)*1)/C5,0)</f>
        <v>5.7142857142857141E-2</v>
      </c>
      <c r="L5" s="6"/>
      <c r="M5" s="6"/>
      <c r="N5" s="6"/>
      <c r="O5" s="6" t="s">
        <v>3</v>
      </c>
    </row>
    <row r="6" spans="1:15" ht="15" customHeight="1" x14ac:dyDescent="0.25">
      <c r="A6" s="6" t="s">
        <v>106</v>
      </c>
      <c r="B6" s="6">
        <f>IFERROR(VLOOKUP("FY 2027",Reference!$N$2:$O$6,2,FALSE),0)</f>
      </c>
      <c r="C6" s="6">
        <f>'FY 2027 (Jan27-Dec27)'!E5</f>
        <v>0</v>
      </c>
      <c r="D6" s="6">
        <f>IF(B6=0,0,C6/B6)</f>
        <v>0</v>
      </c>
      <c r="E6" s="6">
        <f>IFERROR(C6/IF(VALUE(RIGHT(A6,4))&lt;YEAR(TODAY()),12,IF(VALUE(RIGHT(A6,4))&gt;YEAR(TODAY()),NA(),MONTH(TODAY()))),0)</f>
      </c>
      <c r="F6" s="6">
        <f>SUMPRODUCT((Data!$B$56:$B$68="Voluntary")*Data!$G$56:$G$68)</f>
      </c>
      <c r="G6" s="6">
        <f>SUMPRODUCT((Data!$B$56:$B$68="Involuntary")*Data!$G$56:$G$68)</f>
      </c>
      <c r="H6" s="6">
        <f>SUMPRODUCT((Data!$B$56:$B$68="Other")*Data!$G$56:$G$68)</f>
      </c>
      <c r="I6" s="6">
        <f>IF(C6=0,0,F6/C6)</f>
        <v>0</v>
      </c>
      <c r="J6" s="6">
        <f>IFERROR(COUNTIF('FY 2027 (Jan27-Dec27)'!E9:E412,"Yes")/(COUNTIF('FY 2027 (Jan27-Dec27)'!E9:E412,"Yes")+COUNTIF('FY 2027 (Jan27-Dec27)'!E9:E412,"No")),0)</f>
        <v>0</v>
      </c>
      <c r="K6" s="6">
        <f>IFERROR(SUMPRODUCT(ISNUMBER('FY 2027 (Jan27-Dec27)'!J9:J412)*1)/C6,0)</f>
        <v>0</v>
      </c>
      <c r="L6" s="6"/>
      <c r="M6" s="6"/>
      <c r="N6" s="6"/>
      <c r="O6" s="6" t="s">
        <v>106</v>
      </c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t="15" customHeight="1" x14ac:dyDescent="0.25">
      <c r="A10" s="137" t="s">
        <v>999</v>
      </c>
      <c r="B10" s="137" t="s">
        <v>23</v>
      </c>
      <c r="C10" s="137" t="s">
        <v>25</v>
      </c>
      <c r="D10" s="137" t="s">
        <v>27</v>
      </c>
      <c r="E10" s="137" t="s">
        <v>29</v>
      </c>
      <c r="F10" s="137" t="s">
        <v>31</v>
      </c>
      <c r="G10" s="137" t="s">
        <v>33</v>
      </c>
      <c r="H10" s="137" t="s">
        <v>35</v>
      </c>
      <c r="I10" s="137" t="s">
        <v>37</v>
      </c>
      <c r="J10" s="137" t="s">
        <v>39</v>
      </c>
      <c r="K10" s="137" t="s">
        <v>41</v>
      </c>
      <c r="L10" s="137" t="s">
        <v>43</v>
      </c>
      <c r="M10" s="137" t="s">
        <v>45</v>
      </c>
      <c r="N10" s="6"/>
      <c r="O10" s="6"/>
    </row>
    <row r="11" spans="1:15" ht="15" customHeight="1" x14ac:dyDescent="0.25">
      <c r="A11" s="6" t="s">
        <v>103</v>
      </c>
      <c r="B11" s="6">
        <f>'FY 2023 (Jan23-Dec23)'!B39</f>
        <v>0</v>
      </c>
      <c r="C11" s="6">
        <f>'FY 2023 (Jan23-Dec23)'!B73</f>
        <v>0</v>
      </c>
      <c r="D11" s="6">
        <f>'FY 2023 (Jan23-Dec23)'!B107</f>
        <v>0</v>
      </c>
      <c r="E11" s="6">
        <f>'FY 2023 (Jan23-Dec23)'!B141</f>
        <v>0</v>
      </c>
      <c r="F11" s="6">
        <f>'FY 2023 (Jan23-Dec23)'!B175</f>
        <v>0</v>
      </c>
      <c r="G11" s="6">
        <f>'FY 2023 (Jan23-Dec23)'!B209</f>
        <v>0</v>
      </c>
      <c r="H11" s="6">
        <f>'FY 2023 (Jan23-Dec23)'!B243</f>
        <v>10</v>
      </c>
      <c r="I11" s="6">
        <f>'FY 2023 (Jan23-Dec23)'!B277</f>
        <v>9</v>
      </c>
      <c r="J11" s="6">
        <f>'FY 2023 (Jan23-Dec23)'!B311</f>
        <v>12</v>
      </c>
      <c r="K11" s="6">
        <f>'FY 2023 (Jan23-Dec23)'!B345</f>
        <v>12</v>
      </c>
      <c r="L11" s="6">
        <f>'FY 2023 (Jan23-Dec23)'!B379</f>
        <v>10</v>
      </c>
      <c r="M11" s="6">
        <f>'FY 2023 (Jan23-Dec23)'!B413</f>
        <v>9</v>
      </c>
      <c r="N11" s="6"/>
      <c r="O11" s="6"/>
    </row>
    <row r="12" spans="1:15" ht="15" customHeight="1" x14ac:dyDescent="0.25">
      <c r="A12" s="6" t="s">
        <v>104</v>
      </c>
      <c r="B12" s="6">
        <f>'FY 2024 (Jan24-Dec24)'!B39</f>
        <v>24</v>
      </c>
      <c r="C12" s="6">
        <f>'FY 2024 (Jan24-Dec24)'!B73</f>
        <v>11</v>
      </c>
      <c r="D12" s="6">
        <f>'FY 2024 (Jan24-Dec24)'!B107</f>
        <v>14</v>
      </c>
      <c r="E12" s="6">
        <f>'FY 2024 (Jan24-Dec24)'!B141</f>
        <v>13</v>
      </c>
      <c r="F12" s="6">
        <f>'FY 2024 (Jan24-Dec24)'!B175</f>
        <v>17</v>
      </c>
      <c r="G12" s="6">
        <f>'FY 2024 (Jan24-Dec24)'!B209</f>
        <v>12</v>
      </c>
      <c r="H12" s="6">
        <f>'FY 2024 (Jan24-Dec24)'!B243</f>
        <v>13</v>
      </c>
      <c r="I12" s="6">
        <f>'FY 2024 (Jan24-Dec24)'!B277</f>
        <v>16</v>
      </c>
      <c r="J12" s="6">
        <f>'FY 2024 (Jan24-Dec24)'!B311</f>
        <v>8</v>
      </c>
      <c r="K12" s="6">
        <f>'FY 2024 (Jan24-Dec24)'!B345</f>
        <v>7</v>
      </c>
      <c r="L12" s="6">
        <f>'FY 2024 (Jan24-Dec24)'!B379</f>
        <v>14</v>
      </c>
      <c r="M12" s="6">
        <f>'FY 2024 (Jan24-Dec24)'!B413</f>
        <v>9</v>
      </c>
      <c r="N12" s="6"/>
      <c r="O12" s="6"/>
    </row>
    <row r="13" spans="1:15" ht="15" customHeight="1" x14ac:dyDescent="0.25">
      <c r="A13" s="6" t="s">
        <v>105</v>
      </c>
      <c r="B13" s="6">
        <f>'FY 2025 (Jan25-Dec25)'!B39</f>
        <v>14</v>
      </c>
      <c r="C13" s="6">
        <f>'FY 2025 (Jan25-Dec25)'!B73</f>
        <v>13</v>
      </c>
      <c r="D13" s="6">
        <f>'FY 2025 (Jan25-Dec25)'!B107</f>
        <v>12</v>
      </c>
      <c r="E13" s="6">
        <f>'FY 2025 (Jan25-Dec25)'!B141</f>
        <v>7</v>
      </c>
      <c r="F13" s="6">
        <f>'FY 2025 (Jan25-Dec25)'!B175</f>
        <v>18</v>
      </c>
      <c r="G13" s="6">
        <f>'FY 2025 (Jan25-Dec25)'!B209</f>
        <v>5</v>
      </c>
      <c r="H13" s="6">
        <f>'FY 2025 (Jan25-Dec25)'!B243</f>
        <v>16</v>
      </c>
      <c r="I13" s="6">
        <f>'FY 2025 (Jan25-Dec25)'!B277</f>
        <v>14</v>
      </c>
      <c r="J13" s="6">
        <f>'FY 2025 (Jan25-Dec25)'!B311</f>
        <v>12</v>
      </c>
      <c r="K13" s="6">
        <f>'FY 2025 (Jan25-Dec25)'!B345</f>
        <v>13</v>
      </c>
      <c r="L13" s="6">
        <f>'FY 2025 (Jan25-Dec25)'!B379</f>
        <v>9</v>
      </c>
      <c r="M13" s="6">
        <f>'FY 2025 (Jan25-Dec25)'!B413</f>
        <v>5</v>
      </c>
      <c r="N13" s="6"/>
      <c r="O13" s="6"/>
    </row>
    <row r="14" spans="1:15" ht="15" customHeight="1" x14ac:dyDescent="0.25">
      <c r="A14" s="6" t="s">
        <v>3</v>
      </c>
      <c r="B14" s="6">
        <f>'FY 2026 (Jan26-Dec26)'!B18</f>
        <v>8</v>
      </c>
      <c r="C14" s="6">
        <f>'FY 2026 (Jan26-Dec26)'!B33</f>
        <v>10</v>
      </c>
      <c r="D14" s="6">
        <f>'FY 2026 (Jan26-Dec26)'!B51</f>
        <v>10</v>
      </c>
      <c r="E14" s="6">
        <f>'FY 2026 (Jan26-Dec26)'!B85</f>
        <v>7</v>
      </c>
      <c r="F14" s="6">
        <f>'FY 2026 (Jan26-Dec26)'!B119</f>
        <v>0</v>
      </c>
      <c r="G14" s="6">
        <f>'FY 2026 (Jan26-Dec26)'!B153</f>
        <v>0</v>
      </c>
      <c r="H14" s="6">
        <f>'FY 2026 (Jan26-Dec26)'!B187</f>
        <v>0</v>
      </c>
      <c r="I14" s="6">
        <f>'FY 2026 (Jan26-Dec26)'!B221</f>
        <v>0</v>
      </c>
      <c r="J14" s="6">
        <f>'FY 2026 (Jan26-Dec26)'!B255</f>
        <v>0</v>
      </c>
      <c r="K14" s="6">
        <f>'FY 2026 (Jan26-Dec26)'!B289</f>
        <v>0</v>
      </c>
      <c r="L14" s="6">
        <f>'FY 2026 (Jan26-Dec26)'!B323</f>
        <v>0</v>
      </c>
      <c r="M14" s="6">
        <f>'FY 2026 (Jan26-Dec26)'!B357</f>
        <v>0</v>
      </c>
      <c r="N14" s="6"/>
      <c r="O14" s="6"/>
    </row>
    <row r="15" spans="1:15" ht="15" customHeight="1" x14ac:dyDescent="0.25">
      <c r="A15" s="6" t="s">
        <v>106</v>
      </c>
      <c r="B15" s="6">
        <f>'FY 2027 (Jan27-Dec27)'!B39</f>
        <v>0</v>
      </c>
      <c r="C15" s="6">
        <f>'FY 2027 (Jan27-Dec27)'!B73</f>
        <v>0</v>
      </c>
      <c r="D15" s="6">
        <f>'FY 2027 (Jan27-Dec27)'!B107</f>
        <v>0</v>
      </c>
      <c r="E15" s="6">
        <f>'FY 2027 (Jan27-Dec27)'!B141</f>
        <v>0</v>
      </c>
      <c r="F15" s="6">
        <f>'FY 2027 (Jan27-Dec27)'!B175</f>
        <v>0</v>
      </c>
      <c r="G15" s="6">
        <f>'FY 2027 (Jan27-Dec27)'!B209</f>
        <v>0</v>
      </c>
      <c r="H15" s="6">
        <f>'FY 2027 (Jan27-Dec27)'!B243</f>
        <v>0</v>
      </c>
      <c r="I15" s="6">
        <f>'FY 2027 (Jan27-Dec27)'!B277</f>
        <v>0</v>
      </c>
      <c r="J15" s="6">
        <f>'FY 2027 (Jan27-Dec27)'!B311</f>
        <v>0</v>
      </c>
      <c r="K15" s="6">
        <f>'FY 2027 (Jan27-Dec27)'!B345</f>
        <v>0</v>
      </c>
      <c r="L15" s="6">
        <f>'FY 2027 (Jan27-Dec27)'!B379</f>
        <v>0</v>
      </c>
      <c r="M15" s="6">
        <f>'FY 2027 (Jan27-Dec27)'!B413</f>
        <v>0</v>
      </c>
      <c r="N15" s="6"/>
      <c r="O15" s="6"/>
    </row>
    <row r="16" spans="1:15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" customHeight="1" x14ac:dyDescent="0.25">
      <c r="A20" s="137" t="s">
        <v>134</v>
      </c>
      <c r="B20" s="137" t="s">
        <v>103</v>
      </c>
      <c r="C20" s="137" t="s">
        <v>104</v>
      </c>
      <c r="D20" s="137" t="s">
        <v>105</v>
      </c>
      <c r="E20" s="137" t="s">
        <v>3</v>
      </c>
      <c r="F20" s="137" t="s">
        <v>106</v>
      </c>
      <c r="G20" s="6"/>
      <c r="H20" s="6"/>
      <c r="I20" s="6"/>
      <c r="J20" s="6"/>
      <c r="K20" s="6"/>
      <c r="L20" s="6"/>
      <c r="M20" s="6"/>
      <c r="N20" s="6"/>
      <c r="O20" s="6"/>
    </row>
    <row r="21" spans="1:15" ht="15" customHeight="1" x14ac:dyDescent="0.25">
      <c r="A21" s="6" t="s">
        <v>26</v>
      </c>
      <c r="B21" s="6">
        <f>COUNTIF('FY 2023 (Jan23-Dec23)'!K9:K412,"President")</f>
        <v>0</v>
      </c>
      <c r="C21" s="6">
        <f>COUNTIF('FY 2024 (Jan24-Dec24)'!K9:K412,"President")</f>
        <v>0</v>
      </c>
      <c r="D21" s="6">
        <f>COUNTIF('FY 2025 (Jan25-Dec25)'!K9:K412,"President")</f>
        <v>0</v>
      </c>
      <c r="E21" s="6">
        <f>COUNTIF('FY 2026 (Jan26-Dec26)'!K9:K356,"President")</f>
        <v>0</v>
      </c>
      <c r="F21" s="6">
        <f>COUNTIF('FY 2027 (Jan27-Dec27)'!K9:K412,"President")</f>
        <v>0</v>
      </c>
      <c r="G21" s="6"/>
      <c r="H21" s="6"/>
      <c r="I21" s="6"/>
      <c r="J21" s="6"/>
      <c r="K21" s="6"/>
      <c r="L21" s="6"/>
      <c r="M21" s="6"/>
      <c r="N21" s="6"/>
      <c r="O21" s="6"/>
    </row>
    <row r="22" spans="1:15" ht="15" customHeight="1" x14ac:dyDescent="0.25">
      <c r="A22" s="6" t="s">
        <v>28</v>
      </c>
      <c r="B22" s="6">
        <f>COUNTIFS('FY 2023 (Jan23-Dec23)'!K9:K412,"VP",'FY 2023 (Jan23-Dec23)'!M9:M412,"Operations")</f>
        <v>0</v>
      </c>
      <c r="C22" s="6">
        <f>COUNTIFS('FY 2024 (Jan24-Dec24)'!K9:K412,"VP",'FY 2024 (Jan24-Dec24)'!M9:M412,"Operations")</f>
        <v>0</v>
      </c>
      <c r="D22" s="6">
        <f>COUNTIFS('FY 2025 (Jan25-Dec25)'!K9:K412,"VP",'FY 2025 (Jan25-Dec25)'!M9:M412,"Operations")</f>
        <v>0</v>
      </c>
      <c r="E22" s="6">
        <f>COUNTIFS('FY 2026 (Jan26-Dec26)'!K9:K356,"VP",'FY 2026 (Jan26-Dec26)'!M9:M356,"Operations")</f>
        <v>0</v>
      </c>
      <c r="F22" s="6">
        <f>COUNTIFS('FY 2027 (Jan27-Dec27)'!K9:K412,"VP",'FY 2027 (Jan27-Dec27)'!M9:M412,"Operations")</f>
        <v>0</v>
      </c>
      <c r="G22" s="6"/>
      <c r="H22" s="6"/>
      <c r="I22" s="6"/>
      <c r="J22" s="6"/>
      <c r="K22" s="6"/>
      <c r="L22" s="6"/>
      <c r="M22" s="6"/>
      <c r="N22" s="6"/>
      <c r="O22" s="6"/>
    </row>
    <row r="23" spans="1:15" ht="15" customHeight="1" x14ac:dyDescent="0.25">
      <c r="A23" s="6" t="s">
        <v>30</v>
      </c>
      <c r="B23" s="6">
        <f>COUNTIFS('FY 2023 (Jan23-Dec23)'!K9:K412,"VP",'FY 2023 (Jan23-Dec23)'!M9:M412,"Children Services")</f>
        <v>0</v>
      </c>
      <c r="C23" s="6">
        <f>COUNTIFS('FY 2024 (Jan24-Dec24)'!K9:K412,"VP",'FY 2024 (Jan24-Dec24)'!M9:M412,"Children Services")</f>
        <v>0</v>
      </c>
      <c r="D23" s="6">
        <f>COUNTIFS('FY 2025 (Jan25-Dec25)'!K9:K412,"VP",'FY 2025 (Jan25-Dec25)'!M9:M412,"Children Services")</f>
        <v>0</v>
      </c>
      <c r="E23" s="6">
        <f>COUNTIFS('FY 2026 (Jan26-Dec26)'!K9:K356,"VP",'FY 2026 (Jan26-Dec26)'!M9:M356,"Children Services")</f>
        <v>0</v>
      </c>
      <c r="F23" s="6">
        <f>COUNTIFS('FY 2027 (Jan27-Dec27)'!K9:K412,"VP",'FY 2027 (Jan27-Dec27)'!M9:M412,"Children Services")</f>
        <v>0</v>
      </c>
      <c r="G23" s="6"/>
      <c r="H23" s="6"/>
      <c r="I23" s="6"/>
      <c r="J23" s="6"/>
      <c r="K23" s="6"/>
      <c r="L23" s="6"/>
      <c r="M23" s="6"/>
      <c r="N23" s="6"/>
      <c r="O23" s="6"/>
    </row>
    <row r="24" spans="1:15" ht="15" customHeight="1" x14ac:dyDescent="0.25">
      <c r="A24" s="6" t="s">
        <v>32</v>
      </c>
      <c r="B24" s="6">
        <f>COUNTIFS('FY 2023 (Jan23-Dec23)'!K9:K412,"VP",'FY 2023 (Jan23-Dec23)'!M9:M412,"Professional Services")</f>
        <v>0</v>
      </c>
      <c r="C24" s="6">
        <f>COUNTIFS('FY 2024 (Jan24-Dec24)'!K9:K412,"VP",'FY 2024 (Jan24-Dec24)'!M9:M412,"Professional Services")</f>
        <v>0</v>
      </c>
      <c r="D24" s="6">
        <f>COUNTIFS('FY 2025 (Jan25-Dec25)'!K9:K412,"VP",'FY 2025 (Jan25-Dec25)'!M9:M412,"Professional Services")</f>
        <v>0</v>
      </c>
      <c r="E24" s="6">
        <f>COUNTIFS('FY 2026 (Jan26-Dec26)'!K9:K356,"VP",'FY 2026 (Jan26-Dec26)'!M9:M356,"Professional Services")</f>
        <v>0</v>
      </c>
      <c r="F24" s="6">
        <f>COUNTIFS('FY 2027 (Jan27-Dec27)'!K9:K412,"VP",'FY 2027 (Jan27-Dec27)'!M9:M412,"Professional Services")</f>
        <v>0</v>
      </c>
      <c r="G24" s="6"/>
      <c r="H24" s="6"/>
      <c r="I24" s="6"/>
      <c r="J24" s="6"/>
      <c r="K24" s="6"/>
      <c r="L24" s="6"/>
      <c r="M24" s="6"/>
      <c r="N24" s="6"/>
      <c r="O24" s="6"/>
    </row>
    <row r="25" spans="1:15" ht="15" customHeight="1" x14ac:dyDescent="0.25">
      <c r="A25" s="6" t="s">
        <v>34</v>
      </c>
      <c r="B25" s="6">
        <f>COUNTIFS('FY 2023 (Jan23-Dec23)'!K9:K412,"VP",'FY 2023 (Jan23-Dec23)'!M9:M412,"Behavioral Health")</f>
        <v>0</v>
      </c>
      <c r="C25" s="6">
        <f>COUNTIFS('FY 2024 (Jan24-Dec24)'!K9:K412,"VP",'FY 2024 (Jan24-Dec24)'!M9:M412,"Behavioral Health")</f>
        <v>0</v>
      </c>
      <c r="D25" s="6">
        <f>COUNTIFS('FY 2025 (Jan25-Dec25)'!K9:K412,"VP",'FY 2025 (Jan25-Dec25)'!M9:M412,"Behavioral Health")</f>
        <v>0</v>
      </c>
      <c r="E25" s="6">
        <f>COUNTIFS('FY 2026 (Jan26-Dec26)'!K9:K356,"VP",'FY 2026 (Jan26-Dec26)'!M9:M356,"Behavioral Health")</f>
        <v>0</v>
      </c>
      <c r="F25" s="6">
        <f>COUNTIFS('FY 2027 (Jan27-Dec27)'!K9:K412,"VP",'FY 2027 (Jan27-Dec27)'!M9:M412,"Behavioral Health")</f>
        <v>0</v>
      </c>
      <c r="G25" s="6"/>
      <c r="H25" s="6"/>
      <c r="I25" s="6"/>
      <c r="J25" s="6"/>
      <c r="K25" s="6"/>
      <c r="L25" s="6"/>
      <c r="M25" s="6"/>
      <c r="N25" s="6"/>
      <c r="O25" s="6"/>
    </row>
    <row r="26" spans="1:15" ht="15" customHeight="1" x14ac:dyDescent="0.25">
      <c r="A26" s="6" t="s">
        <v>36</v>
      </c>
      <c r="B26" s="6">
        <f>COUNTIFS('FY 2023 (Jan23-Dec23)'!K9:K412,"VP",'FY 2023 (Jan23-Dec23)'!M9:M412,"Human Resources")</f>
        <v>0</v>
      </c>
      <c r="C26" s="6">
        <f>COUNTIFS('FY 2024 (Jan24-Dec24)'!K9:K412,"VP",'FY 2024 (Jan24-Dec24)'!M9:M412,"Human Resources")</f>
        <v>0</v>
      </c>
      <c r="D26" s="6">
        <f>COUNTIFS('FY 2025 (Jan25-Dec25)'!K9:K412,"VP",'FY 2025 (Jan25-Dec25)'!M9:M412,"Human Resources")</f>
        <v>0</v>
      </c>
      <c r="E26" s="6">
        <f>COUNTIFS('FY 2026 (Jan26-Dec26)'!K9:K356,"VP",'FY 2026 (Jan26-Dec26)'!M9:M356,"Human Resources")</f>
        <v>0</v>
      </c>
      <c r="F26" s="6">
        <f>COUNTIFS('FY 2027 (Jan27-Dec27)'!K9:K412,"VP",'FY 2027 (Jan27-Dec27)'!M9:M412,"Human Resources")</f>
        <v>0</v>
      </c>
      <c r="G26" s="6"/>
      <c r="H26" s="6"/>
      <c r="I26" s="6"/>
      <c r="J26" s="6"/>
      <c r="K26" s="6"/>
      <c r="L26" s="6"/>
      <c r="M26" s="6"/>
      <c r="N26" s="6"/>
      <c r="O26" s="6"/>
    </row>
    <row r="27" spans="1:15" ht="15" customHeight="1" x14ac:dyDescent="0.25">
      <c r="A27" s="6" t="s">
        <v>38</v>
      </c>
      <c r="B27" s="6">
        <f>COUNTIFS('FY 2023 (Jan23-Dec23)'!K9:K412,"VP",'FY 2023 (Jan23-Dec23)'!M9:M412,"Employment Services")</f>
        <v>0</v>
      </c>
      <c r="C27" s="6">
        <f>COUNTIFS('FY 2024 (Jan24-Dec24)'!K9:K412,"VP",'FY 2024 (Jan24-Dec24)'!M9:M412,"Employment Services")</f>
        <v>0</v>
      </c>
      <c r="D27" s="6">
        <f>COUNTIFS('FY 2025 (Jan25-Dec25)'!K9:K412,"VP",'FY 2025 (Jan25-Dec25)'!M9:M412,"Employment Services")</f>
        <v>0</v>
      </c>
      <c r="E27" s="6">
        <f>COUNTIFS('FY 2026 (Jan26-Dec26)'!K9:K356,"VP",'FY 2026 (Jan26-Dec26)'!M9:M356,"Employment Services")</f>
        <v>0</v>
      </c>
      <c r="F27" s="6">
        <f>COUNTIFS('FY 2027 (Jan27-Dec27)'!K9:K412,"VP",'FY 2027 (Jan27-Dec27)'!M9:M412,"Employment Services")</f>
        <v>0</v>
      </c>
      <c r="G27" s="6"/>
      <c r="H27" s="6"/>
      <c r="I27" s="6"/>
      <c r="J27" s="6"/>
      <c r="K27" s="6"/>
      <c r="L27" s="6"/>
      <c r="M27" s="6"/>
      <c r="N27" s="6"/>
      <c r="O27" s="6"/>
    </row>
    <row r="28" spans="1:15" ht="15" customHeight="1" x14ac:dyDescent="0.25">
      <c r="A28" s="6" t="s">
        <v>40</v>
      </c>
      <c r="B28" s="6">
        <f>COUNTIFS('FY 2023 (Jan23-Dec23)'!K9:K412,"VP",'FY 2023 (Jan23-Dec23)'!M9:M412,"Family Support")</f>
        <v>0</v>
      </c>
      <c r="C28" s="6">
        <f>COUNTIFS('FY 2024 (Jan24-Dec24)'!K9:K412,"VP",'FY 2024 (Jan24-Dec24)'!M9:M412,"Family Support")</f>
        <v>0</v>
      </c>
      <c r="D28" s="6">
        <f>COUNTIFS('FY 2025 (Jan25-Dec25)'!K9:K412,"VP",'FY 2025 (Jan25-Dec25)'!M9:M412,"Family Support")</f>
        <v>0</v>
      </c>
      <c r="E28" s="6">
        <f>COUNTIFS('FY 2026 (Jan26-Dec26)'!K9:K356,"VP",'FY 2026 (Jan26-Dec26)'!M9:M356,"Family Support")</f>
        <v>0</v>
      </c>
      <c r="F28" s="6">
        <f>COUNTIFS('FY 2027 (Jan27-Dec27)'!K9:K412,"VP",'FY 2027 (Jan27-Dec27)'!M9:M412,"Family Support")</f>
        <v>0</v>
      </c>
      <c r="G28" s="6"/>
      <c r="H28" s="6"/>
      <c r="I28" s="6"/>
      <c r="J28" s="6"/>
      <c r="K28" s="6"/>
      <c r="L28" s="6"/>
      <c r="M28" s="6"/>
      <c r="N28" s="6"/>
      <c r="O28" s="6"/>
    </row>
    <row r="29" spans="1:15" ht="15" customHeight="1" x14ac:dyDescent="0.25">
      <c r="A29" s="6" t="s">
        <v>42</v>
      </c>
      <c r="B29" s="6">
        <f>COUNTIFS('FY 2023 (Jan23-Dec23)'!K9:K412,"VP",'FY 2023 (Jan23-Dec23)'!M9:M412,"Finance")</f>
        <v>0</v>
      </c>
      <c r="C29" s="6">
        <f>COUNTIFS('FY 2024 (Jan24-Dec24)'!K9:K412,"VP",'FY 2024 (Jan24-Dec24)'!M9:M412,"Finance")</f>
        <v>0</v>
      </c>
      <c r="D29" s="6">
        <f>COUNTIFS('FY 2025 (Jan25-Dec25)'!K9:K412,"VP",'FY 2025 (Jan25-Dec25)'!M9:M412,"Finance")</f>
        <v>0</v>
      </c>
      <c r="E29" s="6">
        <f>COUNTIFS('FY 2026 (Jan26-Dec26)'!K9:K356,"VP",'FY 2026 (Jan26-Dec26)'!M9:M356,"Finance")</f>
        <v>1</v>
      </c>
      <c r="F29" s="6">
        <f>COUNTIFS('FY 2027 (Jan27-Dec27)'!K9:K412,"VP",'FY 2027 (Jan27-Dec27)'!M9:M412,"Finance")</f>
        <v>0</v>
      </c>
      <c r="G29" s="6"/>
      <c r="H29" s="6"/>
      <c r="I29" s="6"/>
      <c r="J29" s="6"/>
      <c r="K29" s="6"/>
      <c r="L29" s="6"/>
      <c r="M29" s="6"/>
      <c r="N29" s="6"/>
      <c r="O29" s="6"/>
    </row>
    <row r="30" spans="1:15" ht="15" customHeight="1" x14ac:dyDescent="0.25">
      <c r="A30" s="6" t="s">
        <v>44</v>
      </c>
      <c r="B30" s="6">
        <f>COUNTIFS('FY 2023 (Jan23-Dec23)'!K9:K412,"Director",'FY 2023 (Jan23-Dec23)'!M9:M412,"Operations")</f>
        <v>0</v>
      </c>
      <c r="C30" s="6">
        <f>COUNTIFS('FY 2024 (Jan24-Dec24)'!K9:K412,"Director",'FY 2024 (Jan24-Dec24)'!M9:M412,"Operations")</f>
        <v>0</v>
      </c>
      <c r="D30" s="6">
        <f>COUNTIFS('FY 2025 (Jan25-Dec25)'!K9:K412,"Director",'FY 2025 (Jan25-Dec25)'!M9:M412,"Operations")</f>
        <v>0</v>
      </c>
      <c r="E30" s="6">
        <f>COUNTIFS('FY 2026 (Jan26-Dec26)'!K9:K356,"Director",'FY 2026 (Jan26-Dec26)'!M9:M356,"Operations")</f>
        <v>0</v>
      </c>
      <c r="F30" s="6">
        <f>COUNTIFS('FY 2027 (Jan27-Dec27)'!K9:K412,"Director",'FY 2027 (Jan27-Dec27)'!M9:M412,"Operations")</f>
        <v>0</v>
      </c>
      <c r="G30" s="6"/>
      <c r="H30" s="6"/>
      <c r="I30" s="6"/>
      <c r="J30" s="6"/>
      <c r="K30" s="6"/>
      <c r="L30" s="6"/>
      <c r="M30" s="6"/>
      <c r="N30" s="6"/>
      <c r="O30" s="6"/>
    </row>
    <row r="31" spans="1:15" ht="15" customHeight="1" x14ac:dyDescent="0.25">
      <c r="A31" s="6" t="s">
        <v>46</v>
      </c>
      <c r="B31" s="6">
        <f>COUNTIFS('FY 2023 (Jan23-Dec23)'!K9:K412,"Director",'FY 2023 (Jan23-Dec23)'!M9:M412,"Children Services")</f>
        <v>0</v>
      </c>
      <c r="C31" s="6">
        <f>COUNTIFS('FY 2024 (Jan24-Dec24)'!K9:K412,"Director",'FY 2024 (Jan24-Dec24)'!M9:M412,"Children Services")</f>
        <v>1</v>
      </c>
      <c r="D31" s="6">
        <f>COUNTIFS('FY 2025 (Jan25-Dec25)'!K9:K412,"Director",'FY 2025 (Jan25-Dec25)'!M9:M412,"Children Services")</f>
        <v>1</v>
      </c>
      <c r="E31" s="6">
        <f>COUNTIFS('FY 2026 (Jan26-Dec26)'!K9:K356,"Director",'FY 2026 (Jan26-Dec26)'!M9:M356,"Children Services")</f>
        <v>0</v>
      </c>
      <c r="F31" s="6">
        <f>COUNTIFS('FY 2027 (Jan27-Dec27)'!K9:K412,"Director",'FY 2027 (Jan27-Dec27)'!M9:M412,"Children Services")</f>
        <v>0</v>
      </c>
      <c r="G31" s="6"/>
      <c r="H31" s="6"/>
      <c r="I31" s="6"/>
      <c r="J31" s="6"/>
      <c r="K31" s="6"/>
      <c r="L31" s="6"/>
      <c r="M31" s="6"/>
      <c r="N31" s="6"/>
      <c r="O31" s="6"/>
    </row>
    <row r="32" spans="1:15" ht="15" customHeight="1" x14ac:dyDescent="0.25">
      <c r="A32" s="6" t="s">
        <v>47</v>
      </c>
      <c r="B32" s="6">
        <f>COUNTIFS('FY 2023 (Jan23-Dec23)'!K9:K412,"Director",'FY 2023 (Jan23-Dec23)'!M9:M412,"Professional Services")</f>
        <v>0</v>
      </c>
      <c r="C32" s="6">
        <f>COUNTIFS('FY 2024 (Jan24-Dec24)'!K9:K412,"Director",'FY 2024 (Jan24-Dec24)'!M9:M412,"Professional Services")</f>
        <v>0</v>
      </c>
      <c r="D32" s="6">
        <f>COUNTIFS('FY 2025 (Jan25-Dec25)'!K9:K412,"Director",'FY 2025 (Jan25-Dec25)'!M9:M412,"Professional Services")</f>
        <v>1</v>
      </c>
      <c r="E32" s="6">
        <f>COUNTIFS('FY 2026 (Jan26-Dec26)'!K9:K356,"Director",'FY 2026 (Jan26-Dec26)'!M9:M356,"Professional Services")</f>
        <v>0</v>
      </c>
      <c r="F32" s="6">
        <f>COUNTIFS('FY 2027 (Jan27-Dec27)'!K9:K412,"Director",'FY 2027 (Jan27-Dec27)'!M9:M412,"Professional Services")</f>
        <v>0</v>
      </c>
      <c r="G32" s="6"/>
      <c r="H32" s="6"/>
      <c r="I32" s="6"/>
      <c r="J32" s="6"/>
      <c r="K32" s="6"/>
      <c r="L32" s="6"/>
      <c r="M32" s="6"/>
      <c r="N32" s="6"/>
      <c r="O32" s="6"/>
    </row>
    <row r="33" spans="1:15" ht="15" customHeight="1" x14ac:dyDescent="0.25">
      <c r="A33" s="6" t="s">
        <v>49</v>
      </c>
      <c r="B33" s="6">
        <f>COUNTIFS('FY 2023 (Jan23-Dec23)'!K9:K412,"Director",'FY 2023 (Jan23-Dec23)'!M9:M412,"Behavioral Health")</f>
        <v>0</v>
      </c>
      <c r="C33" s="6">
        <f>COUNTIFS('FY 2024 (Jan24-Dec24)'!K9:K412,"Director",'FY 2024 (Jan24-Dec24)'!M9:M412,"Behavioral Health")</f>
        <v>0</v>
      </c>
      <c r="D33" s="6">
        <f>COUNTIFS('FY 2025 (Jan25-Dec25)'!K9:K412,"Director",'FY 2025 (Jan25-Dec25)'!M9:M412,"Behavioral Health")</f>
        <v>0</v>
      </c>
      <c r="E33" s="6">
        <f>COUNTIFS('FY 2026 (Jan26-Dec26)'!K9:K356,"Director",'FY 2026 (Jan26-Dec26)'!M9:M356,"Behavioral Health")</f>
        <v>0</v>
      </c>
      <c r="F33" s="6">
        <f>COUNTIFS('FY 2027 (Jan27-Dec27)'!K9:K412,"Director",'FY 2027 (Jan27-Dec27)'!M9:M412,"Behavioral Health")</f>
        <v>0</v>
      </c>
      <c r="G33" s="6"/>
      <c r="H33" s="6"/>
      <c r="I33" s="6"/>
      <c r="J33" s="6"/>
      <c r="K33" s="6"/>
      <c r="L33" s="6"/>
      <c r="M33" s="6"/>
      <c r="N33" s="6"/>
      <c r="O33" s="6"/>
    </row>
    <row r="34" spans="1:15" ht="15" customHeight="1" x14ac:dyDescent="0.25">
      <c r="A34" s="6" t="s">
        <v>52</v>
      </c>
      <c r="B34" s="6">
        <f>COUNTIFS('FY 2023 (Jan23-Dec23)'!K9:K412,"Director",'FY 2023 (Jan23-Dec23)'!M9:M412,"Human Resources")</f>
        <v>0</v>
      </c>
      <c r="C34" s="6">
        <f>COUNTIFS('FY 2024 (Jan24-Dec24)'!K9:K412,"Director",'FY 2024 (Jan24-Dec24)'!M9:M412,"Human Resources")</f>
        <v>1</v>
      </c>
      <c r="D34" s="6">
        <f>COUNTIFS('FY 2025 (Jan25-Dec25)'!K9:K412,"Director",'FY 2025 (Jan25-Dec25)'!M9:M412,"Human Resources")</f>
        <v>0</v>
      </c>
      <c r="E34" s="6">
        <f>COUNTIFS('FY 2026 (Jan26-Dec26)'!K9:K356,"Director",'FY 2026 (Jan26-Dec26)'!M9:M356,"Human Resources")</f>
        <v>0</v>
      </c>
      <c r="F34" s="6">
        <f>COUNTIFS('FY 2027 (Jan27-Dec27)'!K9:K412,"Director",'FY 2027 (Jan27-Dec27)'!M9:M412,"Human Resources")</f>
        <v>0</v>
      </c>
      <c r="G34" s="6"/>
      <c r="H34" s="6"/>
      <c r="I34" s="6"/>
      <c r="J34" s="6"/>
      <c r="K34" s="6"/>
      <c r="L34" s="6"/>
      <c r="M34" s="6"/>
      <c r="N34" s="6"/>
      <c r="O34" s="6"/>
    </row>
    <row r="35" spans="1:15" ht="15" customHeight="1" x14ac:dyDescent="0.25">
      <c r="A35" s="6" t="s">
        <v>55</v>
      </c>
      <c r="B35" s="6">
        <f>COUNTIFS('FY 2023 (Jan23-Dec23)'!K9:K412,"Director",'FY 2023 (Jan23-Dec23)'!M9:M412,"Finance")</f>
        <v>0</v>
      </c>
      <c r="C35" s="6">
        <f>COUNTIFS('FY 2024 (Jan24-Dec24)'!K9:K412,"Director",'FY 2024 (Jan24-Dec24)'!M9:M412,"Finance")</f>
        <v>0</v>
      </c>
      <c r="D35" s="6">
        <f>COUNTIFS('FY 2025 (Jan25-Dec25)'!K9:K412,"Director",'FY 2025 (Jan25-Dec25)'!M9:M412,"Finance")</f>
        <v>0</v>
      </c>
      <c r="E35" s="6">
        <f>COUNTIFS('FY 2026 (Jan26-Dec26)'!K9:K356,"Director",'FY 2026 (Jan26-Dec26)'!M9:M356,"Finance")</f>
        <v>0</v>
      </c>
      <c r="F35" s="6">
        <f>COUNTIFS('FY 2027 (Jan27-Dec27)'!K9:K412,"Director",'FY 2027 (Jan27-Dec27)'!M9:M412,"Finance")</f>
        <v>0</v>
      </c>
      <c r="G35" s="6"/>
      <c r="H35" s="6"/>
      <c r="I35" s="6"/>
      <c r="J35" s="6"/>
      <c r="K35" s="6"/>
      <c r="L35" s="6"/>
      <c r="M35" s="6"/>
      <c r="N35" s="6"/>
      <c r="O35" s="6"/>
    </row>
    <row r="36" spans="1:15" ht="15" customHeight="1" x14ac:dyDescent="0.25">
      <c r="A36" s="6" t="s">
        <v>57</v>
      </c>
      <c r="B36" s="6">
        <f>COUNTIFS('FY 2023 (Jan23-Dec23)'!K9:K412,"Director",'FY 2023 (Jan23-Dec23)'!M9:M412,"Employment Services")</f>
        <v>0</v>
      </c>
      <c r="C36" s="6">
        <f>COUNTIFS('FY 2024 (Jan24-Dec24)'!K9:K412,"Director",'FY 2024 (Jan24-Dec24)'!M9:M412,"Employment Services")</f>
        <v>0</v>
      </c>
      <c r="D36" s="6">
        <f>COUNTIFS('FY 2025 (Jan25-Dec25)'!K9:K412,"Director",'FY 2025 (Jan25-Dec25)'!M9:M412,"Employment Services")</f>
        <v>0</v>
      </c>
      <c r="E36" s="6">
        <f>COUNTIFS('FY 2026 (Jan26-Dec26)'!K9:K356,"Director",'FY 2026 (Jan26-Dec26)'!M9:M356,"Employment Services")</f>
        <v>0</v>
      </c>
      <c r="F36" s="6">
        <f>COUNTIFS('FY 2027 (Jan27-Dec27)'!K9:K412,"Director",'FY 2027 (Jan27-Dec27)'!M9:M412,"Employment Services")</f>
        <v>0</v>
      </c>
      <c r="G36" s="6"/>
      <c r="H36" s="6"/>
      <c r="I36" s="6"/>
      <c r="J36" s="6"/>
      <c r="K36" s="6"/>
      <c r="L36" s="6"/>
      <c r="M36" s="6"/>
      <c r="N36" s="6"/>
      <c r="O36" s="6"/>
    </row>
    <row r="37" spans="1:15" ht="15" customHeight="1" x14ac:dyDescent="0.25">
      <c r="A37" s="6" t="s">
        <v>59</v>
      </c>
      <c r="B37" s="6">
        <f>COUNTIFS('FY 2023 (Jan23-Dec23)'!K9:K412,"Director",'FY 2023 (Jan23-Dec23)'!M9:M412,"Family Support")</f>
        <v>0</v>
      </c>
      <c r="C37" s="6">
        <f>COUNTIFS('FY 2024 (Jan24-Dec24)'!K9:K412,"Director",'FY 2024 (Jan24-Dec24)'!M9:M412,"Family Support")</f>
        <v>0</v>
      </c>
      <c r="D37" s="6">
        <f>COUNTIFS('FY 2025 (Jan25-Dec25)'!K9:K412,"Director",'FY 2025 (Jan25-Dec25)'!M9:M412,"Family Support")</f>
        <v>0</v>
      </c>
      <c r="E37" s="6">
        <f>COUNTIFS('FY 2026 (Jan26-Dec26)'!K9:K356,"Director",'FY 2026 (Jan26-Dec26)'!M9:M356,"Family Support")</f>
        <v>0</v>
      </c>
      <c r="F37" s="6">
        <f>COUNTIFS('FY 2027 (Jan27-Dec27)'!K9:K412,"Director",'FY 2027 (Jan27-Dec27)'!M9:M412,"Family Support")</f>
        <v>0</v>
      </c>
      <c r="G37" s="6"/>
      <c r="H37" s="6"/>
      <c r="I37" s="6"/>
      <c r="J37" s="6"/>
      <c r="K37" s="6"/>
      <c r="L37" s="6"/>
      <c r="M37" s="6"/>
      <c r="N37" s="6"/>
      <c r="O37" s="6"/>
    </row>
    <row r="38" spans="1:15" ht="15" customHeight="1" x14ac:dyDescent="0.25">
      <c r="A38" s="6" t="s">
        <v>61</v>
      </c>
      <c r="B38" s="6">
        <f>COUNTIFS('FY 2023 (Jan23-Dec23)'!K9:K412,"Director",'FY 2023 (Jan23-Dec23)'!M9:M412,"QA")</f>
        <v>0</v>
      </c>
      <c r="C38" s="6">
        <f>COUNTIFS('FY 2024 (Jan24-Dec24)'!K9:K412,"Director",'FY 2024 (Jan24-Dec24)'!M9:M412,"QA")</f>
        <v>0</v>
      </c>
      <c r="D38" s="6">
        <f>COUNTIFS('FY 2025 (Jan25-Dec25)'!K9:K412,"Director",'FY 2025 (Jan25-Dec25)'!M9:M412,"QA")</f>
        <v>0</v>
      </c>
      <c r="E38" s="6">
        <f>COUNTIFS('FY 2026 (Jan26-Dec26)'!K9:K356,"Director",'FY 2026 (Jan26-Dec26)'!M9:M356,"QA")</f>
        <v>0</v>
      </c>
      <c r="F38" s="6">
        <f>COUNTIFS('FY 2027 (Jan27-Dec27)'!K9:K412,"Director",'FY 2027 (Jan27-Dec27)'!M9:M412,"QA")</f>
        <v>0</v>
      </c>
      <c r="G38" s="6"/>
      <c r="H38" s="6"/>
      <c r="I38" s="6"/>
      <c r="J38" s="6"/>
      <c r="K38" s="6"/>
      <c r="L38" s="6"/>
      <c r="M38" s="6"/>
      <c r="N38" s="6"/>
      <c r="O38" s="6"/>
    </row>
    <row r="39" spans="1:15" ht="15" customHeight="1" x14ac:dyDescent="0.25">
      <c r="A39" s="6" t="s">
        <v>66</v>
      </c>
      <c r="B39" s="6">
        <f>COUNTIF('FY 2023 (Jan23-Dec23)'!K9:K412,"DSP")</f>
        <v>45</v>
      </c>
      <c r="C39" s="6">
        <f>COUNTIF('FY 2024 (Jan24-Dec24)'!K9:K412,"DSP")</f>
        <v>120</v>
      </c>
      <c r="D39" s="6">
        <f>COUNTIF('FY 2025 (Jan25-Dec25)'!K9:K412,"DSP")</f>
        <v>75</v>
      </c>
      <c r="E39" s="6">
        <f>COUNTIF('FY 2026 (Jan26-Dec26)'!K9:K356,"DSP")</f>
        <v>25</v>
      </c>
      <c r="F39" s="6">
        <f>COUNTIF('FY 2027 (Jan27-Dec27)'!K9:K412,"DSP")</f>
        <v>0</v>
      </c>
      <c r="G39" s="6"/>
      <c r="H39" s="6"/>
      <c r="I39" s="6"/>
      <c r="J39" s="6"/>
      <c r="K39" s="6"/>
      <c r="L39" s="6"/>
      <c r="M39" s="6"/>
      <c r="N39" s="6"/>
      <c r="O39" s="6"/>
    </row>
    <row r="40" spans="1:15" ht="15" customHeight="1" x14ac:dyDescent="0.25">
      <c r="A40" s="6" t="s">
        <v>68</v>
      </c>
      <c r="B40" s="6">
        <f>COUNTIF('FY 2023 (Jan23-Dec23)'!K9:K412,"HM")</f>
        <v>0</v>
      </c>
      <c r="C40" s="6">
        <f>COUNTIF('FY 2024 (Jan24-Dec24)'!K9:K412,"HM")</f>
        <v>8</v>
      </c>
      <c r="D40" s="6">
        <f>COUNTIF('FY 2025 (Jan25-Dec25)'!K9:K412,"HM")</f>
        <v>5</v>
      </c>
      <c r="E40" s="6">
        <f>COUNTIF('FY 2026 (Jan26-Dec26)'!K9:K356,"HM")</f>
        <v>3</v>
      </c>
      <c r="F40" s="6">
        <f>COUNTIF('FY 2027 (Jan27-Dec27)'!K9:K412,"HM")</f>
        <v>0</v>
      </c>
      <c r="G40" s="6"/>
      <c r="H40" s="6"/>
      <c r="I40" s="6"/>
      <c r="J40" s="6"/>
      <c r="K40" s="6"/>
      <c r="L40" s="6"/>
      <c r="M40" s="6"/>
      <c r="N40" s="6"/>
      <c r="O40" s="6"/>
    </row>
    <row r="41" spans="1:15" ht="15" customHeight="1" x14ac:dyDescent="0.25">
      <c r="A41" s="6" t="s">
        <v>71</v>
      </c>
      <c r="B41" s="6">
        <f>COUNTIF('FY 2023 (Jan23-Dec23)'!K9:K412,"RM")</f>
        <v>0</v>
      </c>
      <c r="C41" s="6">
        <f>COUNTIF('FY 2024 (Jan24-Dec24)'!K9:K412,"RM")</f>
        <v>3</v>
      </c>
      <c r="D41" s="6">
        <f>COUNTIF('FY 2025 (Jan25-Dec25)'!K9:K412,"RM")</f>
        <v>0</v>
      </c>
      <c r="E41" s="6">
        <f>COUNTIF('FY 2026 (Jan26-Dec26)'!K9:K356,"RM")</f>
        <v>0</v>
      </c>
      <c r="F41" s="6">
        <f>COUNTIF('FY 2027 (Jan27-Dec27)'!K9:K412,"RM")</f>
        <v>0</v>
      </c>
      <c r="G41" s="6"/>
      <c r="H41" s="6"/>
      <c r="I41" s="6"/>
      <c r="J41" s="6"/>
      <c r="K41" s="6"/>
      <c r="L41" s="6"/>
      <c r="M41" s="6"/>
      <c r="N41" s="6"/>
      <c r="O41" s="6"/>
    </row>
    <row r="42" spans="1:15" ht="15" customHeight="1" x14ac:dyDescent="0.25">
      <c r="A42" s="6" t="s">
        <v>74</v>
      </c>
      <c r="B42" s="6">
        <f>COUNTIF('FY 2023 (Jan23-Dec23)'!K9:K412,"CM")</f>
        <v>0</v>
      </c>
      <c r="C42" s="6">
        <f>COUNTIF('FY 2024 (Jan24-Dec24)'!K9:K412,"CM")</f>
        <v>1</v>
      </c>
      <c r="D42" s="6">
        <f>COUNTIF('FY 2025 (Jan25-Dec25)'!K9:K412,"CM")</f>
        <v>6</v>
      </c>
      <c r="E42" s="6">
        <f>COUNTIF('FY 2026 (Jan26-Dec26)'!K9:K356,"CM")</f>
        <v>1</v>
      </c>
      <c r="F42" s="6">
        <f>COUNTIF('FY 2027 (Jan27-Dec27)'!K9:K412,"CM")</f>
        <v>0</v>
      </c>
      <c r="G42" s="6"/>
      <c r="H42" s="6"/>
      <c r="I42" s="6"/>
      <c r="J42" s="6"/>
      <c r="K42" s="6"/>
      <c r="L42" s="6"/>
      <c r="M42" s="6"/>
      <c r="N42" s="6"/>
      <c r="O42" s="6"/>
    </row>
    <row r="43" spans="1:15" ht="15" customHeight="1" x14ac:dyDescent="0.25">
      <c r="A43" s="6" t="s">
        <v>76</v>
      </c>
      <c r="B43" s="6">
        <f>COUNTIF('FY 2023 (Jan23-Dec23)'!K9:K412,"EI")</f>
        <v>4</v>
      </c>
      <c r="C43" s="6">
        <f>COUNTIF('FY 2024 (Jan24-Dec24)'!K9:K412,"EI")</f>
        <v>5</v>
      </c>
      <c r="D43" s="6">
        <f>COUNTIF('FY 2025 (Jan25-Dec25)'!K9:K412,"EI")</f>
        <v>6</v>
      </c>
      <c r="E43" s="6">
        <f>COUNTIF('FY 2026 (Jan26-Dec26)'!K9:K356,"EI")</f>
        <v>0</v>
      </c>
      <c r="F43" s="6">
        <f>COUNTIF('FY 2027 (Jan27-Dec27)'!K9:K412,"EI")</f>
        <v>0</v>
      </c>
      <c r="G43" s="6"/>
      <c r="H43" s="6"/>
      <c r="I43" s="6"/>
      <c r="J43" s="6"/>
      <c r="K43" s="6"/>
      <c r="L43" s="6"/>
      <c r="M43" s="6"/>
      <c r="N43" s="6"/>
      <c r="O43" s="6"/>
    </row>
    <row r="44" spans="1:15" ht="15" customHeight="1" x14ac:dyDescent="0.25">
      <c r="A44" s="6" t="s">
        <v>78</v>
      </c>
      <c r="B44" s="6">
        <f>COUNTIF('FY 2023 (Jan23-Dec23)'!K9:K412,"Family Support")</f>
        <v>0</v>
      </c>
      <c r="C44" s="6">
        <f>COUNTIF('FY 2024 (Jan24-Dec24)'!K9:K412,"Family Support")</f>
        <v>1</v>
      </c>
      <c r="D44" s="6">
        <f>COUNTIF('FY 2025 (Jan25-Dec25)'!K9:K412,"Family Support")</f>
        <v>2</v>
      </c>
      <c r="E44" s="6">
        <f>COUNTIF('FY 2026 (Jan26-Dec26)'!K9:K356,"Family Support")</f>
        <v>0</v>
      </c>
      <c r="F44" s="6">
        <f>COUNTIF('FY 2027 (Jan27-Dec27)'!K9:K412,"Family Support")</f>
        <v>0</v>
      </c>
      <c r="G44" s="6"/>
      <c r="H44" s="6"/>
      <c r="I44" s="6"/>
      <c r="J44" s="6"/>
      <c r="K44" s="6"/>
      <c r="L44" s="6"/>
      <c r="M44" s="6"/>
      <c r="N44" s="6"/>
      <c r="O44" s="6"/>
    </row>
    <row r="45" spans="1:15" ht="15" customHeight="1" x14ac:dyDescent="0.25">
      <c r="A45" s="6" t="s">
        <v>80</v>
      </c>
      <c r="B45" s="6">
        <f>COUNTIF('FY 2023 (Jan23-Dec23)'!K9:K412,"Teacher")</f>
        <v>0</v>
      </c>
      <c r="C45" s="6">
        <f>COUNTIF('FY 2024 (Jan24-Dec24)'!K9:K412,"Teacher")</f>
        <v>3</v>
      </c>
      <c r="D45" s="6">
        <f>COUNTIF('FY 2025 (Jan25-Dec25)'!K9:K412,"Teacher")</f>
        <v>4</v>
      </c>
      <c r="E45" s="6">
        <f>COUNTIF('FY 2026 (Jan26-Dec26)'!K9:K356,"Teacher")</f>
        <v>0</v>
      </c>
      <c r="F45" s="6">
        <f>COUNTIF('FY 2027 (Jan27-Dec27)'!K9:K412,"Teacher")</f>
        <v>0</v>
      </c>
      <c r="G45" s="6"/>
      <c r="H45" s="6"/>
      <c r="I45" s="6"/>
      <c r="J45" s="6"/>
      <c r="K45" s="6"/>
      <c r="L45" s="6"/>
      <c r="M45" s="6"/>
      <c r="N45" s="6"/>
      <c r="O45" s="6"/>
    </row>
    <row r="46" spans="1:15" ht="15" customHeight="1" x14ac:dyDescent="0.25">
      <c r="A46" s="6" t="s">
        <v>81</v>
      </c>
      <c r="B46" s="6">
        <f>COUNTIF('FY 2023 (Jan23-Dec23)'!K9:K412,"Assistant Teacher")</f>
        <v>0</v>
      </c>
      <c r="C46" s="6">
        <f>COUNTIF('FY 2024 (Jan24-Dec24)'!K9:K412,"Assistant Teacher")</f>
        <v>3</v>
      </c>
      <c r="D46" s="6">
        <f>COUNTIF('FY 2025 (Jan25-Dec25)'!K9:K412,"Assistant Teacher")</f>
        <v>4</v>
      </c>
      <c r="E46" s="6">
        <f>COUNTIF('FY 2026 (Jan26-Dec26)'!K9:K356,"Assistant Teacher")</f>
        <v>0</v>
      </c>
      <c r="F46" s="6">
        <f>COUNTIF('FY 2027 (Jan27-Dec27)'!K9:K412,"Assistant Teacher")</f>
        <v>0</v>
      </c>
      <c r="G46" s="6"/>
      <c r="H46" s="6"/>
      <c r="I46" s="6"/>
      <c r="J46" s="6"/>
      <c r="K46" s="6"/>
      <c r="L46" s="6"/>
      <c r="M46" s="6"/>
      <c r="N46" s="6"/>
      <c r="O46" s="6"/>
    </row>
    <row r="47" spans="1:15" ht="15" customHeight="1" x14ac:dyDescent="0.25">
      <c r="A47" s="6" t="s">
        <v>83</v>
      </c>
      <c r="B47" s="6">
        <f>COUNTIF('FY 2023 (Jan23-Dec23)'!K9:K412,"Sub/Floater")</f>
        <v>5</v>
      </c>
      <c r="C47" s="6">
        <f>COUNTIF('FY 2024 (Jan24-Dec24)'!K9:K412,"Sub/Floater")</f>
        <v>1</v>
      </c>
      <c r="D47" s="6">
        <f>COUNTIF('FY 2025 (Jan25-Dec25)'!K9:K412,"Sub/Floater")</f>
        <v>14</v>
      </c>
      <c r="E47" s="6">
        <f>COUNTIF('FY 2026 (Jan26-Dec26)'!K9:K356,"Sub/Floater")</f>
        <v>1</v>
      </c>
      <c r="F47" s="6">
        <f>COUNTIF('FY 2027 (Jan27-Dec27)'!K9:K412,"Sub/Floater")</f>
        <v>0</v>
      </c>
      <c r="G47" s="6"/>
      <c r="H47" s="6"/>
      <c r="I47" s="6"/>
      <c r="J47" s="6"/>
      <c r="K47" s="6"/>
      <c r="L47" s="6"/>
      <c r="M47" s="6"/>
      <c r="N47" s="6"/>
      <c r="O47" s="6"/>
    </row>
    <row r="48" spans="1:15" ht="15" customHeight="1" x14ac:dyDescent="0.25">
      <c r="A48" s="6" t="s">
        <v>84</v>
      </c>
      <c r="B48" s="6">
        <f>COUNTIF('FY 2023 (Jan23-Dec23)'!K9:K412,"Job Coach/WI")</f>
        <v>0</v>
      </c>
      <c r="C48" s="6">
        <f>COUNTIF('FY 2024 (Jan24-Dec24)'!K9:K412,"Job Coach/WI")</f>
        <v>5</v>
      </c>
      <c r="D48" s="6">
        <f>COUNTIF('FY 2025 (Jan25-Dec25)'!K9:K412,"Job Coach/WI")</f>
        <v>2</v>
      </c>
      <c r="E48" s="6">
        <f>COUNTIF('FY 2026 (Jan26-Dec26)'!K9:K356,"Job Coach/WI")</f>
        <v>0</v>
      </c>
      <c r="F48" s="6">
        <f>COUNTIF('FY 2027 (Jan27-Dec27)'!K9:K412,"Job Coach/WI")</f>
        <v>0</v>
      </c>
      <c r="G48" s="6"/>
      <c r="H48" s="6"/>
      <c r="I48" s="6"/>
      <c r="J48" s="6"/>
      <c r="K48" s="6"/>
      <c r="L48" s="6"/>
      <c r="M48" s="6"/>
      <c r="N48" s="6"/>
      <c r="O48" s="6"/>
    </row>
    <row r="49" spans="1:15" ht="15" customHeight="1" x14ac:dyDescent="0.25">
      <c r="A49" s="6" t="s">
        <v>87</v>
      </c>
      <c r="B49" s="6">
        <f>COUNTIF('FY 2023 (Jan23-Dec23)'!K9:K412,"Finance")</f>
        <v>0</v>
      </c>
      <c r="C49" s="6">
        <f>COUNTIF('FY 2024 (Jan24-Dec24)'!K9:K412,"Finance")</f>
        <v>0</v>
      </c>
      <c r="D49" s="6">
        <f>COUNTIF('FY 2025 (Jan25-Dec25)'!K9:K412,"Finance")</f>
        <v>3</v>
      </c>
      <c r="E49" s="6">
        <f>COUNTIF('FY 2026 (Jan26-Dec26)'!K9:K356,"Finance")</f>
        <v>0</v>
      </c>
      <c r="F49" s="6">
        <f>COUNTIF('FY 2027 (Jan27-Dec27)'!K9:K412,"Finance")</f>
        <v>0</v>
      </c>
      <c r="G49" s="6"/>
      <c r="H49" s="6"/>
      <c r="I49" s="6"/>
      <c r="J49" s="6"/>
      <c r="K49" s="6"/>
      <c r="L49" s="6"/>
      <c r="M49" s="6"/>
      <c r="N49" s="6"/>
      <c r="O49" s="6"/>
    </row>
    <row r="50" spans="1:15" ht="15" customHeight="1" x14ac:dyDescent="0.25">
      <c r="A50" s="6" t="s">
        <v>89</v>
      </c>
      <c r="B50" s="6">
        <f>COUNTIF('FY 2023 (Jan23-Dec23)'!K9:K412,"HR")</f>
        <v>0</v>
      </c>
      <c r="C50" s="6">
        <f>COUNTIF('FY 2024 (Jan24-Dec24)'!K9:K412,"HR")</f>
        <v>0</v>
      </c>
      <c r="D50" s="6">
        <f>COUNTIF('FY 2025 (Jan25-Dec25)'!K9:K412,"HR")</f>
        <v>6</v>
      </c>
      <c r="E50" s="6">
        <f>COUNTIF('FY 2026 (Jan26-Dec26)'!K9:K356,"HR")</f>
        <v>0</v>
      </c>
      <c r="F50" s="6">
        <f>COUNTIF('FY 2027 (Jan27-Dec27)'!K9:K412,"HR")</f>
        <v>0</v>
      </c>
      <c r="G50" s="6"/>
      <c r="H50" s="6"/>
      <c r="I50" s="6"/>
      <c r="J50" s="6"/>
      <c r="K50" s="6"/>
      <c r="L50" s="6"/>
      <c r="M50" s="6"/>
      <c r="N50" s="6"/>
      <c r="O50" s="6"/>
    </row>
    <row r="51" spans="1:15" ht="15" customHeight="1" x14ac:dyDescent="0.25">
      <c r="A51" s="6" t="s">
        <v>91</v>
      </c>
      <c r="B51" s="6">
        <f>COUNTIF('FY 2023 (Jan23-Dec23)'!K9:K412,"QA")</f>
        <v>0</v>
      </c>
      <c r="C51" s="6">
        <f>COUNTIF('FY 2024 (Jan24-Dec24)'!K9:K412,"QA")</f>
        <v>0</v>
      </c>
      <c r="D51" s="6">
        <f>COUNTIF('FY 2025 (Jan25-Dec25)'!K9:K412,"QA")</f>
        <v>1</v>
      </c>
      <c r="E51" s="6">
        <f>COUNTIF('FY 2026 (Jan26-Dec26)'!K9:K356,"QA")</f>
        <v>1</v>
      </c>
      <c r="F51" s="6">
        <f>COUNTIF('FY 2027 (Jan27-Dec27)'!K9:K412,"QA")</f>
        <v>0</v>
      </c>
      <c r="G51" s="6"/>
      <c r="H51" s="6"/>
      <c r="I51" s="6"/>
      <c r="J51" s="6"/>
      <c r="K51" s="6"/>
      <c r="L51" s="6"/>
      <c r="M51" s="6"/>
      <c r="N51" s="6"/>
      <c r="O51" s="6"/>
    </row>
    <row r="52" spans="1:15" ht="15" customHeight="1" x14ac:dyDescent="0.25">
      <c r="A52" s="6" t="s">
        <v>70</v>
      </c>
      <c r="B52" s="6">
        <f>COUNTIF('FY 2023 (Jan23-Dec23)'!K9:K412,"Other")</f>
        <v>8</v>
      </c>
      <c r="C52" s="6">
        <f>COUNTIF('FY 2024 (Jan24-Dec24)'!K9:K412,"Other")</f>
        <v>6</v>
      </c>
      <c r="D52" s="6">
        <f>COUNTIF('FY 2025 (Jan25-Dec25)'!K9:K412,"Other")</f>
        <v>8</v>
      </c>
      <c r="E52" s="6">
        <f>COUNTIF('FY 2026 (Jan26-Dec26)'!K9:K356,"Other")</f>
        <v>2</v>
      </c>
      <c r="F52" s="6">
        <f>COUNTIF('FY 2027 (Jan27-Dec27)'!K9:K412,"Other")</f>
        <v>0</v>
      </c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t="15" customHeight="1" x14ac:dyDescent="0.25">
      <c r="A55" s="137" t="s">
        <v>50</v>
      </c>
      <c r="B55" s="137" t="s">
        <v>51</v>
      </c>
      <c r="C55" s="137" t="s">
        <v>103</v>
      </c>
      <c r="D55" s="137" t="s">
        <v>104</v>
      </c>
      <c r="E55" s="137" t="s">
        <v>105</v>
      </c>
      <c r="F55" s="137" t="s">
        <v>3</v>
      </c>
      <c r="G55" s="137" t="s">
        <v>106</v>
      </c>
      <c r="H55" s="6"/>
      <c r="I55" s="6"/>
      <c r="J55" s="6"/>
      <c r="K55" s="6"/>
      <c r="L55" s="6"/>
      <c r="M55" s="6"/>
      <c r="N55" s="6"/>
      <c r="O55" s="6"/>
    </row>
    <row r="56" spans="1:15" ht="15" customHeight="1" x14ac:dyDescent="0.25">
      <c r="A56" s="6" t="s">
        <v>53</v>
      </c>
      <c r="B56" s="6">
        <f>IFERROR(VLOOKUP(A56,Reference!$C$2:$D$14,2,FALSE),"Other")</f>
      </c>
      <c r="C56" s="6">
        <f>COUNTIF('FY 2023 (Jan23-Dec23)'!H9:H412,"Resignation")</f>
        <v>5</v>
      </c>
      <c r="D56" s="6">
        <f>COUNTIF('FY 2024 (Jan24-Dec24)'!H9:H412,"Resignation")</f>
        <v>3</v>
      </c>
      <c r="E56" s="6">
        <f>COUNTIF('FY 2025 (Jan25-Dec25)'!H9:H412,"Resignation")</f>
        <v>61</v>
      </c>
      <c r="F56" s="6">
        <f>COUNTIF('FY 2026 (Jan26-Dec26)'!H9:H356,"Resignation")</f>
        <v>15</v>
      </c>
      <c r="G56" s="6">
        <f>COUNTIF('FY 2027 (Jan27-Dec27)'!H9:H412,"Resignation")</f>
        <v>0</v>
      </c>
      <c r="H56" s="6"/>
      <c r="I56" s="6"/>
      <c r="J56" s="6"/>
      <c r="K56" s="6"/>
      <c r="L56" s="6"/>
      <c r="M56" s="6"/>
      <c r="N56" s="6"/>
      <c r="O56" s="6"/>
    </row>
    <row r="57" spans="1:15" ht="15" customHeight="1" x14ac:dyDescent="0.25">
      <c r="A57" s="6" t="s">
        <v>56</v>
      </c>
      <c r="B57" s="6">
        <f>IFERROR(VLOOKUP(A57,Reference!$C$2:$D$14,2,FALSE),"Other")</f>
      </c>
      <c r="C57" s="6">
        <f>COUNTIF('FY 2023 (Jan23-Dec23)'!H9:H412,"Better Opportunity")</f>
        <v>11</v>
      </c>
      <c r="D57" s="6">
        <f>COUNTIF('FY 2024 (Jan24-Dec24)'!H9:H412,"Better Opportunity")</f>
        <v>27</v>
      </c>
      <c r="E57" s="6">
        <f>COUNTIF('FY 2025 (Jan25-Dec25)'!H9:H412,"Better Opportunity")</f>
        <v>17</v>
      </c>
      <c r="F57" s="6">
        <f>COUNTIF('FY 2026 (Jan26-Dec26)'!H9:H356,"Better Opportunity")</f>
        <v>3</v>
      </c>
      <c r="G57" s="6">
        <f>COUNTIF('FY 2027 (Jan27-Dec27)'!H9:H412,"Better Opportunity")</f>
        <v>0</v>
      </c>
      <c r="H57" s="6"/>
      <c r="I57" s="6"/>
      <c r="J57" s="6"/>
      <c r="K57" s="6"/>
      <c r="L57" s="6"/>
      <c r="M57" s="6"/>
      <c r="N57" s="6"/>
      <c r="O57" s="6"/>
    </row>
    <row r="58" spans="1:15" ht="15" customHeight="1" x14ac:dyDescent="0.25">
      <c r="A58" s="6" t="s">
        <v>58</v>
      </c>
      <c r="B58" s="6">
        <f>IFERROR(VLOOKUP(A58,Reference!$C$2:$D$14,2,FALSE),"Other")</f>
      </c>
      <c r="C58" s="6">
        <f>COUNTIF('FY 2023 (Jan23-Dec23)'!H9:H412,"Personal Reasons")</f>
        <v>15</v>
      </c>
      <c r="D58" s="6">
        <f>COUNTIF('FY 2024 (Jan24-Dec24)'!H9:H412,"Personal Reasons")</f>
        <v>44</v>
      </c>
      <c r="E58" s="6">
        <f>COUNTIF('FY 2025 (Jan25-Dec25)'!H9:H412,"Personal Reasons")</f>
        <v>18</v>
      </c>
      <c r="F58" s="6">
        <f>COUNTIF('FY 2026 (Jan26-Dec26)'!H9:H356,"Personal Reasons")</f>
        <v>3</v>
      </c>
      <c r="G58" s="6">
        <f>COUNTIF('FY 2027 (Jan27-Dec27)'!H9:H412,"Personal Reasons")</f>
        <v>0</v>
      </c>
      <c r="H58" s="6"/>
      <c r="I58" s="6"/>
      <c r="J58" s="6"/>
      <c r="K58" s="6"/>
      <c r="L58" s="6"/>
      <c r="M58" s="6"/>
      <c r="N58" s="6"/>
      <c r="O58" s="6"/>
    </row>
    <row r="59" spans="1:15" ht="15" customHeight="1" x14ac:dyDescent="0.25">
      <c r="A59" s="6" t="s">
        <v>60</v>
      </c>
      <c r="B59" s="6">
        <f>IFERROR(VLOOKUP(A59,Reference!$C$2:$D$14,2,FALSE),"Other")</f>
      </c>
      <c r="C59" s="6">
        <f>COUNTIF('FY 2023 (Jan23-Dec23)'!H9:H412,"Relocation")</f>
        <v>3</v>
      </c>
      <c r="D59" s="6">
        <f>COUNTIF('FY 2024 (Jan24-Dec24)'!H9:H412,"Relocation")</f>
        <v>11</v>
      </c>
      <c r="E59" s="6">
        <f>COUNTIF('FY 2025 (Jan25-Dec25)'!H9:H412,"Relocation")</f>
        <v>2</v>
      </c>
      <c r="F59" s="6">
        <f>COUNTIF('FY 2026 (Jan26-Dec26)'!H9:H356,"Relocation")</f>
        <v>0</v>
      </c>
      <c r="G59" s="6">
        <f>COUNTIF('FY 2027 (Jan27-Dec27)'!H9:H412,"Relocation")</f>
        <v>0</v>
      </c>
      <c r="H59" s="6"/>
      <c r="I59" s="6"/>
      <c r="J59" s="6"/>
      <c r="K59" s="6"/>
      <c r="L59" s="6"/>
      <c r="M59" s="6"/>
      <c r="N59" s="6"/>
      <c r="O59" s="6"/>
    </row>
    <row r="60" spans="1:15" ht="15" customHeight="1" x14ac:dyDescent="0.25">
      <c r="A60" s="6" t="s">
        <v>62</v>
      </c>
      <c r="B60" s="6">
        <f>IFERROR(VLOOKUP(A60,Reference!$C$2:$D$14,2,FALSE),"Other")</f>
      </c>
      <c r="C60" s="6">
        <f>COUNTIF('FY 2023 (Jan23-Dec23)'!H9:H412,"Retirement")</f>
        <v>2</v>
      </c>
      <c r="D60" s="6">
        <f>COUNTIF('FY 2024 (Jan24-Dec24)'!H9:H412,"Retirement")</f>
        <v>2</v>
      </c>
      <c r="E60" s="6">
        <f>COUNTIF('FY 2025 (Jan25-Dec25)'!H9:H412,"Retirement")</f>
        <v>0</v>
      </c>
      <c r="F60" s="6">
        <f>COUNTIF('FY 2026 (Jan26-Dec26)'!H9:H356,"Retirement")</f>
        <v>0</v>
      </c>
      <c r="G60" s="6">
        <f>COUNTIF('FY 2027 (Jan27-Dec27)'!H9:H412,"Retirement")</f>
        <v>0</v>
      </c>
      <c r="H60" s="6"/>
      <c r="I60" s="6"/>
      <c r="J60" s="6"/>
      <c r="K60" s="6"/>
      <c r="L60" s="6"/>
      <c r="M60" s="6"/>
      <c r="N60" s="6"/>
      <c r="O60" s="6"/>
    </row>
    <row r="61" spans="1:15" ht="15" customHeight="1" x14ac:dyDescent="0.25">
      <c r="A61" s="6" t="s">
        <v>64</v>
      </c>
      <c r="B61" s="6">
        <f>IFERROR(VLOOKUP(A61,Reference!$C$2:$D$14,2,FALSE),"Other")</f>
      </c>
      <c r="C61" s="6">
        <f>COUNTIF('FY 2023 (Jan23-Dec23)'!H9:H412,"Termination")</f>
        <v>4</v>
      </c>
      <c r="D61" s="6">
        <f>COUNTIF('FY 2024 (Jan24-Dec24)'!H9:H412,"Termination")</f>
        <v>13</v>
      </c>
      <c r="E61" s="6">
        <f>COUNTIF('FY 2025 (Jan25-Dec25)'!H9:H412,"Termination")</f>
        <v>5</v>
      </c>
      <c r="F61" s="6">
        <f>COUNTIF('FY 2026 (Jan26-Dec26)'!H9:H356,"Termination")</f>
        <v>4</v>
      </c>
      <c r="G61" s="6">
        <f>COUNTIF('FY 2027 (Jan27-Dec27)'!H9:H412,"Termination")</f>
        <v>0</v>
      </c>
      <c r="H61" s="6"/>
      <c r="I61" s="6"/>
      <c r="J61" s="6"/>
      <c r="K61" s="6"/>
      <c r="L61" s="6"/>
      <c r="M61" s="6"/>
      <c r="N61" s="6"/>
      <c r="O61" s="6"/>
    </row>
    <row r="62" spans="1:15" ht="15" customHeight="1" x14ac:dyDescent="0.25">
      <c r="A62" s="6" t="s">
        <v>67</v>
      </c>
      <c r="B62" s="6">
        <f>IFERROR(VLOOKUP(A62,Reference!$C$2:$D$14,2,FALSE),"Other")</f>
      </c>
      <c r="C62" s="6">
        <f>COUNTIF('FY 2023 (Jan23-Dec23)'!H9:H412,"Layoff")</f>
        <v>0</v>
      </c>
      <c r="D62" s="6">
        <f>COUNTIF('FY 2024 (Jan24-Dec24)'!H9:H412,"Layoff")</f>
        <v>0</v>
      </c>
      <c r="E62" s="6">
        <f>COUNTIF('FY 2025 (Jan25-Dec25)'!H9:H412,"Layoff")</f>
        <v>0</v>
      </c>
      <c r="F62" s="6">
        <f>COUNTIF('FY 2026 (Jan26-Dec26)'!H9:H356,"Layoff")</f>
        <v>0</v>
      </c>
      <c r="G62" s="6">
        <f>COUNTIF('FY 2027 (Jan27-Dec27)'!H9:H412,"Layoff")</f>
        <v>0</v>
      </c>
      <c r="H62" s="6"/>
      <c r="I62" s="6"/>
      <c r="J62" s="6"/>
      <c r="K62" s="6"/>
      <c r="L62" s="6"/>
      <c r="M62" s="6"/>
      <c r="N62" s="6"/>
      <c r="O62" s="6"/>
    </row>
    <row r="63" spans="1:15" ht="15" customHeight="1" x14ac:dyDescent="0.25">
      <c r="A63" s="6" t="s">
        <v>69</v>
      </c>
      <c r="B63" s="6">
        <f>IFERROR(VLOOKUP(A63,Reference!$C$2:$D$14,2,FALSE),"Other")</f>
      </c>
      <c r="C63" s="6">
        <f>COUNTIF('FY 2023 (Jan23-Dec23)'!H9:H412,"Job Abandonment")</f>
        <v>17</v>
      </c>
      <c r="D63" s="6">
        <f>COUNTIF('FY 2024 (Jan24-Dec24)'!H9:H412,"Job Abandonment")</f>
        <v>24</v>
      </c>
      <c r="E63" s="6">
        <f>COUNTIF('FY 2025 (Jan25-Dec25)'!H9:H412,"Job Abandonment")</f>
        <v>23</v>
      </c>
      <c r="F63" s="6">
        <f>COUNTIF('FY 2026 (Jan26-Dec26)'!H9:H356,"Job Abandonment")</f>
        <v>1</v>
      </c>
      <c r="G63" s="6">
        <f>COUNTIF('FY 2027 (Jan27-Dec27)'!H9:H412,"Job Abandonment")</f>
        <v>0</v>
      </c>
      <c r="H63" s="6"/>
      <c r="I63" s="6"/>
      <c r="J63" s="6"/>
      <c r="K63" s="6"/>
      <c r="L63" s="6"/>
      <c r="M63" s="6"/>
      <c r="N63" s="6"/>
      <c r="O63" s="6"/>
    </row>
    <row r="64" spans="1:15" ht="15" customHeight="1" x14ac:dyDescent="0.25">
      <c r="A64" s="6" t="s">
        <v>72</v>
      </c>
      <c r="B64" s="6">
        <f>IFERROR(VLOOKUP(A64,Reference!$C$2:$D$14,2,FALSE),"Other")</f>
      </c>
      <c r="C64" s="6">
        <f>COUNTIF('FY 2023 (Jan23-Dec23)'!H9:H412,"End of Contract")</f>
        <v>0</v>
      </c>
      <c r="D64" s="6">
        <f>COUNTIF('FY 2024 (Jan24-Dec24)'!H9:H412,"End of Contract")</f>
        <v>0</v>
      </c>
      <c r="E64" s="6">
        <f>COUNTIF('FY 2025 (Jan25-Dec25)'!H9:H412,"End of Contract")</f>
        <v>1</v>
      </c>
      <c r="F64" s="6">
        <f>COUNTIF('FY 2026 (Jan26-Dec26)'!H9:H356,"End of Contract")</f>
        <v>0</v>
      </c>
      <c r="G64" s="6">
        <f>COUNTIF('FY 2027 (Jan27-Dec27)'!H9:H412,"End of Contract")</f>
        <v>0</v>
      </c>
      <c r="H64" s="6"/>
      <c r="I64" s="6"/>
      <c r="J64" s="6"/>
      <c r="K64" s="6"/>
      <c r="L64" s="6"/>
      <c r="M64" s="6"/>
      <c r="N64" s="6"/>
      <c r="O64" s="6"/>
    </row>
    <row r="65" spans="1:15" ht="15" customHeight="1" x14ac:dyDescent="0.25">
      <c r="A65" s="6" t="s">
        <v>70</v>
      </c>
      <c r="B65" s="6">
        <f>IFERROR(VLOOKUP(A65,Reference!$C$2:$D$14,2,FALSE),"Other")</f>
      </c>
      <c r="C65" s="6">
        <f>COUNTIF('FY 2023 (Jan23-Dec23)'!H9:H412,"Other")</f>
        <v>1</v>
      </c>
      <c r="D65" s="6">
        <f>COUNTIF('FY 2024 (Jan24-Dec24)'!H9:H412,"Other")</f>
        <v>28</v>
      </c>
      <c r="E65" s="6">
        <f>COUNTIF('FY 2025 (Jan25-Dec25)'!H9:H412,"Other")</f>
        <v>8</v>
      </c>
      <c r="F65" s="6">
        <f>COUNTIF('FY 2026 (Jan26-Dec26)'!H9:H356,"Other")</f>
        <v>2</v>
      </c>
      <c r="G65" s="6">
        <f>COUNTIF('FY 2027 (Jan27-Dec27)'!H9:H412,"Other")</f>
        <v>0</v>
      </c>
      <c r="H65" s="6"/>
      <c r="I65" s="6"/>
      <c r="J65" s="6"/>
      <c r="K65" s="6"/>
      <c r="L65" s="6"/>
      <c r="M65" s="6"/>
      <c r="N65" s="6"/>
      <c r="O65" s="6"/>
    </row>
    <row r="66" spans="1:15" ht="15" customHeight="1" x14ac:dyDescent="0.25">
      <c r="A66" s="6" t="s">
        <v>75</v>
      </c>
      <c r="B66" s="6">
        <f>IFERROR(VLOOKUP(A66,Reference!$C$2:$D$14,2,FALSE),"Other")</f>
      </c>
      <c r="C66" s="6">
        <f>COUNTIF('FY 2023 (Jan23-Dec23)'!H9:H412,"Performance Issues")</f>
        <v>3</v>
      </c>
      <c r="D66" s="6">
        <f>COUNTIF('FY 2024 (Jan24-Dec24)'!H9:H412,"Performance Issues")</f>
        <v>4</v>
      </c>
      <c r="E66" s="6">
        <f>COUNTIF('FY 2025 (Jan25-Dec25)'!H9:H412,"Performance Issues")</f>
        <v>2</v>
      </c>
      <c r="F66" s="6">
        <f>COUNTIF('FY 2026 (Jan26-Dec26)'!H9:H356,"Performance Issues")</f>
        <v>1</v>
      </c>
      <c r="G66" s="6">
        <f>COUNTIF('FY 2027 (Jan27-Dec27)'!H9:H412,"Performance Issues")</f>
        <v>0</v>
      </c>
      <c r="H66" s="6"/>
      <c r="I66" s="6"/>
      <c r="J66" s="6"/>
      <c r="K66" s="6"/>
      <c r="L66" s="6"/>
      <c r="M66" s="6"/>
      <c r="N66" s="6"/>
      <c r="O66" s="6"/>
    </row>
    <row r="67" spans="1:15" ht="15" customHeight="1" x14ac:dyDescent="0.25">
      <c r="A67" s="6" t="s">
        <v>77</v>
      </c>
      <c r="B67" s="6">
        <f>IFERROR(VLOOKUP(A67,Reference!$C$2:$D$14,2,FALSE),"Other")</f>
      </c>
      <c r="C67" s="6">
        <f>COUNTIF('FY 2023 (Jan23-Dec23)'!H9:H412,"Attendance Issues")</f>
        <v>1</v>
      </c>
      <c r="D67" s="6">
        <f>COUNTIF('FY 2024 (Jan24-Dec24)'!H9:H412,"Attendance Issues")</f>
        <v>1</v>
      </c>
      <c r="E67" s="6">
        <f>COUNTIF('FY 2025 (Jan25-Dec25)'!H9:H412,"Attendance Issues")</f>
        <v>1</v>
      </c>
      <c r="F67" s="6">
        <f>COUNTIF('FY 2026 (Jan26-Dec26)'!H9:H356,"Attendance Issues")</f>
        <v>1</v>
      </c>
      <c r="G67" s="6">
        <f>COUNTIF('FY 2027 (Jan27-Dec27)'!H9:H412,"Attendance Issues")</f>
        <v>0</v>
      </c>
      <c r="H67" s="6"/>
      <c r="I67" s="6"/>
      <c r="J67" s="6"/>
      <c r="K67" s="6"/>
      <c r="L67" s="6"/>
      <c r="M67" s="6"/>
      <c r="N67" s="6"/>
      <c r="O67" s="6"/>
    </row>
    <row r="68" spans="1:15" x14ac:dyDescent="0.25">
      <c r="A68" s="6" t="inlineStr">
        <is>
          <t xml:space="preserve">Resignation without Notice</t>
        </is>
      </c>
      <c r="B68" s="6">
        <f>IFERROR(VLOOKUP(A68,Reference!$C$2:$D$14,2,FALSE),"Other")</f>
      </c>
      <c r="C68" s="6">
        <f>COUNTIF('FY 2023 (Jan23-Dec23)'!H9:H412,"Resignation without Notice")</f>
      </c>
      <c r="D68" s="6">
        <f>COUNTIF('FY 2024 (Jan24-Dec24)'!H9:H412,"Resignation without Notice")</f>
      </c>
      <c r="E68" s="6">
        <f>COUNTIF('FY 2025 (Jan25-Dec25)'!H9:H412,"Resignation without Notice")</f>
      </c>
      <c r="F68" s="6">
        <f>COUNTIF('FY 2026 (Jan26-Dec26)'!H9:H412,"Resignation without Notice")</f>
      </c>
      <c r="G68" s="6">
        <f>COUNTIF('FY 2027 (Jan27-Dec27)'!H9:H412,"Resignation without Notice")</f>
      </c>
      <c r="H68" s="6"/>
      <c r="I68" s="6"/>
      <c r="J68" s="6"/>
      <c r="K68" s="6"/>
      <c r="L68" s="6"/>
      <c r="M68" s="6"/>
      <c r="N68" s="6"/>
      <c r="O68" s="6"/>
    </row>
    <row r="69" spans="1:1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5" customHeight="1" x14ac:dyDescent="0.25">
      <c r="A75" s="137" t="s">
        <v>999</v>
      </c>
      <c r="B75" s="137" t="s">
        <v>97</v>
      </c>
      <c r="C75" s="137" t="s">
        <v>98</v>
      </c>
      <c r="D75" s="137" t="s">
        <v>18</v>
      </c>
      <c r="E75" s="137" t="s">
        <v>99</v>
      </c>
      <c r="F75" s="137" t="s">
        <v>54</v>
      </c>
      <c r="G75" s="137" t="s">
        <v>65</v>
      </c>
      <c r="H75" s="137" t="s">
        <v>101</v>
      </c>
      <c r="I75" s="137" t="s">
        <v>102</v>
      </c>
      <c r="J75" s="6"/>
      <c r="K75" s="6"/>
      <c r="L75" s="6"/>
      <c r="M75" s="6"/>
      <c r="N75" s="6"/>
      <c r="O75" s="6"/>
    </row>
    <row r="76" spans="1:15" ht="15" customHeight="1" x14ac:dyDescent="0.25">
      <c r="A76" s="6" t="s">
        <v>103</v>
      </c>
      <c r="B76" s="6">
        <f t="shared" ref="B76:G80" si="0">B2</f>
        <v>339</v>
      </c>
      <c r="C76" s="6">
        <f t="shared" si="0"/>
        <v>62</v>
      </c>
      <c r="D76" s="6">
        <f t="shared" si="0"/>
        <v>0.18289085545722714</v>
      </c>
      <c r="E76" s="6">
        <f t="shared" si="0"/>
        <v>10.333333333333334</v>
      </c>
      <c r="F76" s="6">
        <f t="shared" si="0"/>
        <v>36</v>
      </c>
      <c r="G76" s="6">
        <f t="shared" si="0"/>
        <v>4</v>
      </c>
      <c r="H76" s="6">
        <f>I2</f>
        <v>0.58064516129032262</v>
      </c>
      <c r="I76" s="6" t="s">
        <v>110</v>
      </c>
      <c r="J76" s="6"/>
      <c r="K76" s="6"/>
      <c r="L76" s="6"/>
      <c r="M76" s="6"/>
      <c r="N76" s="6"/>
      <c r="O76" s="6"/>
    </row>
    <row r="77" spans="1:15" ht="15" customHeight="1" x14ac:dyDescent="0.25">
      <c r="A77" s="6" t="s">
        <v>104</v>
      </c>
      <c r="B77" s="6">
        <f t="shared" si="0"/>
        <v>339</v>
      </c>
      <c r="C77" s="6">
        <f t="shared" si="0"/>
        <v>158</v>
      </c>
      <c r="D77" s="6">
        <f t="shared" si="0"/>
        <v>0.46607669616519176</v>
      </c>
      <c r="E77" s="6">
        <f t="shared" si="0"/>
        <v>13.166666666666666</v>
      </c>
      <c r="F77" s="6">
        <f t="shared" si="0"/>
        <v>87</v>
      </c>
      <c r="G77" s="6">
        <f t="shared" si="0"/>
        <v>13</v>
      </c>
      <c r="H77" s="6">
        <f>I3</f>
        <v>0.55063291139240511</v>
      </c>
      <c r="I77" s="6">
        <f>D3-D2</f>
        <v>0.2831858407079646</v>
      </c>
      <c r="J77" s="6"/>
      <c r="K77" s="6"/>
      <c r="L77" s="6"/>
      <c r="M77" s="6"/>
      <c r="N77" s="6"/>
      <c r="O77" s="6"/>
    </row>
    <row r="78" spans="1:15" ht="15" customHeight="1" x14ac:dyDescent="0.25">
      <c r="A78" s="6" t="s">
        <v>105</v>
      </c>
      <c r="B78" s="6">
        <f t="shared" si="0"/>
        <v>346</v>
      </c>
      <c r="C78" s="6">
        <f t="shared" si="0"/>
        <v>138</v>
      </c>
      <c r="D78" s="6">
        <f t="shared" si="0"/>
        <v>0.39884393063583817</v>
      </c>
      <c r="E78" s="6">
        <f t="shared" si="0"/>
        <v>11.5</v>
      </c>
      <c r="F78" s="6">
        <f t="shared" si="0"/>
        <v>98</v>
      </c>
      <c r="G78" s="6">
        <f t="shared" si="0"/>
        <v>5</v>
      </c>
      <c r="H78" s="6">
        <f>I4</f>
        <v>0.71014492753623193</v>
      </c>
      <c r="I78" s="6">
        <f>D4-D3</f>
        <v>-6.7232765529353589E-2</v>
      </c>
      <c r="J78" s="6"/>
      <c r="K78" s="6"/>
      <c r="L78" s="6"/>
      <c r="M78" s="6"/>
      <c r="N78" s="6"/>
      <c r="O78" s="6"/>
    </row>
    <row r="79" spans="1:15" ht="15" customHeight="1" x14ac:dyDescent="0.25">
      <c r="A79" s="6" t="s">
        <v>3</v>
      </c>
      <c r="B79" s="6">
        <f t="shared" si="0"/>
        <v>366</v>
      </c>
      <c r="C79" s="6">
        <f t="shared" si="0"/>
        <v>35</v>
      </c>
      <c r="D79" s="6">
        <f t="shared" si="0"/>
        <v>9.5628415300546443E-2</v>
      </c>
      <c r="E79" s="6">
        <f t="shared" si="0"/>
        <v>8.75</v>
      </c>
      <c r="F79" s="6">
        <f t="shared" si="0"/>
        <v>21</v>
      </c>
      <c r="G79" s="6">
        <f t="shared" si="0"/>
        <v>4</v>
      </c>
      <c r="H79" s="6">
        <f>I5</f>
        <v>0.6</v>
      </c>
      <c r="I79" s="6">
        <f>D5-D4</f>
        <v>-0.30321551533529173</v>
      </c>
      <c r="J79" s="6"/>
      <c r="K79" s="6"/>
      <c r="L79" s="6"/>
      <c r="M79" s="6"/>
      <c r="N79" s="6"/>
      <c r="O79" s="6"/>
    </row>
    <row r="80" spans="1:15" ht="15" customHeight="1" x14ac:dyDescent="0.25">
      <c r="A80" s="6" t="s">
        <v>106</v>
      </c>
      <c r="B80" s="6">
        <f t="shared" si="0"/>
        <v>364</v>
      </c>
      <c r="C80" s="6">
        <f t="shared" si="0"/>
        <v>0</v>
      </c>
      <c r="D80" s="6">
        <f t="shared" si="0"/>
        <v>0</v>
      </c>
      <c r="E80" s="6">
        <f t="shared" si="0"/>
        <v>0</v>
      </c>
      <c r="F80" s="6">
        <f t="shared" si="0"/>
        <v>0</v>
      </c>
      <c r="G80" s="6">
        <f t="shared" si="0"/>
        <v>0</v>
      </c>
      <c r="H80" s="6">
        <f>I6</f>
        <v>0</v>
      </c>
      <c r="I80" s="6">
        <f>D6-D5</f>
        <v>-9.5628415300546443E-2</v>
      </c>
      <c r="J80" s="6"/>
      <c r="K80" s="6"/>
      <c r="L80" s="6"/>
      <c r="M80" s="6"/>
      <c r="N80" s="6"/>
      <c r="O80" s="6"/>
    </row>
    <row r="81" spans="1:1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t="27.75" customHeight="1" x14ac:dyDescent="0.25">
      <c r="A85" s="157" t="s">
        <v>1002</v>
      </c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6"/>
    </row>
    <row r="86" spans="1:1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82" t="s">
        <v>1003</v>
      </c>
      <c r="B87" s="82" t="s">
        <v>35</v>
      </c>
      <c r="C87" s="82" t="s">
        <v>37</v>
      </c>
      <c r="D87" s="82" t="s">
        <v>39</v>
      </c>
      <c r="E87" s="82" t="s">
        <v>41</v>
      </c>
      <c r="F87" s="82" t="s">
        <v>43</v>
      </c>
      <c r="G87" s="82" t="s">
        <v>45</v>
      </c>
      <c r="H87" s="82" t="s">
        <v>23</v>
      </c>
      <c r="I87" s="82" t="s">
        <v>25</v>
      </c>
      <c r="J87" s="82" t="s">
        <v>27</v>
      </c>
      <c r="K87" s="82" t="s">
        <v>29</v>
      </c>
      <c r="L87" s="82" t="s">
        <v>31</v>
      </c>
      <c r="M87" s="82" t="s">
        <v>33</v>
      </c>
      <c r="N87" s="82" t="s">
        <v>135</v>
      </c>
      <c r="O87" s="6"/>
    </row>
    <row r="88" spans="1:15" ht="15" customHeight="1" x14ac:dyDescent="0.25">
      <c r="A88" s="83" t="s">
        <v>109</v>
      </c>
      <c r="B88" s="90">
        <v>10</v>
      </c>
      <c r="C88" s="90">
        <v>9</v>
      </c>
      <c r="D88" s="90">
        <v>12</v>
      </c>
      <c r="E88" s="90">
        <v>12</v>
      </c>
      <c r="F88" s="90">
        <v>10</v>
      </c>
      <c r="G88" s="90">
        <v>9</v>
      </c>
      <c r="H88" s="90">
        <v>24</v>
      </c>
      <c r="I88" s="90">
        <v>11</v>
      </c>
      <c r="J88" s="90">
        <v>14</v>
      </c>
      <c r="K88" s="90">
        <v>13</v>
      </c>
      <c r="L88" s="90">
        <v>17</v>
      </c>
      <c r="M88" s="90">
        <v>12</v>
      </c>
      <c r="N88" s="138">
        <f>SUM(B88:M88)</f>
        <v>153</v>
      </c>
      <c r="O88" s="6"/>
    </row>
    <row r="89" spans="1:15" ht="15" customHeight="1" x14ac:dyDescent="0.25">
      <c r="A89" s="86" t="s">
        <v>6</v>
      </c>
      <c r="B89" s="87">
        <v>13</v>
      </c>
      <c r="C89" s="87">
        <v>16</v>
      </c>
      <c r="D89" s="87">
        <v>8</v>
      </c>
      <c r="E89" s="87">
        <v>7</v>
      </c>
      <c r="F89" s="87">
        <v>14</v>
      </c>
      <c r="G89" s="87">
        <v>9</v>
      </c>
      <c r="H89" s="87">
        <v>14</v>
      </c>
      <c r="I89" s="87">
        <v>13</v>
      </c>
      <c r="J89" s="87">
        <v>12</v>
      </c>
      <c r="K89" s="87">
        <v>7</v>
      </c>
      <c r="L89" s="87">
        <v>18</v>
      </c>
      <c r="M89" s="87">
        <v>5</v>
      </c>
      <c r="N89" s="139">
        <f>SUM(B89:M89)</f>
        <v>136</v>
      </c>
      <c r="O89" s="6"/>
    </row>
    <row r="90" spans="1:15" ht="15" customHeight="1" x14ac:dyDescent="0.25">
      <c r="A90" s="83" t="s">
        <v>111</v>
      </c>
      <c r="B90" s="90">
        <v>16</v>
      </c>
      <c r="C90" s="90">
        <v>14</v>
      </c>
      <c r="D90" s="90">
        <v>12</v>
      </c>
      <c r="E90" s="90">
        <v>13</v>
      </c>
      <c r="F90" s="90">
        <v>9</v>
      </c>
      <c r="G90" s="90">
        <v>5</v>
      </c>
      <c r="H90" s="90">
        <v>8</v>
      </c>
      <c r="I90" s="90">
        <v>10</v>
      </c>
      <c r="J90" s="90">
        <v>10</v>
      </c>
      <c r="K90" s="90">
        <v>2</v>
      </c>
      <c r="L90" s="90">
        <v>0</v>
      </c>
      <c r="M90" s="90">
        <v>0</v>
      </c>
      <c r="N90" s="138">
        <f>SUM(B90:M90)</f>
        <v>99</v>
      </c>
      <c r="O90" s="6"/>
    </row>
    <row r="91" spans="1:15" ht="15" customHeight="1" x14ac:dyDescent="0.25">
      <c r="A91" s="86" t="s">
        <v>112</v>
      </c>
      <c r="B91" s="87">
        <v>0</v>
      </c>
      <c r="C91" s="87">
        <v>0</v>
      </c>
      <c r="D91" s="87">
        <v>0</v>
      </c>
      <c r="E91" s="87">
        <v>0</v>
      </c>
      <c r="F91" s="87">
        <v>0</v>
      </c>
      <c r="G91" s="87">
        <v>0</v>
      </c>
      <c r="H91" s="87">
        <v>0</v>
      </c>
      <c r="I91" s="87">
        <v>0</v>
      </c>
      <c r="J91" s="87">
        <v>0</v>
      </c>
      <c r="K91" s="87">
        <v>0</v>
      </c>
      <c r="L91" s="87">
        <v>0</v>
      </c>
      <c r="M91" s="87">
        <v>0</v>
      </c>
      <c r="N91" s="139">
        <f>SUM(B91:M91)</f>
        <v>0</v>
      </c>
      <c r="O91" s="6"/>
    </row>
    <row r="92" spans="1:15" ht="15" customHeight="1" x14ac:dyDescent="0.25">
      <c r="A92" s="140" t="s">
        <v>1004</v>
      </c>
      <c r="B92" s="141">
        <f t="shared" ref="B92:N92" si="1">AVERAGE(B88:B91)</f>
        <v>9.75</v>
      </c>
      <c r="C92" s="141">
        <f t="shared" si="1"/>
        <v>9.75</v>
      </c>
      <c r="D92" s="141">
        <f t="shared" si="1"/>
        <v>8</v>
      </c>
      <c r="E92" s="141">
        <f t="shared" si="1"/>
        <v>8</v>
      </c>
      <c r="F92" s="141">
        <f t="shared" si="1"/>
        <v>8.25</v>
      </c>
      <c r="G92" s="141">
        <f t="shared" si="1"/>
        <v>5.75</v>
      </c>
      <c r="H92" s="141">
        <f t="shared" si="1"/>
        <v>11.5</v>
      </c>
      <c r="I92" s="141">
        <f t="shared" si="1"/>
        <v>8.5</v>
      </c>
      <c r="J92" s="141">
        <f t="shared" si="1"/>
        <v>9</v>
      </c>
      <c r="K92" s="141">
        <f t="shared" si="1"/>
        <v>5.5</v>
      </c>
      <c r="L92" s="141">
        <f t="shared" si="1"/>
        <v>8.75</v>
      </c>
      <c r="M92" s="141">
        <f t="shared" si="1"/>
        <v>4.25</v>
      </c>
      <c r="N92" s="141">
        <f t="shared" si="1"/>
        <v>97</v>
      </c>
      <c r="O92" s="6"/>
    </row>
    <row r="93" spans="1:1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ht="27.75" customHeight="1" x14ac:dyDescent="0.25">
      <c r="A95" s="157" t="s">
        <v>1005</v>
      </c>
      <c r="B95" s="157"/>
      <c r="C95" s="157"/>
      <c r="D95" s="157"/>
      <c r="E95" s="157"/>
      <c r="F95" s="157"/>
      <c r="G95" s="157"/>
      <c r="H95" s="157"/>
      <c r="I95" s="157"/>
      <c r="J95" s="6"/>
      <c r="K95" s="6"/>
      <c r="L95" s="6"/>
      <c r="M95" s="6"/>
      <c r="N95" s="6"/>
      <c r="O95" s="6"/>
    </row>
    <row r="96" spans="1:1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ht="21.75" customHeight="1" x14ac:dyDescent="0.25">
      <c r="A97" s="82" t="s">
        <v>999</v>
      </c>
      <c r="B97" s="82" t="s">
        <v>97</v>
      </c>
      <c r="C97" s="82" t="s">
        <v>98</v>
      </c>
      <c r="D97" s="82" t="s">
        <v>18</v>
      </c>
      <c r="E97" s="82" t="s">
        <v>99</v>
      </c>
      <c r="F97" s="82" t="s">
        <v>100</v>
      </c>
      <c r="G97" s="82" t="s">
        <v>1006</v>
      </c>
      <c r="H97" s="82" t="s">
        <v>101</v>
      </c>
      <c r="I97" s="82" t="s">
        <v>102</v>
      </c>
      <c r="J97" s="6"/>
      <c r="K97" s="6"/>
      <c r="L97" s="6"/>
      <c r="M97" s="6"/>
      <c r="N97" s="6"/>
      <c r="O97" s="6"/>
    </row>
    <row r="98" spans="1:15" ht="15" customHeight="1" x14ac:dyDescent="0.25">
      <c r="A98" s="83" t="s">
        <v>104</v>
      </c>
      <c r="B98" s="90">
        <v>339</v>
      </c>
      <c r="C98" s="90">
        <v>153</v>
      </c>
      <c r="D98" s="84">
        <v>0.45132743362831901</v>
      </c>
      <c r="E98" s="91">
        <v>12.75</v>
      </c>
      <c r="F98" s="90">
        <v>83</v>
      </c>
      <c r="G98" s="90">
        <v>13</v>
      </c>
      <c r="H98" s="84">
        <v>0.54248366013071903</v>
      </c>
      <c r="I98" s="90" t="s">
        <v>110</v>
      </c>
      <c r="J98" s="6"/>
      <c r="K98" s="6"/>
      <c r="L98" s="6"/>
      <c r="M98" s="6"/>
      <c r="N98" s="6"/>
      <c r="O98" s="6"/>
    </row>
    <row r="99" spans="1:15" ht="15" customHeight="1" x14ac:dyDescent="0.25">
      <c r="A99" s="86" t="s">
        <v>105</v>
      </c>
      <c r="B99" s="87">
        <v>339</v>
      </c>
      <c r="C99" s="87">
        <v>136</v>
      </c>
      <c r="D99" s="142">
        <v>0.40117994100295001</v>
      </c>
      <c r="E99" s="88">
        <v>11.3333333333333</v>
      </c>
      <c r="F99" s="87">
        <v>81</v>
      </c>
      <c r="G99" s="87">
        <v>9</v>
      </c>
      <c r="H99" s="142">
        <v>0.59558823529411797</v>
      </c>
      <c r="I99" s="142">
        <v>-5.0147492625368703E-2</v>
      </c>
      <c r="J99" s="6"/>
      <c r="K99" s="6"/>
      <c r="L99" s="6"/>
      <c r="M99" s="6"/>
      <c r="N99" s="6"/>
      <c r="O99" s="6"/>
    </row>
    <row r="100" spans="1:15" ht="15" customHeight="1" x14ac:dyDescent="0.25">
      <c r="A100" s="83" t="s">
        <v>3</v>
      </c>
      <c r="B100" s="90">
        <v>346</v>
      </c>
      <c r="C100" s="90">
        <v>99</v>
      </c>
      <c r="D100" s="84">
        <v>0.28612716763005802</v>
      </c>
      <c r="E100" s="91">
        <v>8.25</v>
      </c>
      <c r="F100" s="90">
        <v>78</v>
      </c>
      <c r="G100" s="90">
        <v>4</v>
      </c>
      <c r="H100" s="84">
        <v>0.78787878787878796</v>
      </c>
      <c r="I100" s="84">
        <v>-0.11505277337289201</v>
      </c>
      <c r="J100" s="6"/>
      <c r="K100" s="6"/>
      <c r="L100" s="6"/>
      <c r="M100" s="6"/>
      <c r="N100" s="6"/>
      <c r="O100" s="6"/>
    </row>
    <row r="101" spans="1:15" ht="15" customHeight="1" x14ac:dyDescent="0.25">
      <c r="A101" s="86" t="s">
        <v>106</v>
      </c>
      <c r="B101" s="87">
        <v>364</v>
      </c>
      <c r="C101" s="87">
        <v>0</v>
      </c>
      <c r="D101" s="142">
        <v>0</v>
      </c>
      <c r="E101" s="88">
        <v>0</v>
      </c>
      <c r="F101" s="87">
        <v>0</v>
      </c>
      <c r="G101" s="87">
        <v>0</v>
      </c>
      <c r="H101" s="142">
        <v>0</v>
      </c>
      <c r="I101" s="142">
        <v>-0.28612716763005802</v>
      </c>
      <c r="J101" s="6"/>
      <c r="K101" s="6"/>
      <c r="L101" s="6"/>
      <c r="M101" s="6"/>
      <c r="N101" s="6"/>
      <c r="O101" s="6"/>
    </row>
    <row r="102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ht="15" customHeight="1" x14ac:dyDescent="0.25">
      <c r="A110" s="143" t="s">
        <v>1003</v>
      </c>
      <c r="B110" s="143" t="s">
        <v>97</v>
      </c>
      <c r="C110" s="143" t="s">
        <v>98</v>
      </c>
      <c r="D110" s="143" t="s">
        <v>18</v>
      </c>
      <c r="E110" s="143" t="s">
        <v>99</v>
      </c>
      <c r="F110" s="143" t="s">
        <v>54</v>
      </c>
      <c r="G110" s="143" t="s">
        <v>65</v>
      </c>
      <c r="H110" s="143" t="s">
        <v>70</v>
      </c>
      <c r="I110" s="143" t="s">
        <v>101</v>
      </c>
      <c r="J110" s="143" t="s">
        <v>1000</v>
      </c>
      <c r="K110" s="6"/>
      <c r="L110" s="6"/>
      <c r="M110" s="6"/>
      <c r="N110" s="6"/>
      <c r="O110" s="6"/>
    </row>
    <row r="111" spans="1:15" ht="15" customHeight="1" x14ac:dyDescent="0.25">
      <c r="A111" s="6" t="s">
        <v>109</v>
      </c>
      <c r="B111" s="6">
        <v>339</v>
      </c>
      <c r="C111" s="6">
        <v>153</v>
      </c>
      <c r="D111" s="6">
        <v>0.45132743362831901</v>
      </c>
      <c r="E111" s="6">
        <v>12.75</v>
      </c>
      <c r="F111" s="6">
        <v>83</v>
      </c>
      <c r="G111" s="6">
        <v>13</v>
      </c>
      <c r="H111" s="6">
        <v>57</v>
      </c>
      <c r="I111" s="6">
        <v>0.54248366013071903</v>
      </c>
      <c r="J111" s="6">
        <v>0.394736842105263</v>
      </c>
      <c r="K111" s="6"/>
      <c r="L111" s="6"/>
      <c r="M111" s="6"/>
      <c r="N111" s="6"/>
      <c r="O111" s="6"/>
    </row>
    <row r="112" spans="1:15" ht="15" customHeight="1" x14ac:dyDescent="0.25">
      <c r="A112" s="6" t="s">
        <v>6</v>
      </c>
      <c r="B112" s="6">
        <v>339</v>
      </c>
      <c r="C112" s="6">
        <v>136</v>
      </c>
      <c r="D112" s="6">
        <v>0.40117994100295001</v>
      </c>
      <c r="E112" s="6">
        <v>11.3333333333333</v>
      </c>
      <c r="F112" s="6">
        <v>81</v>
      </c>
      <c r="G112" s="6">
        <v>9</v>
      </c>
      <c r="H112" s="6">
        <v>46</v>
      </c>
      <c r="I112" s="6">
        <v>0.59558823529411797</v>
      </c>
      <c r="J112" s="6">
        <v>0.34074074074074101</v>
      </c>
      <c r="K112" s="6"/>
      <c r="L112" s="6"/>
      <c r="M112" s="6"/>
      <c r="N112" s="6"/>
      <c r="O112" s="6"/>
    </row>
    <row r="113" spans="1:15" ht="15" customHeight="1" x14ac:dyDescent="0.25">
      <c r="A113" s="6" t="s">
        <v>111</v>
      </c>
      <c r="B113" s="6">
        <v>346</v>
      </c>
      <c r="C113" s="6">
        <v>99</v>
      </c>
      <c r="D113" s="6">
        <v>0.28612716763005802</v>
      </c>
      <c r="E113" s="6">
        <v>8.25</v>
      </c>
      <c r="F113" s="6">
        <v>78</v>
      </c>
      <c r="G113" s="6">
        <v>4</v>
      </c>
      <c r="H113" s="6">
        <v>17</v>
      </c>
      <c r="I113" s="6">
        <v>0.78787878787878796</v>
      </c>
      <c r="J113" s="6">
        <v>0.30612244897959201</v>
      </c>
      <c r="K113" s="6"/>
      <c r="L113" s="6"/>
      <c r="M113" s="6"/>
      <c r="N113" s="6"/>
      <c r="O113" s="6"/>
    </row>
    <row r="114" spans="1:15" ht="15" customHeight="1" x14ac:dyDescent="0.25">
      <c r="A114" s="6" t="s">
        <v>112</v>
      </c>
      <c r="B114" s="6">
        <v>364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/>
      <c r="L114" s="6"/>
      <c r="M114" s="6"/>
      <c r="N114" s="6"/>
      <c r="O114" s="6"/>
    </row>
    <row r="115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" customHeight="1" x14ac:dyDescent="0.25">
      <c r="A117" s="143" t="s">
        <v>50</v>
      </c>
      <c r="B117" s="143" t="s">
        <v>51</v>
      </c>
      <c r="C117" s="143" t="s">
        <v>109</v>
      </c>
      <c r="D117" s="143" t="s">
        <v>6</v>
      </c>
      <c r="E117" s="143" t="s">
        <v>111</v>
      </c>
      <c r="F117" s="143" t="s">
        <v>112</v>
      </c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" customHeight="1" x14ac:dyDescent="0.25">
      <c r="A118" s="6" t="s">
        <v>53</v>
      </c>
      <c r="B118" s="6" t="s">
        <v>54</v>
      </c>
      <c r="C118" s="6">
        <v>6</v>
      </c>
      <c r="D118" s="6">
        <v>13</v>
      </c>
      <c r="E118" s="6">
        <v>63</v>
      </c>
      <c r="F118" s="6">
        <v>0</v>
      </c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" customHeight="1" x14ac:dyDescent="0.25">
      <c r="A119" s="6" t="s">
        <v>56</v>
      </c>
      <c r="B119" s="6" t="s">
        <v>54</v>
      </c>
      <c r="C119" s="6">
        <v>26</v>
      </c>
      <c r="D119" s="6">
        <v>27</v>
      </c>
      <c r="E119" s="6">
        <v>6</v>
      </c>
      <c r="F119" s="6">
        <v>0</v>
      </c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" customHeight="1" x14ac:dyDescent="0.25">
      <c r="A120" s="6" t="s">
        <v>58</v>
      </c>
      <c r="B120" s="6" t="s">
        <v>54</v>
      </c>
      <c r="C120" s="6">
        <v>37</v>
      </c>
      <c r="D120" s="6">
        <v>36</v>
      </c>
      <c r="E120" s="6">
        <v>7</v>
      </c>
      <c r="F120" s="6">
        <v>0</v>
      </c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" customHeight="1" x14ac:dyDescent="0.25">
      <c r="A121" s="6" t="s">
        <v>60</v>
      </c>
      <c r="B121" s="6" t="s">
        <v>54</v>
      </c>
      <c r="C121" s="6">
        <v>11</v>
      </c>
      <c r="D121" s="6">
        <v>4</v>
      </c>
      <c r="E121" s="6">
        <v>1</v>
      </c>
      <c r="F121" s="6">
        <v>0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" customHeight="1" x14ac:dyDescent="0.25">
      <c r="A122" s="6" t="s">
        <v>62</v>
      </c>
      <c r="B122" s="6" t="s">
        <v>54</v>
      </c>
      <c r="C122" s="6">
        <v>3</v>
      </c>
      <c r="D122" s="6">
        <v>1</v>
      </c>
      <c r="E122" s="6">
        <v>0</v>
      </c>
      <c r="F122" s="6">
        <v>0</v>
      </c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" customHeight="1" x14ac:dyDescent="0.25">
      <c r="A123" s="6" t="s">
        <v>64</v>
      </c>
      <c r="B123" s="6" t="s">
        <v>65</v>
      </c>
      <c r="C123" s="6">
        <v>13</v>
      </c>
      <c r="D123" s="6">
        <v>9</v>
      </c>
      <c r="E123" s="6">
        <v>4</v>
      </c>
      <c r="F123" s="6">
        <v>0</v>
      </c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" customHeight="1" x14ac:dyDescent="0.25">
      <c r="A124" s="6" t="s">
        <v>67</v>
      </c>
      <c r="B124" s="6" t="s">
        <v>65</v>
      </c>
      <c r="C124" s="6">
        <v>0</v>
      </c>
      <c r="D124" s="6">
        <v>0</v>
      </c>
      <c r="E124" s="6">
        <v>0</v>
      </c>
      <c r="F124" s="6">
        <v>0</v>
      </c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" customHeight="1" x14ac:dyDescent="0.25">
      <c r="A125" s="6" t="s">
        <v>69</v>
      </c>
      <c r="B125" s="6" t="s">
        <v>70</v>
      </c>
      <c r="C125" s="6">
        <v>30</v>
      </c>
      <c r="D125" s="6">
        <v>27</v>
      </c>
      <c r="E125" s="6">
        <v>8</v>
      </c>
      <c r="F125" s="6">
        <v>0</v>
      </c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" customHeight="1" x14ac:dyDescent="0.25">
      <c r="A126" s="6" t="s">
        <v>72</v>
      </c>
      <c r="B126" s="6" t="s">
        <v>70</v>
      </c>
      <c r="C126" s="6">
        <v>0</v>
      </c>
      <c r="D126" s="6">
        <v>0</v>
      </c>
      <c r="E126" s="6">
        <v>1</v>
      </c>
      <c r="F126" s="6">
        <v>0</v>
      </c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" customHeight="1" x14ac:dyDescent="0.25">
      <c r="A127" s="6" t="s">
        <v>70</v>
      </c>
      <c r="B127" s="6" t="s">
        <v>70</v>
      </c>
      <c r="C127" s="6">
        <v>18</v>
      </c>
      <c r="D127" s="6">
        <v>16</v>
      </c>
      <c r="E127" s="6">
        <v>6</v>
      </c>
      <c r="F127" s="6">
        <v>0</v>
      </c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" customHeight="1" x14ac:dyDescent="0.25">
      <c r="A128" s="6" t="s">
        <v>75</v>
      </c>
      <c r="B128" s="6" t="s">
        <v>70</v>
      </c>
      <c r="C128" s="6">
        <v>7</v>
      </c>
      <c r="D128" s="6">
        <v>2</v>
      </c>
      <c r="E128" s="6">
        <v>1</v>
      </c>
      <c r="F128" s="6">
        <v>0</v>
      </c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" customHeight="1" x14ac:dyDescent="0.25">
      <c r="A129" s="6" t="s">
        <v>77</v>
      </c>
      <c r="B129" s="6" t="s">
        <v>70</v>
      </c>
      <c r="C129" s="6">
        <v>2</v>
      </c>
      <c r="D129" s="6">
        <v>1</v>
      </c>
      <c r="E129" s="6">
        <v>1</v>
      </c>
      <c r="F129" s="6">
        <v>0</v>
      </c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" customHeight="1" x14ac:dyDescent="0.25">
      <c r="A135" s="144" t="s">
        <v>134</v>
      </c>
      <c r="B135" s="144" t="s">
        <v>109</v>
      </c>
      <c r="C135" s="144" t="s">
        <v>6</v>
      </c>
      <c r="D135" s="144" t="s">
        <v>111</v>
      </c>
      <c r="E135" s="144" t="s">
        <v>112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" customHeight="1" x14ac:dyDescent="0.25">
      <c r="A136" s="6" t="s">
        <v>26</v>
      </c>
      <c r="B136" s="6">
        <v>0</v>
      </c>
      <c r="C136" s="6">
        <v>0</v>
      </c>
      <c r="D136" s="6">
        <v>0</v>
      </c>
      <c r="E136" s="6">
        <v>0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" customHeight="1" x14ac:dyDescent="0.25">
      <c r="A137" s="6" t="s">
        <v>28</v>
      </c>
      <c r="B137" s="6">
        <v>0</v>
      </c>
      <c r="C137" s="6">
        <v>0</v>
      </c>
      <c r="D137" s="6">
        <v>0</v>
      </c>
      <c r="E137" s="6">
        <v>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customHeight="1" x14ac:dyDescent="0.25">
      <c r="A138" s="6" t="s">
        <v>30</v>
      </c>
      <c r="B138" s="6">
        <v>0</v>
      </c>
      <c r="C138" s="6">
        <v>0</v>
      </c>
      <c r="D138" s="6">
        <v>0</v>
      </c>
      <c r="E138" s="6">
        <v>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" customHeight="1" x14ac:dyDescent="0.25">
      <c r="A139" s="6" t="s">
        <v>32</v>
      </c>
      <c r="B139" s="6">
        <v>0</v>
      </c>
      <c r="C139" s="6">
        <v>0</v>
      </c>
      <c r="D139" s="6">
        <v>0</v>
      </c>
      <c r="E139" s="6">
        <v>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" customHeight="1" x14ac:dyDescent="0.25">
      <c r="A140" s="6" t="s">
        <v>34</v>
      </c>
      <c r="B140" s="6">
        <v>0</v>
      </c>
      <c r="C140" s="6">
        <v>0</v>
      </c>
      <c r="D140" s="6">
        <v>0</v>
      </c>
      <c r="E140" s="6">
        <v>0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" customHeight="1" x14ac:dyDescent="0.25">
      <c r="A141" s="6" t="s">
        <v>36</v>
      </c>
      <c r="B141" s="6">
        <v>0</v>
      </c>
      <c r="C141" s="6">
        <v>0</v>
      </c>
      <c r="D141" s="6">
        <v>0</v>
      </c>
      <c r="E141" s="6">
        <v>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" customHeight="1" x14ac:dyDescent="0.25">
      <c r="A142" s="6" t="s">
        <v>38</v>
      </c>
      <c r="B142" s="6">
        <v>0</v>
      </c>
      <c r="C142" s="6">
        <v>0</v>
      </c>
      <c r="D142" s="6">
        <v>0</v>
      </c>
      <c r="E142" s="6">
        <v>0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" customHeight="1" x14ac:dyDescent="0.25">
      <c r="A143" s="6" t="s">
        <v>40</v>
      </c>
      <c r="B143" s="6">
        <v>0</v>
      </c>
      <c r="C143" s="6">
        <v>0</v>
      </c>
      <c r="D143" s="6">
        <v>0</v>
      </c>
      <c r="E143" s="6">
        <v>0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" customHeight="1" x14ac:dyDescent="0.25">
      <c r="A144" s="6" t="s">
        <v>42</v>
      </c>
      <c r="B144" s="6">
        <v>0</v>
      </c>
      <c r="C144" s="6">
        <v>0</v>
      </c>
      <c r="D144" s="6">
        <v>1</v>
      </c>
      <c r="E144" s="6">
        <v>0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" customHeight="1" x14ac:dyDescent="0.25">
      <c r="A145" s="6" t="s">
        <v>44</v>
      </c>
      <c r="B145" s="6">
        <v>0</v>
      </c>
      <c r="C145" s="6">
        <v>0</v>
      </c>
      <c r="D145" s="6">
        <v>0</v>
      </c>
      <c r="E145" s="6">
        <v>0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" customHeight="1" x14ac:dyDescent="0.25">
      <c r="A146" s="6" t="s">
        <v>46</v>
      </c>
      <c r="B146" s="6">
        <v>1</v>
      </c>
      <c r="C146" s="6">
        <v>0</v>
      </c>
      <c r="D146" s="6">
        <v>1</v>
      </c>
      <c r="E146" s="6">
        <v>0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" customHeight="1" x14ac:dyDescent="0.25">
      <c r="A147" s="6" t="s">
        <v>47</v>
      </c>
      <c r="B147" s="6">
        <v>0</v>
      </c>
      <c r="C147" s="6">
        <v>0</v>
      </c>
      <c r="D147" s="6">
        <v>1</v>
      </c>
      <c r="E147" s="6">
        <v>0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" customHeight="1" x14ac:dyDescent="0.25">
      <c r="A148" s="6" t="s">
        <v>49</v>
      </c>
      <c r="B148" s="6">
        <v>0</v>
      </c>
      <c r="C148" s="6">
        <v>0</v>
      </c>
      <c r="D148" s="6">
        <v>0</v>
      </c>
      <c r="E148" s="6">
        <v>0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" customHeight="1" x14ac:dyDescent="0.25">
      <c r="A149" s="6" t="s">
        <v>52</v>
      </c>
      <c r="B149" s="6">
        <v>1</v>
      </c>
      <c r="C149" s="6">
        <v>0</v>
      </c>
      <c r="D149" s="6">
        <v>0</v>
      </c>
      <c r="E149" s="6">
        <v>0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" customHeight="1" x14ac:dyDescent="0.25">
      <c r="A150" s="6" t="s">
        <v>55</v>
      </c>
      <c r="B150" s="6">
        <v>0</v>
      </c>
      <c r="C150" s="6">
        <v>0</v>
      </c>
      <c r="D150" s="6">
        <v>0</v>
      </c>
      <c r="E150" s="6">
        <v>0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" customHeight="1" x14ac:dyDescent="0.25">
      <c r="A151" s="6" t="s">
        <v>57</v>
      </c>
      <c r="B151" s="6">
        <v>0</v>
      </c>
      <c r="C151" s="6">
        <v>0</v>
      </c>
      <c r="D151" s="6">
        <v>0</v>
      </c>
      <c r="E151" s="6">
        <v>0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" customHeight="1" x14ac:dyDescent="0.25">
      <c r="A152" s="6" t="s">
        <v>59</v>
      </c>
      <c r="B152" s="6">
        <v>0</v>
      </c>
      <c r="C152" s="6">
        <v>0</v>
      </c>
      <c r="D152" s="6">
        <v>0</v>
      </c>
      <c r="E152" s="6">
        <v>0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" customHeight="1" x14ac:dyDescent="0.25">
      <c r="A153" s="6" t="s">
        <v>61</v>
      </c>
      <c r="B153" s="6">
        <v>0</v>
      </c>
      <c r="C153" s="6">
        <v>0</v>
      </c>
      <c r="D153" s="6">
        <v>0</v>
      </c>
      <c r="E153" s="6">
        <v>0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" customHeight="1" x14ac:dyDescent="0.25">
      <c r="A154" s="6" t="s">
        <v>66</v>
      </c>
      <c r="B154" s="6">
        <v>111</v>
      </c>
      <c r="C154" s="6">
        <v>97</v>
      </c>
      <c r="D154" s="6">
        <v>52</v>
      </c>
      <c r="E154" s="6">
        <v>0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" customHeight="1" x14ac:dyDescent="0.25">
      <c r="A155" s="144" t="s">
        <v>68</v>
      </c>
      <c r="B155" s="144">
        <v>3</v>
      </c>
      <c r="C155" s="144">
        <v>5</v>
      </c>
      <c r="D155" s="144">
        <v>8</v>
      </c>
      <c r="E155" s="144">
        <v>0</v>
      </c>
      <c r="F155" s="144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" customHeight="1" x14ac:dyDescent="0.25">
      <c r="A156" s="6" t="s">
        <v>71</v>
      </c>
      <c r="B156" s="6">
        <v>1</v>
      </c>
      <c r="C156" s="6">
        <v>2</v>
      </c>
      <c r="D156" s="6">
        <v>0</v>
      </c>
      <c r="E156" s="6">
        <v>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" customHeight="1" x14ac:dyDescent="0.25">
      <c r="A157" s="6" t="s">
        <v>74</v>
      </c>
      <c r="B157" s="6">
        <v>1</v>
      </c>
      <c r="C157" s="6">
        <v>1</v>
      </c>
      <c r="D157" s="6">
        <v>6</v>
      </c>
      <c r="E157" s="6">
        <v>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" customHeight="1" x14ac:dyDescent="0.25">
      <c r="A158" s="6" t="s">
        <v>76</v>
      </c>
      <c r="B158" s="6">
        <v>7</v>
      </c>
      <c r="C158" s="6">
        <v>5</v>
      </c>
      <c r="D158" s="6">
        <v>3</v>
      </c>
      <c r="E158" s="6">
        <v>0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" customHeight="1" x14ac:dyDescent="0.25">
      <c r="A159" s="6" t="s">
        <v>78</v>
      </c>
      <c r="B159" s="6">
        <v>1</v>
      </c>
      <c r="C159" s="6">
        <v>1</v>
      </c>
      <c r="D159" s="6">
        <v>1</v>
      </c>
      <c r="E159" s="6">
        <v>0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" customHeight="1" x14ac:dyDescent="0.25">
      <c r="A160" s="6" t="s">
        <v>80</v>
      </c>
      <c r="B160" s="6">
        <v>1</v>
      </c>
      <c r="C160" s="6">
        <v>4</v>
      </c>
      <c r="D160" s="6">
        <v>2</v>
      </c>
      <c r="E160" s="6">
        <v>0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" customHeight="1" x14ac:dyDescent="0.25">
      <c r="A161" s="6" t="s">
        <v>81</v>
      </c>
      <c r="B161" s="6">
        <v>2</v>
      </c>
      <c r="C161" s="6">
        <v>1</v>
      </c>
      <c r="D161" s="6">
        <v>4</v>
      </c>
      <c r="E161" s="6">
        <v>0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" customHeight="1" x14ac:dyDescent="0.25">
      <c r="A162" s="6" t="s">
        <v>83</v>
      </c>
      <c r="B162" s="6">
        <v>6</v>
      </c>
      <c r="C162" s="6">
        <v>7</v>
      </c>
      <c r="D162" s="6">
        <v>7</v>
      </c>
      <c r="E162" s="6">
        <v>0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" customHeight="1" x14ac:dyDescent="0.25">
      <c r="A163" s="6" t="s">
        <v>84</v>
      </c>
      <c r="B163" s="6">
        <v>4</v>
      </c>
      <c r="C163" s="6">
        <v>3</v>
      </c>
      <c r="D163" s="6">
        <v>0</v>
      </c>
      <c r="E163" s="6">
        <v>0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" customHeight="1" x14ac:dyDescent="0.25">
      <c r="A164" s="6" t="s">
        <v>87</v>
      </c>
      <c r="B164" s="6">
        <v>0</v>
      </c>
      <c r="C164" s="6">
        <v>1</v>
      </c>
      <c r="D164" s="6">
        <v>3</v>
      </c>
      <c r="E164" s="6">
        <v>0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" customHeight="1" x14ac:dyDescent="0.25">
      <c r="A165" s="6" t="s">
        <v>89</v>
      </c>
      <c r="B165" s="6">
        <v>0</v>
      </c>
      <c r="C165" s="6">
        <v>3</v>
      </c>
      <c r="D165" s="6">
        <v>3</v>
      </c>
      <c r="E165" s="6">
        <v>0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" customHeight="1" x14ac:dyDescent="0.25">
      <c r="A166" s="6" t="s">
        <v>91</v>
      </c>
      <c r="B166" s="6">
        <v>0</v>
      </c>
      <c r="C166" s="6">
        <v>0</v>
      </c>
      <c r="D166" s="6">
        <v>3</v>
      </c>
      <c r="E166" s="6">
        <v>0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" customHeight="1" x14ac:dyDescent="0.25">
      <c r="A167" s="6" t="s">
        <v>70</v>
      </c>
      <c r="B167" s="6">
        <v>14</v>
      </c>
      <c r="C167" s="6">
        <v>6</v>
      </c>
      <c r="D167" s="6">
        <v>4</v>
      </c>
      <c r="E167" s="6">
        <v>0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" customHeight="1" x14ac:dyDescent="0.25">
      <c r="A175" s="144" t="s">
        <v>50</v>
      </c>
      <c r="B175" s="144" t="s">
        <v>51</v>
      </c>
      <c r="C175" s="144" t="s">
        <v>109</v>
      </c>
      <c r="D175" s="144" t="s">
        <v>6</v>
      </c>
      <c r="E175" s="144" t="s">
        <v>111</v>
      </c>
      <c r="F175" s="144" t="s">
        <v>112</v>
      </c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" customHeight="1" x14ac:dyDescent="0.25">
      <c r="A176" s="6" t="s">
        <v>53</v>
      </c>
      <c r="B176" s="6" t="s">
        <v>54</v>
      </c>
      <c r="C176" s="6">
        <v>6</v>
      </c>
      <c r="D176" s="6">
        <v>13</v>
      </c>
      <c r="E176" s="6">
        <v>64</v>
      </c>
      <c r="F176" s="6">
        <v>0</v>
      </c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" customHeight="1" x14ac:dyDescent="0.25">
      <c r="A177" s="6" t="s">
        <v>56</v>
      </c>
      <c r="B177" s="6" t="s">
        <v>54</v>
      </c>
      <c r="C177" s="6">
        <v>26</v>
      </c>
      <c r="D177" s="6">
        <v>27</v>
      </c>
      <c r="E177" s="6">
        <v>6</v>
      </c>
      <c r="F177" s="6">
        <v>0</v>
      </c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" customHeight="1" x14ac:dyDescent="0.25">
      <c r="A178" s="6" t="s">
        <v>58</v>
      </c>
      <c r="B178" s="6" t="s">
        <v>54</v>
      </c>
      <c r="C178" s="6">
        <v>37</v>
      </c>
      <c r="D178" s="6">
        <v>36</v>
      </c>
      <c r="E178" s="6">
        <v>7</v>
      </c>
      <c r="F178" s="6">
        <v>0</v>
      </c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" customHeight="1" x14ac:dyDescent="0.25">
      <c r="A179" s="6" t="s">
        <v>60</v>
      </c>
      <c r="B179" s="6" t="s">
        <v>54</v>
      </c>
      <c r="C179" s="6">
        <v>11</v>
      </c>
      <c r="D179" s="6">
        <v>4</v>
      </c>
      <c r="E179" s="6">
        <v>1</v>
      </c>
      <c r="F179" s="6">
        <v>0</v>
      </c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" customHeight="1" x14ac:dyDescent="0.25">
      <c r="A180" s="6" t="s">
        <v>62</v>
      </c>
      <c r="B180" s="6" t="s">
        <v>54</v>
      </c>
      <c r="C180" s="6">
        <v>3</v>
      </c>
      <c r="D180" s="6">
        <v>1</v>
      </c>
      <c r="E180" s="6">
        <v>0</v>
      </c>
      <c r="F180" s="6">
        <v>0</v>
      </c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" customHeight="1" x14ac:dyDescent="0.25">
      <c r="A181" s="6" t="s">
        <v>64</v>
      </c>
      <c r="B181" s="6" t="s">
        <v>65</v>
      </c>
      <c r="C181" s="6">
        <v>13</v>
      </c>
      <c r="D181" s="6">
        <v>9</v>
      </c>
      <c r="E181" s="6">
        <v>4</v>
      </c>
      <c r="F181" s="6">
        <v>0</v>
      </c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" customHeight="1" x14ac:dyDescent="0.25">
      <c r="A182" s="6" t="s">
        <v>67</v>
      </c>
      <c r="B182" s="6" t="s">
        <v>65</v>
      </c>
      <c r="C182" s="6">
        <v>0</v>
      </c>
      <c r="D182" s="6">
        <v>0</v>
      </c>
      <c r="E182" s="6">
        <v>0</v>
      </c>
      <c r="F182" s="6">
        <v>0</v>
      </c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" customHeight="1" x14ac:dyDescent="0.25">
      <c r="A183" s="6" t="s">
        <v>69</v>
      </c>
      <c r="B183" s="6" t="s">
        <v>70</v>
      </c>
      <c r="C183" s="6">
        <v>30</v>
      </c>
      <c r="D183" s="6">
        <v>27</v>
      </c>
      <c r="E183" s="6">
        <v>8</v>
      </c>
      <c r="F183" s="6">
        <v>0</v>
      </c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" customHeight="1" x14ac:dyDescent="0.25">
      <c r="A184" s="6" t="s">
        <v>72</v>
      </c>
      <c r="B184" s="6" t="s">
        <v>70</v>
      </c>
      <c r="C184" s="6">
        <v>0</v>
      </c>
      <c r="D184" s="6">
        <v>0</v>
      </c>
      <c r="E184" s="6">
        <v>1</v>
      </c>
      <c r="F184" s="6">
        <v>0</v>
      </c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customHeight="1" x14ac:dyDescent="0.25">
      <c r="A185" s="6" t="s">
        <v>70</v>
      </c>
      <c r="B185" s="6" t="s">
        <v>70</v>
      </c>
      <c r="C185" s="6">
        <v>18</v>
      </c>
      <c r="D185" s="6">
        <v>16</v>
      </c>
      <c r="E185" s="6">
        <v>6</v>
      </c>
      <c r="F185" s="6">
        <v>0</v>
      </c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" customHeight="1" x14ac:dyDescent="0.25">
      <c r="A186" s="6" t="s">
        <v>75</v>
      </c>
      <c r="B186" s="6" t="s">
        <v>70</v>
      </c>
      <c r="C186" s="6">
        <v>7</v>
      </c>
      <c r="D186" s="6">
        <v>2</v>
      </c>
      <c r="E186" s="6">
        <v>1</v>
      </c>
      <c r="F186" s="6">
        <v>0</v>
      </c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" customHeight="1" x14ac:dyDescent="0.25">
      <c r="A187" s="6" t="s">
        <v>77</v>
      </c>
      <c r="B187" s="6" t="s">
        <v>70</v>
      </c>
      <c r="C187" s="6">
        <v>2</v>
      </c>
      <c r="D187" s="6">
        <v>1</v>
      </c>
      <c r="E187" s="6">
        <v>1</v>
      </c>
      <c r="F187" s="6">
        <v>0</v>
      </c>
      <c r="G187" s="6"/>
      <c r="H187" s="6"/>
      <c r="I187" s="6"/>
      <c r="J187" s="6"/>
      <c r="K187" s="6"/>
      <c r="L187" s="6"/>
      <c r="M187" s="6"/>
      <c r="N187" s="6"/>
      <c r="O187" s="6"/>
    </row>
  </sheetData>
  <mergeCells count="2">
    <mergeCell ref="A85:N85"/>
    <mergeCell ref="A95:I9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A5A6"/>
  </sheetPr>
  <dimension ref="A1:L175"/>
  <sheetViews>
    <sheetView topLeftCell="A151" zoomScaleNormal="100" workbookViewId="0"/>
  </sheetViews>
  <sheetFormatPr defaultColWidth="8.7109375" defaultRowHeight="15" x14ac:dyDescent="0.25"/>
  <cols>
    <col min="1" max="1" width="26" customWidth="1"/>
    <col min="3" max="3" width="26" customWidth="1"/>
    <col min="5" max="5" width="26" customWidth="1"/>
    <col min="7" max="7" width="26" customWidth="1"/>
    <col min="9" max="10" width="28" customWidth="1"/>
    <col min="12" max="12" width="26" customWidth="1"/>
  </cols>
  <sheetData>
    <row r="1" spans="1:12" ht="15" customHeight="1" x14ac:dyDescent="0.25">
      <c r="A1" s="145" t="s">
        <v>1007</v>
      </c>
      <c r="B1" s="145" t="inlineStr">
        <is>
          <t xml:space="preserve">Rehire Eligibility</t>
        </is>
      </c>
      <c r="C1" s="145" t="s">
        <v>1008</v>
      </c>
      <c r="D1" s="145" t="inlineStr">
        <is>
          <t xml:space="preserve">Reason Category</t>
        </is>
      </c>
      <c r="E1" s="145" t="s">
        <v>1009</v>
      </c>
      <c r="F1" s="6"/>
      <c r="G1" s="145" t="s">
        <v>156</v>
      </c>
      <c r="H1" s="145" t="inlineStr">
        <is>
          <t xml:space="preserve">Status Meaning</t>
        </is>
      </c>
      <c r="I1" s="145" t="s">
        <v>1010</v>
      </c>
      <c r="J1" s="145" t="s">
        <v>162</v>
      </c>
      <c r="K1" s="6"/>
      <c r="L1" s="145" t="s">
        <v>1011</v>
      </c>
      <c r="N1" t="inlineStr" s="145">
        <is>
          <t xml:space="preserve">FY</t>
        </is>
      </c>
      <c r="O1" t="inlineStr" s="145">
        <is>
          <t xml:space="preserve">Active Emp (FY start)</t>
        </is>
      </c>
    </row>
    <row r="2" spans="1:12" ht="15" customHeight="1" x14ac:dyDescent="0.25">
      <c r="A2" s="80" t="s">
        <v>26</v>
      </c>
      <c r="B2" s="80" t="inlineStr">
        <is>
          <t xml:space="preserve">Yes</t>
        </is>
      </c>
      <c r="C2" s="80" t="s">
        <v>77</v>
      </c>
      <c r="D2" s="80" t="inlineStr">
        <is>
          <t xml:space="preserve">Involuntary</t>
        </is>
      </c>
      <c r="E2" s="80" t="s">
        <v>248</v>
      </c>
      <c r="F2" s="6"/>
      <c r="G2" s="80" t="s">
        <v>191</v>
      </c>
      <c r="H2" s="80" t="inlineStr">
        <is>
          <t xml:space="preserve">Uneligible for rehire</t>
        </is>
      </c>
      <c r="I2" s="80" t="s">
        <v>1012</v>
      </c>
      <c r="J2" s="80" t="s">
        <v>259</v>
      </c>
      <c r="K2" s="6"/>
      <c r="L2" s="80" t="s">
        <v>1013</v>
      </c>
      <c r="N2" t="inlineStr" s="80">
        <is>
          <t xml:space="preserve">FY 2023</t>
        </is>
      </c>
      <c r="O2" s="80">
        <v>339</v>
      </c>
    </row>
    <row r="3" spans="1:12" ht="15" customHeight="1" x14ac:dyDescent="0.25">
      <c r="A3" s="77" t="s">
        <v>226</v>
      </c>
      <c r="B3" s="77" t="inlineStr">
        <is>
          <t xml:space="preserve">No</t>
        </is>
      </c>
      <c r="C3" s="77" t="s">
        <v>56</v>
      </c>
      <c r="D3" s="77" t="inlineStr">
        <is>
          <t xml:space="preserve">Voluntary</t>
        </is>
      </c>
      <c r="E3" s="77" t="s">
        <v>983</v>
      </c>
      <c r="F3" s="6"/>
      <c r="G3" s="77" t="s">
        <v>180</v>
      </c>
      <c r="H3" s="77" t="inlineStr">
        <is>
          <t xml:space="preserve">Discharged / terminated</t>
        </is>
      </c>
      <c r="I3" s="77" t="s">
        <v>259</v>
      </c>
      <c r="J3" s="77" t="s">
        <v>259</v>
      </c>
      <c r="K3" s="6"/>
      <c r="L3" s="77" t="s">
        <v>1014</v>
      </c>
      <c r="N3" t="inlineStr" s="80">
        <is>
          <t xml:space="preserve">FY 2024</t>
        </is>
      </c>
      <c r="O3" s="80">
        <v>339</v>
      </c>
    </row>
    <row r="4" spans="1:12" ht="15" customHeight="1" x14ac:dyDescent="0.25">
      <c r="A4" s="80" t="s">
        <v>483</v>
      </c>
      <c r="B4" s="6"/>
      <c r="C4" s="80" t="s">
        <v>72</v>
      </c>
      <c r="D4" s="80" t="inlineStr">
        <is>
          <t xml:space="preserve">Other</t>
        </is>
      </c>
      <c r="E4" s="80" t="s">
        <v>1015</v>
      </c>
      <c r="F4" s="6"/>
      <c r="G4" s="6"/>
      <c r="H4" s="6"/>
      <c r="I4" s="80" t="s">
        <v>330</v>
      </c>
      <c r="J4" s="80" t="s">
        <v>259</v>
      </c>
      <c r="K4" s="6"/>
      <c r="L4" s="80" t="s">
        <v>481</v>
      </c>
      <c r="N4" t="inlineStr" s="80">
        <is>
          <t xml:space="preserve">FY 2025</t>
        </is>
      </c>
      <c r="O4" s="80">
        <v>346</v>
      </c>
    </row>
    <row r="5" spans="1:12" ht="15" customHeight="1" x14ac:dyDescent="0.25">
      <c r="A5" s="77" t="s">
        <v>66</v>
      </c>
      <c r="B5" s="6"/>
      <c r="C5" s="77" t="s">
        <v>69</v>
      </c>
      <c r="D5" s="77" t="inlineStr">
        <is>
          <t xml:space="preserve">Involuntary</t>
        </is>
      </c>
      <c r="E5" s="77" t="s">
        <v>211</v>
      </c>
      <c r="F5" s="6"/>
      <c r="G5" s="6"/>
      <c r="H5" s="6"/>
      <c r="I5" s="77" t="s">
        <v>934</v>
      </c>
      <c r="J5" s="77" t="s">
        <v>259</v>
      </c>
      <c r="K5" s="6"/>
      <c r="L5" s="77" t="s">
        <v>259</v>
      </c>
      <c r="N5" t="inlineStr" s="80">
        <is>
          <t xml:space="preserve">FY 2026</t>
        </is>
      </c>
      <c r="O5" s="80">
        <v>366</v>
      </c>
    </row>
    <row r="6" spans="1:12" ht="15" customHeight="1" x14ac:dyDescent="0.25">
      <c r="A6" s="80" t="s">
        <v>68</v>
      </c>
      <c r="B6" s="6"/>
      <c r="C6" s="80" t="s">
        <v>67</v>
      </c>
      <c r="D6" s="80" t="inlineStr">
        <is>
          <t xml:space="preserve">Involuntary</t>
        </is>
      </c>
      <c r="E6" s="80" t="s">
        <v>234</v>
      </c>
      <c r="F6" s="6"/>
      <c r="G6" s="6"/>
      <c r="H6" s="6"/>
      <c r="I6" s="80" t="s">
        <v>76</v>
      </c>
      <c r="J6" s="80" t="s">
        <v>1014</v>
      </c>
      <c r="K6" s="6"/>
      <c r="L6" s="80" t="s">
        <v>406</v>
      </c>
      <c r="N6" t="inlineStr" s="80">
        <is>
          <t xml:space="preserve">FY 2027</t>
        </is>
      </c>
      <c r="O6" s="80">
        <v>364</v>
      </c>
    </row>
    <row r="7" spans="1:12" ht="15" customHeight="1" x14ac:dyDescent="0.25">
      <c r="A7" s="77" t="s">
        <v>71</v>
      </c>
      <c r="B7" s="6"/>
      <c r="C7" s="77" t="s">
        <v>70</v>
      </c>
      <c r="D7" s="77" t="inlineStr">
        <is>
          <t xml:space="preserve">Other</t>
        </is>
      </c>
      <c r="E7" s="77" t="s">
        <v>371</v>
      </c>
      <c r="F7" s="6"/>
      <c r="G7" s="6"/>
      <c r="H7" s="6"/>
      <c r="I7" s="77" t="s">
        <v>403</v>
      </c>
      <c r="J7" s="77" t="s">
        <v>1014</v>
      </c>
      <c r="K7" s="6"/>
      <c r="L7" s="77" t="s">
        <v>87</v>
      </c>
    </row>
    <row r="8" spans="1:12" ht="15" customHeight="1" x14ac:dyDescent="0.25">
      <c r="A8" s="80" t="s">
        <v>74</v>
      </c>
      <c r="B8" s="6"/>
      <c r="C8" s="80" t="s">
        <v>75</v>
      </c>
      <c r="D8" s="80" t="inlineStr">
        <is>
          <t xml:space="preserve">Involuntary</t>
        </is>
      </c>
      <c r="E8" s="80" t="s">
        <v>1016</v>
      </c>
      <c r="F8" s="6"/>
      <c r="G8" s="6"/>
      <c r="H8" s="6"/>
      <c r="I8" s="80" t="s">
        <v>1017</v>
      </c>
      <c r="J8" s="80" t="s">
        <v>1014</v>
      </c>
      <c r="K8" s="6"/>
      <c r="L8" s="80" t="s">
        <v>660</v>
      </c>
    </row>
    <row r="9" spans="1:12" ht="15" customHeight="1" x14ac:dyDescent="0.25">
      <c r="A9" s="77" t="s">
        <v>76</v>
      </c>
      <c r="B9" s="6"/>
      <c r="C9" s="77" t="s">
        <v>58</v>
      </c>
      <c r="D9" s="77" t="inlineStr">
        <is>
          <t xml:space="preserve">Voluntary</t>
        </is>
      </c>
      <c r="E9" s="77" t="s">
        <v>1018</v>
      </c>
      <c r="F9" s="6"/>
      <c r="G9" s="6"/>
      <c r="H9" s="6"/>
      <c r="I9" s="77" t="s">
        <v>473</v>
      </c>
      <c r="J9" s="77" t="s">
        <v>1014</v>
      </c>
      <c r="K9" s="6"/>
      <c r="L9" s="77" t="s">
        <v>78</v>
      </c>
    </row>
    <row r="10" spans="1:12" ht="15" customHeight="1" x14ac:dyDescent="0.25">
      <c r="A10" s="80" t="s">
        <v>83</v>
      </c>
      <c r="B10" s="6"/>
      <c r="C10" s="80" t="s">
        <v>60</v>
      </c>
      <c r="D10" s="80" t="inlineStr">
        <is>
          <t xml:space="preserve">Voluntary</t>
        </is>
      </c>
      <c r="E10" s="80" t="s">
        <v>208</v>
      </c>
      <c r="F10" s="6"/>
      <c r="G10" s="6"/>
      <c r="H10" s="6"/>
      <c r="I10" s="80" t="s">
        <v>285</v>
      </c>
      <c r="J10" s="80" t="s">
        <v>1014</v>
      </c>
      <c r="K10" s="6"/>
      <c r="L10" s="80" t="s">
        <v>91</v>
      </c>
    </row>
    <row r="11" spans="1:12" ht="15" customHeight="1" x14ac:dyDescent="0.25">
      <c r="A11" s="77" t="s">
        <v>87</v>
      </c>
      <c r="B11" s="6"/>
      <c r="C11" s="77" t="s">
        <v>53</v>
      </c>
      <c r="D11" s="77" t="inlineStr">
        <is>
          <t xml:space="preserve">Voluntary</t>
        </is>
      </c>
      <c r="E11" s="77" t="s">
        <v>1019</v>
      </c>
      <c r="F11" s="6"/>
      <c r="G11" s="6"/>
      <c r="H11" s="6"/>
      <c r="I11" s="77" t="s">
        <v>445</v>
      </c>
      <c r="J11" s="77" t="s">
        <v>1014</v>
      </c>
      <c r="K11" s="6"/>
      <c r="L11" s="6"/>
    </row>
    <row r="12" spans="1:12" ht="15" customHeight="1" x14ac:dyDescent="0.25">
      <c r="A12" s="80" t="s">
        <v>78</v>
      </c>
      <c r="B12" s="6"/>
      <c r="C12" s="80" t="s">
        <v>62</v>
      </c>
      <c r="D12" s="80" t="inlineStr">
        <is>
          <t xml:space="preserve">Voluntary</t>
        </is>
      </c>
      <c r="E12" s="80" t="s">
        <v>1020</v>
      </c>
      <c r="F12" s="6"/>
      <c r="G12" s="6"/>
      <c r="H12" s="6"/>
      <c r="I12" s="80" t="s">
        <v>1021</v>
      </c>
      <c r="J12" s="80" t="s">
        <v>1014</v>
      </c>
      <c r="K12" s="6"/>
      <c r="L12" s="6"/>
    </row>
    <row r="13" spans="1:12" ht="15" customHeight="1" x14ac:dyDescent="0.25">
      <c r="A13" s="77" t="s">
        <v>80</v>
      </c>
      <c r="B13" s="6"/>
      <c r="C13" s="77" t="s">
        <v>64</v>
      </c>
      <c r="D13" s="77" t="inlineStr">
        <is>
          <t xml:space="preserve">Involuntary</t>
        </is>
      </c>
      <c r="E13" s="77" t="s">
        <v>1022</v>
      </c>
      <c r="F13" s="6"/>
      <c r="G13" s="6"/>
      <c r="H13" s="6"/>
      <c r="I13" s="77" t="s">
        <v>303</v>
      </c>
      <c r="J13" s="77" t="s">
        <v>1014</v>
      </c>
      <c r="K13" s="6"/>
      <c r="L13" s="6"/>
    </row>
    <row r="14" spans="1:12" ht="15" customHeight="1" x14ac:dyDescent="0.25">
      <c r="A14" s="80" t="s">
        <v>81</v>
      </c>
      <c r="B14" s="6"/>
      <c r="C14" s="77" t="inlineStr">
        <is>
          <t xml:space="preserve">Resignation without Notice</t>
        </is>
      </c>
      <c r="D14" s="77" t="inlineStr">
        <is>
          <t xml:space="preserve">Voluntary</t>
        </is>
      </c>
      <c r="E14" s="80" t="s">
        <v>218</v>
      </c>
      <c r="F14" s="6"/>
      <c r="G14" s="6"/>
      <c r="H14" s="6"/>
      <c r="I14" s="80" t="s">
        <v>1023</v>
      </c>
      <c r="J14" s="80" t="s">
        <v>1014</v>
      </c>
      <c r="K14" s="6"/>
      <c r="L14" s="6"/>
    </row>
    <row r="15" spans="1:12" ht="15" customHeight="1" x14ac:dyDescent="0.25">
      <c r="A15" s="77" t="s">
        <v>84</v>
      </c>
      <c r="B15" s="6"/>
      <c r="C15" s="6"/>
      <c r="D15" s="6"/>
      <c r="E15" s="77" t="s">
        <v>475</v>
      </c>
      <c r="F15" s="6"/>
      <c r="G15" s="6"/>
      <c r="H15" s="6"/>
      <c r="I15" s="77" t="s">
        <v>660</v>
      </c>
      <c r="J15" s="77" t="s">
        <v>660</v>
      </c>
      <c r="K15" s="6"/>
      <c r="L15" s="6"/>
    </row>
    <row r="16" spans="1:12" ht="15" customHeight="1" x14ac:dyDescent="0.25">
      <c r="A16" s="80" t="s">
        <v>89</v>
      </c>
      <c r="B16" s="6"/>
      <c r="C16" s="6"/>
      <c r="D16" s="6"/>
      <c r="E16" s="80" t="s">
        <v>1024</v>
      </c>
      <c r="F16" s="6"/>
      <c r="G16" s="6"/>
      <c r="H16" s="6"/>
      <c r="I16" s="80" t="s">
        <v>973</v>
      </c>
      <c r="J16" s="80" t="s">
        <v>660</v>
      </c>
      <c r="K16" s="6"/>
      <c r="L16" s="6"/>
    </row>
    <row r="17" spans="1:12" ht="15" customHeight="1" x14ac:dyDescent="0.25">
      <c r="A17" s="77" t="s">
        <v>91</v>
      </c>
      <c r="B17" s="6"/>
      <c r="C17" s="6"/>
      <c r="D17" s="6"/>
      <c r="E17" s="77" t="s">
        <v>1025</v>
      </c>
      <c r="F17" s="6"/>
      <c r="G17" s="6"/>
      <c r="H17" s="6"/>
      <c r="I17" s="77" t="s">
        <v>1026</v>
      </c>
      <c r="J17" s="77" t="s">
        <v>660</v>
      </c>
      <c r="K17" s="6"/>
      <c r="L17" s="6"/>
    </row>
    <row r="18" spans="1:12" ht="15" customHeight="1" x14ac:dyDescent="0.25">
      <c r="A18" s="80" t="s">
        <v>70</v>
      </c>
      <c r="B18" s="6"/>
      <c r="C18" s="6"/>
      <c r="D18" s="6"/>
      <c r="E18" s="80" t="s">
        <v>1027</v>
      </c>
      <c r="F18" s="6"/>
      <c r="G18" s="6"/>
      <c r="H18" s="6"/>
      <c r="I18" s="80" t="s">
        <v>547</v>
      </c>
      <c r="J18" s="80" t="s">
        <v>660</v>
      </c>
      <c r="K18" s="6"/>
      <c r="L18" s="6"/>
    </row>
    <row r="19" spans="1:12" ht="15" customHeight="1" x14ac:dyDescent="0.25">
      <c r="A19" s="6"/>
      <c r="B19" s="6"/>
      <c r="C19" s="6"/>
      <c r="D19" s="6"/>
      <c r="E19" s="77" t="s">
        <v>744</v>
      </c>
      <c r="F19" s="6"/>
      <c r="G19" s="6"/>
      <c r="H19" s="6"/>
      <c r="I19" s="77" t="s">
        <v>738</v>
      </c>
      <c r="J19" s="77" t="s">
        <v>660</v>
      </c>
      <c r="K19" s="6"/>
      <c r="L19" s="6"/>
    </row>
    <row r="20" spans="1:12" ht="15" customHeight="1" x14ac:dyDescent="0.25">
      <c r="A20" s="6"/>
      <c r="B20" s="6"/>
      <c r="C20" s="6"/>
      <c r="D20" s="6"/>
      <c r="E20" s="80" t="s">
        <v>1028</v>
      </c>
      <c r="F20" s="6"/>
      <c r="G20" s="6"/>
      <c r="H20" s="6"/>
      <c r="I20" s="80" t="s">
        <v>388</v>
      </c>
      <c r="J20" s="80" t="s">
        <v>660</v>
      </c>
      <c r="K20" s="6"/>
      <c r="L20" s="6"/>
    </row>
    <row r="21" spans="1:12" ht="15" customHeight="1" x14ac:dyDescent="0.25">
      <c r="A21" s="6"/>
      <c r="B21" s="6"/>
      <c r="C21" s="6"/>
      <c r="D21" s="6"/>
      <c r="E21" s="77" t="s">
        <v>533</v>
      </c>
      <c r="F21" s="6"/>
      <c r="G21" s="6"/>
      <c r="H21" s="6"/>
      <c r="I21" s="77" t="s">
        <v>78</v>
      </c>
      <c r="J21" s="77" t="s">
        <v>78</v>
      </c>
      <c r="K21" s="6"/>
      <c r="L21" s="6"/>
    </row>
    <row r="22" spans="1:12" ht="15" customHeight="1" x14ac:dyDescent="0.25">
      <c r="A22" s="6"/>
      <c r="B22" s="6"/>
      <c r="C22" s="6"/>
      <c r="D22" s="6"/>
      <c r="E22" s="80" t="s">
        <v>600</v>
      </c>
      <c r="F22" s="6"/>
      <c r="G22" s="6"/>
      <c r="H22" s="6"/>
      <c r="I22" s="80" t="s">
        <v>87</v>
      </c>
      <c r="J22" s="80" t="s">
        <v>87</v>
      </c>
      <c r="K22" s="6"/>
      <c r="L22" s="6"/>
    </row>
    <row r="23" spans="1:12" ht="15" customHeight="1" x14ac:dyDescent="0.25">
      <c r="A23" s="6"/>
      <c r="B23" s="6"/>
      <c r="C23" s="6"/>
      <c r="D23" s="6"/>
      <c r="E23" s="77" t="s">
        <v>1029</v>
      </c>
      <c r="F23" s="6"/>
      <c r="G23" s="6"/>
      <c r="H23" s="6"/>
      <c r="I23" s="77" t="s">
        <v>89</v>
      </c>
      <c r="J23" s="77" t="s">
        <v>406</v>
      </c>
      <c r="K23" s="6"/>
      <c r="L23" s="6"/>
    </row>
    <row r="24" spans="1:12" ht="15" customHeight="1" x14ac:dyDescent="0.25">
      <c r="A24" s="6"/>
      <c r="B24" s="6"/>
      <c r="C24" s="6"/>
      <c r="D24" s="6"/>
      <c r="E24" s="80" t="s">
        <v>199</v>
      </c>
      <c r="F24" s="6"/>
      <c r="G24" s="6"/>
      <c r="H24" s="6"/>
      <c r="I24" s="80" t="s">
        <v>406</v>
      </c>
      <c r="J24" s="80" t="s">
        <v>406</v>
      </c>
      <c r="K24" s="6"/>
      <c r="L24" s="6"/>
    </row>
    <row r="25" spans="1:12" ht="15" customHeight="1" x14ac:dyDescent="0.25">
      <c r="A25" s="6"/>
      <c r="B25" s="6"/>
      <c r="C25" s="6"/>
      <c r="D25" s="6"/>
      <c r="E25" s="77" t="s">
        <v>1030</v>
      </c>
      <c r="F25" s="6"/>
      <c r="G25" s="6"/>
      <c r="H25" s="6"/>
      <c r="I25" s="77" t="s">
        <v>248</v>
      </c>
      <c r="J25" s="77" t="s">
        <v>1013</v>
      </c>
      <c r="K25" s="6"/>
      <c r="L25" s="6"/>
    </row>
    <row r="26" spans="1:12" ht="15" customHeight="1" x14ac:dyDescent="0.25">
      <c r="A26" s="6"/>
      <c r="B26" s="6"/>
      <c r="C26" s="6"/>
      <c r="D26" s="6"/>
      <c r="E26" s="80" t="s">
        <v>223</v>
      </c>
      <c r="F26" s="6"/>
      <c r="G26" s="6"/>
      <c r="H26" s="6"/>
      <c r="I26" s="80" t="s">
        <v>580</v>
      </c>
      <c r="J26" s="80" t="s">
        <v>1013</v>
      </c>
      <c r="K26" s="6"/>
      <c r="L26" s="6"/>
    </row>
    <row r="27" spans="1:12" ht="15" customHeight="1" x14ac:dyDescent="0.25">
      <c r="A27" s="6"/>
      <c r="B27" s="6"/>
      <c r="C27" s="6"/>
      <c r="D27" s="6"/>
      <c r="E27" s="77" t="s">
        <v>196</v>
      </c>
      <c r="F27" s="6"/>
      <c r="G27" s="6"/>
      <c r="H27" s="6"/>
      <c r="I27" s="77" t="s">
        <v>983</v>
      </c>
      <c r="J27" s="77" t="s">
        <v>1013</v>
      </c>
      <c r="K27" s="6"/>
      <c r="L27" s="6"/>
    </row>
    <row r="28" spans="1:12" ht="15" customHeight="1" x14ac:dyDescent="0.25">
      <c r="A28" s="6"/>
      <c r="B28" s="6"/>
      <c r="C28" s="6"/>
      <c r="D28" s="6"/>
      <c r="E28" s="80" t="s">
        <v>927</v>
      </c>
      <c r="F28" s="6"/>
      <c r="G28" s="6"/>
      <c r="H28" s="6"/>
      <c r="I28" s="80" t="s">
        <v>1015</v>
      </c>
      <c r="J28" s="80" t="s">
        <v>1013</v>
      </c>
      <c r="K28" s="6"/>
      <c r="L28" s="6"/>
    </row>
    <row r="29" spans="1:12" ht="15" customHeight="1" x14ac:dyDescent="0.25">
      <c r="A29" s="6"/>
      <c r="B29" s="6"/>
      <c r="C29" s="6"/>
      <c r="D29" s="6"/>
      <c r="E29" s="77" t="s">
        <v>1031</v>
      </c>
      <c r="F29" s="6"/>
      <c r="G29" s="6"/>
      <c r="H29" s="6"/>
      <c r="I29" s="77" t="s">
        <v>211</v>
      </c>
      <c r="J29" s="77" t="s">
        <v>1013</v>
      </c>
      <c r="K29" s="6"/>
      <c r="L29" s="6"/>
    </row>
    <row r="30" spans="1:12" ht="15" customHeight="1" x14ac:dyDescent="0.25">
      <c r="A30" s="6"/>
      <c r="B30" s="6"/>
      <c r="C30" s="6"/>
      <c r="D30" s="6"/>
      <c r="E30" s="80" t="s">
        <v>1032</v>
      </c>
      <c r="F30" s="6"/>
      <c r="G30" s="6"/>
      <c r="H30" s="6"/>
      <c r="I30" s="80" t="s">
        <v>234</v>
      </c>
      <c r="J30" s="80" t="s">
        <v>1013</v>
      </c>
      <c r="K30" s="6"/>
      <c r="L30" s="6"/>
    </row>
    <row r="31" spans="1:12" ht="15" customHeight="1" x14ac:dyDescent="0.25">
      <c r="A31" s="6"/>
      <c r="B31" s="6"/>
      <c r="C31" s="6"/>
      <c r="D31" s="6"/>
      <c r="E31" s="77" t="s">
        <v>1033</v>
      </c>
      <c r="F31" s="6"/>
      <c r="G31" s="6"/>
      <c r="H31" s="6"/>
      <c r="I31" s="77" t="s">
        <v>371</v>
      </c>
      <c r="J31" s="77" t="s">
        <v>1013</v>
      </c>
      <c r="K31" s="6"/>
      <c r="L31" s="6"/>
    </row>
    <row r="32" spans="1:12" ht="15" customHeight="1" x14ac:dyDescent="0.25">
      <c r="A32" s="6"/>
      <c r="B32" s="6"/>
      <c r="C32" s="6"/>
      <c r="D32" s="6"/>
      <c r="E32" s="80" t="s">
        <v>1034</v>
      </c>
      <c r="F32" s="6"/>
      <c r="G32" s="6"/>
      <c r="H32" s="6"/>
      <c r="I32" s="80" t="s">
        <v>986</v>
      </c>
      <c r="J32" s="80" t="s">
        <v>1013</v>
      </c>
      <c r="K32" s="6"/>
      <c r="L32" s="6"/>
    </row>
    <row r="33" spans="1:12" ht="15" customHeight="1" x14ac:dyDescent="0.25">
      <c r="A33" s="6"/>
      <c r="B33" s="6"/>
      <c r="C33" s="6"/>
      <c r="D33" s="6"/>
      <c r="E33" s="77" t="s">
        <v>1035</v>
      </c>
      <c r="F33" s="6"/>
      <c r="G33" s="6"/>
      <c r="H33" s="6"/>
      <c r="I33" s="77" t="s">
        <v>1016</v>
      </c>
      <c r="J33" s="77" t="s">
        <v>1013</v>
      </c>
      <c r="K33" s="6"/>
      <c r="L33" s="6"/>
    </row>
    <row r="34" spans="1:12" ht="15" customHeight="1" x14ac:dyDescent="0.25">
      <c r="A34" s="6"/>
      <c r="B34" s="6"/>
      <c r="C34" s="6"/>
      <c r="D34" s="6"/>
      <c r="E34" s="80" t="s">
        <v>1036</v>
      </c>
      <c r="F34" s="6"/>
      <c r="G34" s="6"/>
      <c r="H34" s="6"/>
      <c r="I34" s="80" t="s">
        <v>321</v>
      </c>
      <c r="J34" s="80" t="s">
        <v>1013</v>
      </c>
      <c r="K34" s="6"/>
      <c r="L34" s="6"/>
    </row>
    <row r="35" spans="1:12" ht="15" customHeight="1" x14ac:dyDescent="0.25">
      <c r="A35" s="6"/>
      <c r="B35" s="6"/>
      <c r="C35" s="6"/>
      <c r="D35" s="6"/>
      <c r="E35" s="77" t="s">
        <v>1037</v>
      </c>
      <c r="F35" s="6"/>
      <c r="G35" s="6"/>
      <c r="H35" s="6"/>
      <c r="I35" s="77" t="s">
        <v>1018</v>
      </c>
      <c r="J35" s="77" t="s">
        <v>1013</v>
      </c>
      <c r="K35" s="6"/>
      <c r="L35" s="6"/>
    </row>
    <row r="36" spans="1:12" ht="15" customHeight="1" x14ac:dyDescent="0.25">
      <c r="A36" s="6"/>
      <c r="B36" s="6"/>
      <c r="C36" s="6"/>
      <c r="D36" s="6"/>
      <c r="E36" s="80" t="s">
        <v>1038</v>
      </c>
      <c r="F36" s="6"/>
      <c r="G36" s="6"/>
      <c r="H36" s="6"/>
      <c r="I36" s="80" t="s">
        <v>208</v>
      </c>
      <c r="J36" s="80" t="s">
        <v>1013</v>
      </c>
      <c r="K36" s="6"/>
      <c r="L36" s="6"/>
    </row>
    <row r="37" spans="1:12" ht="15" customHeight="1" x14ac:dyDescent="0.25">
      <c r="A37" s="6"/>
      <c r="B37" s="6"/>
      <c r="C37" s="6"/>
      <c r="D37" s="6"/>
      <c r="E37" s="77" t="s">
        <v>1039</v>
      </c>
      <c r="F37" s="6"/>
      <c r="G37" s="6"/>
      <c r="H37" s="6"/>
      <c r="I37" s="77" t="s">
        <v>201</v>
      </c>
      <c r="J37" s="77" t="s">
        <v>1013</v>
      </c>
      <c r="K37" s="6"/>
      <c r="L37" s="6"/>
    </row>
    <row r="38" spans="1:12" ht="15" customHeight="1" x14ac:dyDescent="0.25">
      <c r="A38" s="6"/>
      <c r="B38" s="6"/>
      <c r="C38" s="6"/>
      <c r="D38" s="6"/>
      <c r="E38" s="80" t="s">
        <v>214</v>
      </c>
      <c r="F38" s="6"/>
      <c r="G38" s="6"/>
      <c r="H38" s="6"/>
      <c r="I38" s="80" t="s">
        <v>1019</v>
      </c>
      <c r="J38" s="80" t="s">
        <v>1013</v>
      </c>
      <c r="K38" s="6"/>
      <c r="L38" s="6"/>
    </row>
    <row r="39" spans="1:12" ht="15" customHeight="1" x14ac:dyDescent="0.25">
      <c r="A39" s="6"/>
      <c r="B39" s="6"/>
      <c r="C39" s="6"/>
      <c r="D39" s="6"/>
      <c r="E39" s="77" t="s">
        <v>1040</v>
      </c>
      <c r="F39" s="6"/>
      <c r="G39" s="6"/>
      <c r="H39" s="6"/>
      <c r="I39" s="77" t="s">
        <v>1020</v>
      </c>
      <c r="J39" s="77" t="s">
        <v>1013</v>
      </c>
      <c r="K39" s="6"/>
      <c r="L39" s="6"/>
    </row>
    <row r="40" spans="1:12" ht="15" customHeight="1" x14ac:dyDescent="0.25">
      <c r="A40" s="6"/>
      <c r="B40" s="6"/>
      <c r="C40" s="6"/>
      <c r="D40" s="6"/>
      <c r="E40" s="80" t="s">
        <v>1041</v>
      </c>
      <c r="F40" s="6"/>
      <c r="G40" s="6"/>
      <c r="H40" s="6"/>
      <c r="I40" s="80" t="s">
        <v>1022</v>
      </c>
      <c r="J40" s="80" t="s">
        <v>1013</v>
      </c>
      <c r="K40" s="6"/>
      <c r="L40" s="6"/>
    </row>
    <row r="41" spans="1:12" ht="15" customHeight="1" x14ac:dyDescent="0.25">
      <c r="A41" s="6"/>
      <c r="B41" s="6"/>
      <c r="C41" s="6"/>
      <c r="D41" s="6"/>
      <c r="E41" s="77" t="s">
        <v>241</v>
      </c>
      <c r="F41" s="6"/>
      <c r="G41" s="6"/>
      <c r="H41" s="6"/>
      <c r="I41" s="77" t="s">
        <v>218</v>
      </c>
      <c r="J41" s="77" t="s">
        <v>1013</v>
      </c>
      <c r="K41" s="6"/>
      <c r="L41" s="6"/>
    </row>
    <row r="42" spans="1:12" ht="15" customHeight="1" x14ac:dyDescent="0.25">
      <c r="A42" s="6"/>
      <c r="B42" s="6"/>
      <c r="C42" s="6"/>
      <c r="D42" s="6"/>
      <c r="E42" s="80" t="s">
        <v>656</v>
      </c>
      <c r="F42" s="6"/>
      <c r="G42" s="6"/>
      <c r="H42" s="6"/>
      <c r="I42" s="80" t="s">
        <v>475</v>
      </c>
      <c r="J42" s="80" t="s">
        <v>1013</v>
      </c>
      <c r="K42" s="6"/>
      <c r="L42" s="6"/>
    </row>
    <row r="43" spans="1:12" ht="15" customHeight="1" x14ac:dyDescent="0.25">
      <c r="A43" s="6"/>
      <c r="B43" s="6"/>
      <c r="C43" s="6"/>
      <c r="D43" s="6"/>
      <c r="E43" s="77" t="s">
        <v>1042</v>
      </c>
      <c r="F43" s="6"/>
      <c r="G43" s="6"/>
      <c r="H43" s="6"/>
      <c r="I43" s="77" t="s">
        <v>1024</v>
      </c>
      <c r="J43" s="77" t="s">
        <v>1013</v>
      </c>
      <c r="K43" s="6"/>
      <c r="L43" s="6"/>
    </row>
    <row r="44" spans="1:12" ht="15" customHeight="1" x14ac:dyDescent="0.25">
      <c r="A44" s="6"/>
      <c r="B44" s="6"/>
      <c r="C44" s="6"/>
      <c r="D44" s="6"/>
      <c r="E44" s="80" t="s">
        <v>1012</v>
      </c>
      <c r="F44" s="6"/>
      <c r="G44" s="6"/>
      <c r="H44" s="6"/>
      <c r="I44" s="80" t="s">
        <v>730</v>
      </c>
      <c r="J44" s="80" t="s">
        <v>1013</v>
      </c>
      <c r="K44" s="6"/>
      <c r="L44" s="6"/>
    </row>
    <row r="45" spans="1:12" ht="15" customHeight="1" x14ac:dyDescent="0.25">
      <c r="A45" s="6"/>
      <c r="B45" s="6"/>
      <c r="C45" s="6"/>
      <c r="D45" s="6"/>
      <c r="E45" s="77" t="s">
        <v>259</v>
      </c>
      <c r="F45" s="6"/>
      <c r="G45" s="6"/>
      <c r="H45" s="6"/>
      <c r="I45" s="77" t="s">
        <v>995</v>
      </c>
      <c r="J45" s="77" t="s">
        <v>1013</v>
      </c>
      <c r="K45" s="6"/>
      <c r="L45" s="6"/>
    </row>
    <row r="46" spans="1:12" ht="15" customHeight="1" x14ac:dyDescent="0.25">
      <c r="A46" s="6"/>
      <c r="B46" s="6"/>
      <c r="C46" s="6"/>
      <c r="D46" s="6"/>
      <c r="E46" s="80" t="s">
        <v>1021</v>
      </c>
      <c r="F46" s="6"/>
      <c r="G46" s="6"/>
      <c r="H46" s="6"/>
      <c r="I46" s="80" t="s">
        <v>1025</v>
      </c>
      <c r="J46" s="80" t="s">
        <v>1013</v>
      </c>
      <c r="K46" s="6"/>
      <c r="L46" s="6"/>
    </row>
    <row r="47" spans="1:12" ht="15" customHeight="1" x14ac:dyDescent="0.25">
      <c r="A47" s="6"/>
      <c r="B47" s="6"/>
      <c r="C47" s="6"/>
      <c r="D47" s="6"/>
      <c r="E47" s="77" t="s">
        <v>473</v>
      </c>
      <c r="F47" s="6"/>
      <c r="G47" s="6"/>
      <c r="H47" s="6"/>
      <c r="I47" s="77" t="s">
        <v>936</v>
      </c>
      <c r="J47" s="77" t="s">
        <v>1013</v>
      </c>
      <c r="K47" s="6"/>
      <c r="L47" s="6"/>
    </row>
    <row r="48" spans="1:12" ht="15" customHeight="1" x14ac:dyDescent="0.25">
      <c r="A48" s="6"/>
      <c r="B48" s="6"/>
      <c r="C48" s="6"/>
      <c r="D48" s="6"/>
      <c r="E48" s="80" t="s">
        <v>660</v>
      </c>
      <c r="F48" s="6"/>
      <c r="G48" s="6"/>
      <c r="H48" s="6"/>
      <c r="I48" s="80" t="s">
        <v>1027</v>
      </c>
      <c r="J48" s="80" t="s">
        <v>1013</v>
      </c>
      <c r="K48" s="6"/>
      <c r="L48" s="6"/>
    </row>
    <row r="49" spans="1:12" ht="15" customHeight="1" x14ac:dyDescent="0.25">
      <c r="A49" s="6"/>
      <c r="B49" s="6"/>
      <c r="C49" s="6"/>
      <c r="D49" s="6"/>
      <c r="E49" s="77" t="s">
        <v>78</v>
      </c>
      <c r="F49" s="6"/>
      <c r="G49" s="6"/>
      <c r="H49" s="6"/>
      <c r="I49" s="77" t="s">
        <v>613</v>
      </c>
      <c r="J49" s="77" t="s">
        <v>1013</v>
      </c>
      <c r="K49" s="6"/>
      <c r="L49" s="6"/>
    </row>
    <row r="50" spans="1:12" ht="15" customHeight="1" x14ac:dyDescent="0.25">
      <c r="A50" s="6"/>
      <c r="B50" s="6"/>
      <c r="C50" s="6"/>
      <c r="D50" s="6"/>
      <c r="E50" s="80" t="s">
        <v>380</v>
      </c>
      <c r="F50" s="6"/>
      <c r="G50" s="6"/>
      <c r="H50" s="6"/>
      <c r="I50" s="80" t="s">
        <v>967</v>
      </c>
      <c r="J50" s="80" t="s">
        <v>1013</v>
      </c>
      <c r="K50" s="6"/>
      <c r="L50" s="6"/>
    </row>
    <row r="51" spans="1:12" ht="15" customHeight="1" x14ac:dyDescent="0.25">
      <c r="A51" s="6"/>
      <c r="B51" s="6"/>
      <c r="C51" s="6"/>
      <c r="D51" s="6"/>
      <c r="E51" s="77" t="s">
        <v>355</v>
      </c>
      <c r="F51" s="6"/>
      <c r="G51" s="6"/>
      <c r="H51" s="6"/>
      <c r="I51" s="77" t="s">
        <v>744</v>
      </c>
      <c r="J51" s="77" t="s">
        <v>1013</v>
      </c>
      <c r="K51" s="6"/>
      <c r="L51" s="6"/>
    </row>
    <row r="52" spans="1:12" ht="15" customHeight="1" x14ac:dyDescent="0.25">
      <c r="A52" s="6"/>
      <c r="B52" s="6"/>
      <c r="C52" s="6"/>
      <c r="D52" s="6"/>
      <c r="E52" s="80" t="s">
        <v>1023</v>
      </c>
      <c r="F52" s="6"/>
      <c r="G52" s="6"/>
      <c r="H52" s="6"/>
      <c r="I52" s="80" t="s">
        <v>1028</v>
      </c>
      <c r="J52" s="80" t="s">
        <v>1013</v>
      </c>
      <c r="K52" s="6"/>
      <c r="L52" s="6"/>
    </row>
    <row r="53" spans="1:12" ht="15" customHeight="1" x14ac:dyDescent="0.25">
      <c r="A53" s="6"/>
      <c r="B53" s="6"/>
      <c r="C53" s="6"/>
      <c r="D53" s="6"/>
      <c r="E53" s="77" t="s">
        <v>181</v>
      </c>
      <c r="F53" s="6"/>
      <c r="G53" s="6"/>
      <c r="H53" s="6"/>
      <c r="I53" s="77" t="s">
        <v>533</v>
      </c>
      <c r="J53" s="77" t="s">
        <v>1013</v>
      </c>
      <c r="K53" s="6"/>
      <c r="L53" s="6"/>
    </row>
    <row r="54" spans="1:12" ht="15" customHeight="1" x14ac:dyDescent="0.25">
      <c r="A54" s="6"/>
      <c r="B54" s="6"/>
      <c r="C54" s="6"/>
      <c r="D54" s="6"/>
      <c r="E54" s="80" t="s">
        <v>351</v>
      </c>
      <c r="F54" s="6"/>
      <c r="G54" s="6"/>
      <c r="H54" s="6"/>
      <c r="I54" s="80" t="s">
        <v>628</v>
      </c>
      <c r="J54" s="80" t="s">
        <v>1013</v>
      </c>
      <c r="K54" s="6"/>
      <c r="L54" s="6"/>
    </row>
    <row r="55" spans="1:12" ht="15" customHeight="1" x14ac:dyDescent="0.25">
      <c r="A55" s="6"/>
      <c r="B55" s="6"/>
      <c r="C55" s="6"/>
      <c r="D55" s="6"/>
      <c r="E55" s="77" t="s">
        <v>1026</v>
      </c>
      <c r="F55" s="6"/>
      <c r="G55" s="6"/>
      <c r="H55" s="6"/>
      <c r="I55" s="77" t="s">
        <v>600</v>
      </c>
      <c r="J55" s="77" t="s">
        <v>1013</v>
      </c>
      <c r="K55" s="6"/>
      <c r="L55" s="6"/>
    </row>
    <row r="56" spans="1:12" ht="15" customHeight="1" x14ac:dyDescent="0.25">
      <c r="A56" s="6"/>
      <c r="B56" s="6"/>
      <c r="C56" s="6"/>
      <c r="D56" s="6"/>
      <c r="E56" s="80" t="s">
        <v>70</v>
      </c>
      <c r="F56" s="6"/>
      <c r="G56" s="6"/>
      <c r="H56" s="6"/>
      <c r="I56" s="80" t="s">
        <v>1029</v>
      </c>
      <c r="J56" s="80" t="s">
        <v>1013</v>
      </c>
      <c r="K56" s="6"/>
      <c r="L56" s="6"/>
    </row>
    <row r="57" spans="1:12" ht="15" customHeight="1" x14ac:dyDescent="0.25">
      <c r="A57" s="6"/>
      <c r="B57" s="6"/>
      <c r="C57" s="6"/>
      <c r="D57" s="6"/>
      <c r="E57" s="77" t="s">
        <v>426</v>
      </c>
      <c r="F57" s="6"/>
      <c r="G57" s="6"/>
      <c r="H57" s="6"/>
      <c r="I57" s="77" t="s">
        <v>199</v>
      </c>
      <c r="J57" s="77" t="s">
        <v>1013</v>
      </c>
      <c r="K57" s="6"/>
      <c r="L57" s="6"/>
    </row>
    <row r="58" spans="1:12" ht="15" customHeight="1" x14ac:dyDescent="0.25">
      <c r="A58" s="6"/>
      <c r="B58" s="6"/>
      <c r="C58" s="6"/>
      <c r="D58" s="6"/>
      <c r="E58" s="80" t="s">
        <v>253</v>
      </c>
      <c r="F58" s="6"/>
      <c r="G58" s="6"/>
      <c r="H58" s="6"/>
      <c r="I58" s="80" t="s">
        <v>979</v>
      </c>
      <c r="J58" s="80" t="s">
        <v>1013</v>
      </c>
      <c r="K58" s="6"/>
      <c r="L58" s="6"/>
    </row>
    <row r="59" spans="1:12" ht="15" customHeight="1" x14ac:dyDescent="0.25">
      <c r="A59" s="6"/>
      <c r="B59" s="6"/>
      <c r="C59" s="6"/>
      <c r="D59" s="6"/>
      <c r="E59" s="77" t="s">
        <v>1043</v>
      </c>
      <c r="F59" s="6"/>
      <c r="G59" s="6"/>
      <c r="H59" s="6"/>
      <c r="I59" s="77" t="s">
        <v>883</v>
      </c>
      <c r="J59" s="77" t="s">
        <v>1013</v>
      </c>
      <c r="K59" s="6"/>
      <c r="L59" s="6"/>
    </row>
    <row r="60" spans="1:12" ht="15" customHeight="1" x14ac:dyDescent="0.25">
      <c r="A60" s="6"/>
      <c r="B60" s="6"/>
      <c r="C60" s="6"/>
      <c r="D60" s="6"/>
      <c r="E60" s="80" t="s">
        <v>246</v>
      </c>
      <c r="F60" s="6"/>
      <c r="G60" s="6"/>
      <c r="H60" s="6"/>
      <c r="I60" s="80" t="s">
        <v>818</v>
      </c>
      <c r="J60" s="80" t="s">
        <v>1013</v>
      </c>
      <c r="K60" s="6"/>
      <c r="L60" s="6"/>
    </row>
    <row r="61" spans="1:12" ht="15" customHeight="1" x14ac:dyDescent="0.25">
      <c r="A61" s="6"/>
      <c r="B61" s="6"/>
      <c r="C61" s="6"/>
      <c r="D61" s="6"/>
      <c r="E61" s="77" t="s">
        <v>192</v>
      </c>
      <c r="F61" s="6"/>
      <c r="G61" s="6"/>
      <c r="H61" s="6"/>
      <c r="I61" s="77" t="s">
        <v>637</v>
      </c>
      <c r="J61" s="77" t="s">
        <v>1013</v>
      </c>
      <c r="K61" s="6"/>
      <c r="L61" s="6"/>
    </row>
    <row r="62" spans="1:12" ht="15" customHeight="1" x14ac:dyDescent="0.25">
      <c r="A62" s="6"/>
      <c r="B62" s="6"/>
      <c r="C62" s="6"/>
      <c r="D62" s="6"/>
      <c r="E62" s="80" t="s">
        <v>481</v>
      </c>
      <c r="F62" s="6"/>
      <c r="G62" s="6"/>
      <c r="H62" s="6"/>
      <c r="I62" s="80" t="s">
        <v>1044</v>
      </c>
      <c r="J62" s="80" t="s">
        <v>1013</v>
      </c>
      <c r="K62" s="6"/>
      <c r="L62" s="6"/>
    </row>
    <row r="63" spans="1:12" ht="15" customHeight="1" x14ac:dyDescent="0.25">
      <c r="A63" s="6"/>
      <c r="B63" s="6"/>
      <c r="C63" s="6"/>
      <c r="D63" s="6"/>
      <c r="E63" s="77" t="s">
        <v>1045</v>
      </c>
      <c r="F63" s="6"/>
      <c r="G63" s="6"/>
      <c r="H63" s="6"/>
      <c r="I63" s="77" t="s">
        <v>1030</v>
      </c>
      <c r="J63" s="77" t="s">
        <v>1013</v>
      </c>
      <c r="K63" s="6"/>
      <c r="L63" s="6"/>
    </row>
    <row r="64" spans="1:12" ht="15" customHeight="1" x14ac:dyDescent="0.25">
      <c r="A64" s="6"/>
      <c r="B64" s="6"/>
      <c r="C64" s="6"/>
      <c r="D64" s="6"/>
      <c r="E64" s="80" t="s">
        <v>185</v>
      </c>
      <c r="F64" s="6"/>
      <c r="G64" s="6"/>
      <c r="H64" s="6"/>
      <c r="I64" s="80" t="s">
        <v>850</v>
      </c>
      <c r="J64" s="80" t="s">
        <v>1013</v>
      </c>
      <c r="K64" s="6"/>
      <c r="L64" s="6"/>
    </row>
    <row r="65" spans="1:12" ht="15" customHeight="1" x14ac:dyDescent="0.25">
      <c r="A65" s="6"/>
      <c r="B65" s="6"/>
      <c r="C65" s="6"/>
      <c r="D65" s="6"/>
      <c r="E65" s="6"/>
      <c r="F65" s="6"/>
      <c r="G65" s="6"/>
      <c r="H65" s="6"/>
      <c r="I65" s="77" t="s">
        <v>223</v>
      </c>
      <c r="J65" s="77" t="s">
        <v>1013</v>
      </c>
      <c r="K65" s="6"/>
      <c r="L65" s="6"/>
    </row>
    <row r="66" spans="1:12" ht="15" customHeight="1" x14ac:dyDescent="0.25">
      <c r="A66" s="6"/>
      <c r="B66" s="6"/>
      <c r="C66" s="6"/>
      <c r="D66" s="6"/>
      <c r="E66" s="6"/>
      <c r="F66" s="6"/>
      <c r="G66" s="6"/>
      <c r="H66" s="6"/>
      <c r="I66" s="80" t="s">
        <v>196</v>
      </c>
      <c r="J66" s="80" t="s">
        <v>1013</v>
      </c>
      <c r="K66" s="6"/>
      <c r="L66" s="6"/>
    </row>
    <row r="67" spans="1:12" ht="15" customHeight="1" x14ac:dyDescent="0.25">
      <c r="A67" s="6"/>
      <c r="B67" s="6"/>
      <c r="C67" s="6"/>
      <c r="D67" s="6"/>
      <c r="E67" s="6"/>
      <c r="F67" s="6"/>
      <c r="G67" s="6"/>
      <c r="H67" s="6"/>
      <c r="I67" s="77" t="s">
        <v>927</v>
      </c>
      <c r="J67" s="77" t="s">
        <v>1013</v>
      </c>
      <c r="K67" s="6"/>
      <c r="L67" s="6"/>
    </row>
    <row r="68" spans="1:12" ht="15" customHeight="1" x14ac:dyDescent="0.25">
      <c r="A68" s="6"/>
      <c r="B68" s="6"/>
      <c r="C68" s="6"/>
      <c r="D68" s="6"/>
      <c r="E68" s="6"/>
      <c r="F68" s="6"/>
      <c r="G68" s="6"/>
      <c r="H68" s="6"/>
      <c r="I68" s="80" t="s">
        <v>1031</v>
      </c>
      <c r="J68" s="80" t="s">
        <v>1013</v>
      </c>
      <c r="K68" s="6"/>
      <c r="L68" s="6"/>
    </row>
    <row r="69" spans="1:12" ht="15" customHeight="1" x14ac:dyDescent="0.25">
      <c r="A69" s="6"/>
      <c r="B69" s="6"/>
      <c r="C69" s="6"/>
      <c r="D69" s="6"/>
      <c r="E69" s="6"/>
      <c r="F69" s="6"/>
      <c r="G69" s="6"/>
      <c r="H69" s="6"/>
      <c r="I69" s="77" t="s">
        <v>1032</v>
      </c>
      <c r="J69" s="77" t="s">
        <v>1013</v>
      </c>
      <c r="K69" s="6"/>
      <c r="L69" s="6"/>
    </row>
    <row r="70" spans="1:12" ht="15" customHeight="1" x14ac:dyDescent="0.25">
      <c r="A70" s="6"/>
      <c r="B70" s="6"/>
      <c r="C70" s="6"/>
      <c r="D70" s="6"/>
      <c r="E70" s="6"/>
      <c r="F70" s="6"/>
      <c r="G70" s="6"/>
      <c r="H70" s="6"/>
      <c r="I70" s="80" t="s">
        <v>557</v>
      </c>
      <c r="J70" s="80" t="s">
        <v>1013</v>
      </c>
      <c r="K70" s="6"/>
      <c r="L70" s="6"/>
    </row>
    <row r="71" spans="1:12" ht="15" customHeight="1" x14ac:dyDescent="0.25">
      <c r="A71" s="6"/>
      <c r="B71" s="6"/>
      <c r="C71" s="6"/>
      <c r="D71" s="6"/>
      <c r="E71" s="6"/>
      <c r="F71" s="6"/>
      <c r="G71" s="6"/>
      <c r="H71" s="6"/>
      <c r="I71" s="77" t="s">
        <v>1033</v>
      </c>
      <c r="J71" s="77" t="s">
        <v>1013</v>
      </c>
      <c r="K71" s="6"/>
      <c r="L71" s="6"/>
    </row>
    <row r="72" spans="1:12" ht="15" customHeight="1" x14ac:dyDescent="0.25">
      <c r="A72" s="6"/>
      <c r="B72" s="6"/>
      <c r="C72" s="6"/>
      <c r="D72" s="6"/>
      <c r="E72" s="6"/>
      <c r="F72" s="6"/>
      <c r="G72" s="6"/>
      <c r="H72" s="6"/>
      <c r="I72" s="80" t="s">
        <v>250</v>
      </c>
      <c r="J72" s="80" t="s">
        <v>1013</v>
      </c>
      <c r="K72" s="6"/>
      <c r="L72" s="6"/>
    </row>
    <row r="73" spans="1:12" ht="15" customHeight="1" x14ac:dyDescent="0.25">
      <c r="A73" s="6"/>
      <c r="B73" s="6"/>
      <c r="C73" s="6"/>
      <c r="D73" s="6"/>
      <c r="E73" s="6"/>
      <c r="F73" s="6"/>
      <c r="G73" s="6"/>
      <c r="H73" s="6"/>
      <c r="I73" s="77" t="s">
        <v>1034</v>
      </c>
      <c r="J73" s="77" t="s">
        <v>1013</v>
      </c>
      <c r="K73" s="6"/>
      <c r="L73" s="6"/>
    </row>
    <row r="74" spans="1:12" ht="15" customHeight="1" x14ac:dyDescent="0.25">
      <c r="A74" s="6"/>
      <c r="B74" s="6"/>
      <c r="C74" s="6"/>
      <c r="D74" s="6"/>
      <c r="E74" s="6"/>
      <c r="F74" s="6"/>
      <c r="G74" s="6"/>
      <c r="H74" s="6"/>
      <c r="I74" s="80" t="s">
        <v>822</v>
      </c>
      <c r="J74" s="80" t="s">
        <v>1013</v>
      </c>
      <c r="K74" s="6"/>
      <c r="L74" s="6"/>
    </row>
    <row r="75" spans="1:12" ht="15" customHeight="1" x14ac:dyDescent="0.25">
      <c r="A75" s="6"/>
      <c r="B75" s="6"/>
      <c r="C75" s="6"/>
      <c r="D75" s="6"/>
      <c r="E75" s="6"/>
      <c r="F75" s="6"/>
      <c r="G75" s="6"/>
      <c r="H75" s="6"/>
      <c r="I75" s="77" t="s">
        <v>585</v>
      </c>
      <c r="J75" s="77" t="s">
        <v>1013</v>
      </c>
      <c r="K75" s="6"/>
      <c r="L75" s="6"/>
    </row>
    <row r="76" spans="1:12" ht="15" customHeight="1" x14ac:dyDescent="0.25">
      <c r="A76" s="6"/>
      <c r="B76" s="6"/>
      <c r="C76" s="6"/>
      <c r="D76" s="6"/>
      <c r="E76" s="6"/>
      <c r="F76" s="6"/>
      <c r="G76" s="6"/>
      <c r="H76" s="6"/>
      <c r="I76" s="80" t="s">
        <v>1035</v>
      </c>
      <c r="J76" s="80" t="s">
        <v>1013</v>
      </c>
      <c r="K76" s="6"/>
      <c r="L76" s="6"/>
    </row>
    <row r="77" spans="1:12" ht="15" customHeight="1" x14ac:dyDescent="0.25">
      <c r="A77" s="6"/>
      <c r="B77" s="6"/>
      <c r="C77" s="6"/>
      <c r="D77" s="6"/>
      <c r="E77" s="6"/>
      <c r="F77" s="6"/>
      <c r="G77" s="6"/>
      <c r="H77" s="6"/>
      <c r="I77" s="77" t="s">
        <v>1046</v>
      </c>
      <c r="J77" s="77" t="s">
        <v>1013</v>
      </c>
      <c r="K77" s="6"/>
      <c r="L77" s="6"/>
    </row>
    <row r="78" spans="1:12" ht="15" customHeight="1" x14ac:dyDescent="0.25">
      <c r="A78" s="6"/>
      <c r="B78" s="6"/>
      <c r="C78" s="6"/>
      <c r="D78" s="6"/>
      <c r="E78" s="6"/>
      <c r="F78" s="6"/>
      <c r="G78" s="6"/>
      <c r="H78" s="6"/>
      <c r="I78" s="80" t="s">
        <v>1036</v>
      </c>
      <c r="J78" s="80" t="s">
        <v>1013</v>
      </c>
      <c r="K78" s="6"/>
      <c r="L78" s="6"/>
    </row>
    <row r="79" spans="1:12" ht="15" customHeight="1" x14ac:dyDescent="0.25">
      <c r="A79" s="6"/>
      <c r="B79" s="6"/>
      <c r="C79" s="6"/>
      <c r="D79" s="6"/>
      <c r="E79" s="6"/>
      <c r="F79" s="6"/>
      <c r="G79" s="6"/>
      <c r="H79" s="6"/>
      <c r="I79" s="77" t="s">
        <v>1037</v>
      </c>
      <c r="J79" s="77" t="s">
        <v>1013</v>
      </c>
      <c r="K79" s="6"/>
      <c r="L79" s="6"/>
    </row>
    <row r="80" spans="1:12" ht="15" customHeight="1" x14ac:dyDescent="0.25">
      <c r="A80" s="6"/>
      <c r="B80" s="6"/>
      <c r="C80" s="6"/>
      <c r="D80" s="6"/>
      <c r="E80" s="6"/>
      <c r="F80" s="6"/>
      <c r="G80" s="6"/>
      <c r="H80" s="6"/>
      <c r="I80" s="80" t="s">
        <v>1038</v>
      </c>
      <c r="J80" s="80" t="s">
        <v>1013</v>
      </c>
      <c r="K80" s="6"/>
      <c r="L80" s="6"/>
    </row>
    <row r="81" spans="1:12" ht="15" customHeight="1" x14ac:dyDescent="0.25">
      <c r="A81" s="6"/>
      <c r="B81" s="6"/>
      <c r="C81" s="6"/>
      <c r="D81" s="6"/>
      <c r="E81" s="6"/>
      <c r="F81" s="6"/>
      <c r="G81" s="6"/>
      <c r="H81" s="6"/>
      <c r="I81" s="77" t="s">
        <v>719</v>
      </c>
      <c r="J81" s="77" t="s">
        <v>1013</v>
      </c>
      <c r="K81" s="6"/>
      <c r="L81" s="6"/>
    </row>
    <row r="82" spans="1:12" ht="15" customHeight="1" x14ac:dyDescent="0.25">
      <c r="A82" s="6"/>
      <c r="B82" s="6"/>
      <c r="C82" s="6"/>
      <c r="D82" s="6"/>
      <c r="E82" s="6"/>
      <c r="F82" s="6"/>
      <c r="G82" s="6"/>
      <c r="H82" s="6"/>
      <c r="I82" s="80" t="s">
        <v>1039</v>
      </c>
      <c r="J82" s="80" t="s">
        <v>1013</v>
      </c>
      <c r="K82" s="6"/>
      <c r="L82" s="6"/>
    </row>
    <row r="83" spans="1:12" ht="15" customHeight="1" x14ac:dyDescent="0.25">
      <c r="A83" s="6"/>
      <c r="B83" s="6"/>
      <c r="C83" s="6"/>
      <c r="D83" s="6"/>
      <c r="E83" s="6"/>
      <c r="F83" s="6"/>
      <c r="G83" s="6"/>
      <c r="H83" s="6"/>
      <c r="I83" s="77" t="s">
        <v>863</v>
      </c>
      <c r="J83" s="77" t="s">
        <v>1013</v>
      </c>
      <c r="K83" s="6"/>
      <c r="L83" s="6"/>
    </row>
    <row r="84" spans="1:12" ht="15" customHeight="1" x14ac:dyDescent="0.25">
      <c r="A84" s="6"/>
      <c r="B84" s="6"/>
      <c r="C84" s="6"/>
      <c r="D84" s="6"/>
      <c r="E84" s="6"/>
      <c r="F84" s="6"/>
      <c r="G84" s="6"/>
      <c r="H84" s="6"/>
      <c r="I84" s="80" t="s">
        <v>214</v>
      </c>
      <c r="J84" s="80" t="s">
        <v>1013</v>
      </c>
      <c r="K84" s="6"/>
      <c r="L84" s="6"/>
    </row>
    <row r="85" spans="1:12" ht="15" customHeight="1" x14ac:dyDescent="0.25">
      <c r="A85" s="6"/>
      <c r="B85" s="6"/>
      <c r="C85" s="6"/>
      <c r="D85" s="6"/>
      <c r="E85" s="6"/>
      <c r="F85" s="6"/>
      <c r="G85" s="6"/>
      <c r="H85" s="6"/>
      <c r="I85" s="77" t="s">
        <v>1040</v>
      </c>
      <c r="J85" s="77" t="s">
        <v>1013</v>
      </c>
      <c r="K85" s="6"/>
      <c r="L85" s="6"/>
    </row>
    <row r="86" spans="1:12" ht="15" customHeight="1" x14ac:dyDescent="0.25">
      <c r="A86" s="6"/>
      <c r="B86" s="6"/>
      <c r="C86" s="6"/>
      <c r="D86" s="6"/>
      <c r="E86" s="6"/>
      <c r="F86" s="6"/>
      <c r="G86" s="6"/>
      <c r="H86" s="6"/>
      <c r="I86" s="80" t="s">
        <v>711</v>
      </c>
      <c r="J86" s="80" t="s">
        <v>1013</v>
      </c>
      <c r="K86" s="6"/>
      <c r="L86" s="6"/>
    </row>
    <row r="87" spans="1:12" ht="15" customHeight="1" x14ac:dyDescent="0.25">
      <c r="A87" s="6"/>
      <c r="B87" s="6"/>
      <c r="C87" s="6"/>
      <c r="D87" s="6"/>
      <c r="E87" s="6"/>
      <c r="F87" s="6"/>
      <c r="G87" s="6"/>
      <c r="H87" s="6"/>
      <c r="I87" s="77" t="s">
        <v>622</v>
      </c>
      <c r="J87" s="77" t="s">
        <v>1013</v>
      </c>
      <c r="K87" s="6"/>
      <c r="L87" s="6"/>
    </row>
    <row r="88" spans="1:12" ht="15" customHeight="1" x14ac:dyDescent="0.25">
      <c r="A88" s="6"/>
      <c r="B88" s="6"/>
      <c r="C88" s="6"/>
      <c r="D88" s="6"/>
      <c r="E88" s="6"/>
      <c r="F88" s="6"/>
      <c r="G88" s="6"/>
      <c r="H88" s="6"/>
      <c r="I88" s="80" t="s">
        <v>281</v>
      </c>
      <c r="J88" s="80" t="s">
        <v>1013</v>
      </c>
      <c r="K88" s="6"/>
      <c r="L88" s="6"/>
    </row>
    <row r="89" spans="1:12" ht="15" customHeight="1" x14ac:dyDescent="0.25">
      <c r="A89" s="6"/>
      <c r="B89" s="6"/>
      <c r="C89" s="6"/>
      <c r="D89" s="6"/>
      <c r="E89" s="6"/>
      <c r="F89" s="6"/>
      <c r="G89" s="6"/>
      <c r="H89" s="6"/>
      <c r="I89" s="77" t="s">
        <v>461</v>
      </c>
      <c r="J89" s="77" t="s">
        <v>1013</v>
      </c>
      <c r="K89" s="6"/>
      <c r="L89" s="6"/>
    </row>
    <row r="90" spans="1:12" ht="15" customHeight="1" x14ac:dyDescent="0.25">
      <c r="A90" s="6"/>
      <c r="B90" s="6"/>
      <c r="C90" s="6"/>
      <c r="D90" s="6"/>
      <c r="E90" s="6"/>
      <c r="F90" s="6"/>
      <c r="G90" s="6"/>
      <c r="H90" s="6"/>
      <c r="I90" s="80" t="s">
        <v>572</v>
      </c>
      <c r="J90" s="80" t="s">
        <v>1013</v>
      </c>
      <c r="K90" s="6"/>
      <c r="L90" s="6"/>
    </row>
    <row r="91" spans="1:12" ht="15" customHeight="1" x14ac:dyDescent="0.25">
      <c r="A91" s="6"/>
      <c r="B91" s="6"/>
      <c r="C91" s="6"/>
      <c r="D91" s="6"/>
      <c r="E91" s="6"/>
      <c r="F91" s="6"/>
      <c r="G91" s="6"/>
      <c r="H91" s="6"/>
      <c r="I91" s="77" t="s">
        <v>1041</v>
      </c>
      <c r="J91" s="77" t="s">
        <v>1013</v>
      </c>
      <c r="K91" s="6"/>
      <c r="L91" s="6"/>
    </row>
    <row r="92" spans="1:12" ht="15" customHeight="1" x14ac:dyDescent="0.25">
      <c r="A92" s="6"/>
      <c r="B92" s="6"/>
      <c r="C92" s="6"/>
      <c r="D92" s="6"/>
      <c r="E92" s="6"/>
      <c r="F92" s="6"/>
      <c r="G92" s="6"/>
      <c r="H92" s="6"/>
      <c r="I92" s="80" t="s">
        <v>241</v>
      </c>
      <c r="J92" s="80" t="s">
        <v>1013</v>
      </c>
      <c r="K92" s="6"/>
      <c r="L92" s="6"/>
    </row>
    <row r="93" spans="1:12" ht="15" customHeight="1" x14ac:dyDescent="0.25">
      <c r="A93" s="6"/>
      <c r="B93" s="6"/>
      <c r="C93" s="6"/>
      <c r="D93" s="6"/>
      <c r="E93" s="6"/>
      <c r="F93" s="6"/>
      <c r="G93" s="6"/>
      <c r="H93" s="6"/>
      <c r="I93" s="77" t="s">
        <v>550</v>
      </c>
      <c r="J93" s="77" t="s">
        <v>1013</v>
      </c>
      <c r="K93" s="6"/>
      <c r="L93" s="6"/>
    </row>
    <row r="94" spans="1:12" ht="15" customHeight="1" x14ac:dyDescent="0.25">
      <c r="A94" s="6"/>
      <c r="B94" s="6"/>
      <c r="C94" s="6"/>
      <c r="D94" s="6"/>
      <c r="E94" s="6"/>
      <c r="F94" s="6"/>
      <c r="G94" s="6"/>
      <c r="H94" s="6"/>
      <c r="I94" s="80" t="s">
        <v>914</v>
      </c>
      <c r="J94" s="80" t="s">
        <v>1013</v>
      </c>
      <c r="K94" s="6"/>
      <c r="L94" s="6"/>
    </row>
    <row r="95" spans="1:12" ht="15" customHeight="1" x14ac:dyDescent="0.25">
      <c r="A95" s="6"/>
      <c r="B95" s="6"/>
      <c r="C95" s="6"/>
      <c r="D95" s="6"/>
      <c r="E95" s="6"/>
      <c r="F95" s="6"/>
      <c r="G95" s="6"/>
      <c r="H95" s="6"/>
      <c r="I95" s="77" t="s">
        <v>750</v>
      </c>
      <c r="J95" s="77" t="s">
        <v>1013</v>
      </c>
      <c r="K95" s="6"/>
      <c r="L95" s="6"/>
    </row>
    <row r="96" spans="1:12" ht="15" customHeight="1" x14ac:dyDescent="0.25">
      <c r="A96" s="6"/>
      <c r="B96" s="6"/>
      <c r="C96" s="6"/>
      <c r="D96" s="6"/>
      <c r="E96" s="6"/>
      <c r="F96" s="6"/>
      <c r="G96" s="6"/>
      <c r="H96" s="6"/>
      <c r="I96" s="80" t="s">
        <v>656</v>
      </c>
      <c r="J96" s="80" t="s">
        <v>1013</v>
      </c>
      <c r="K96" s="6"/>
      <c r="L96" s="6"/>
    </row>
    <row r="97" spans="1:12" ht="15" customHeight="1" x14ac:dyDescent="0.25">
      <c r="A97" s="6"/>
      <c r="B97" s="6"/>
      <c r="C97" s="6"/>
      <c r="D97" s="6"/>
      <c r="E97" s="6"/>
      <c r="F97" s="6"/>
      <c r="G97" s="6"/>
      <c r="H97" s="6"/>
      <c r="I97" s="77" t="s">
        <v>1042</v>
      </c>
      <c r="J97" s="77" t="s">
        <v>1013</v>
      </c>
      <c r="K97" s="6"/>
      <c r="L97" s="6"/>
    </row>
    <row r="98" spans="1:12" ht="15" customHeight="1" x14ac:dyDescent="0.25">
      <c r="A98" s="6"/>
      <c r="B98" s="6"/>
      <c r="C98" s="6"/>
      <c r="D98" s="6"/>
      <c r="E98" s="6"/>
      <c r="F98" s="6"/>
      <c r="G98" s="6"/>
      <c r="H98" s="6"/>
      <c r="I98" s="80" t="s">
        <v>327</v>
      </c>
      <c r="J98" s="80" t="s">
        <v>1013</v>
      </c>
      <c r="K98" s="6"/>
      <c r="L98" s="6"/>
    </row>
    <row r="99" spans="1:12" ht="15" customHeight="1" x14ac:dyDescent="0.25">
      <c r="A99" s="6"/>
      <c r="B99" s="6"/>
      <c r="C99" s="6"/>
      <c r="D99" s="6"/>
      <c r="E99" s="6"/>
      <c r="F99" s="6"/>
      <c r="G99" s="6"/>
      <c r="H99" s="6"/>
      <c r="I99" s="77" t="s">
        <v>681</v>
      </c>
      <c r="J99" s="77" t="s">
        <v>1013</v>
      </c>
      <c r="K99" s="6"/>
      <c r="L99" s="6"/>
    </row>
    <row r="100" spans="1:12" ht="15" customHeight="1" x14ac:dyDescent="0.25">
      <c r="A100" s="6"/>
      <c r="B100" s="6"/>
      <c r="C100" s="6"/>
      <c r="D100" s="6"/>
      <c r="E100" s="6"/>
      <c r="F100" s="6"/>
      <c r="G100" s="6"/>
      <c r="H100" s="6"/>
      <c r="I100" s="80" t="s">
        <v>604</v>
      </c>
      <c r="J100" s="80" t="s">
        <v>1013</v>
      </c>
      <c r="K100" s="6"/>
      <c r="L100" s="6"/>
    </row>
    <row r="101" spans="1:12" ht="15" customHeight="1" x14ac:dyDescent="0.25">
      <c r="A101" s="6"/>
      <c r="B101" s="6"/>
      <c r="C101" s="6"/>
      <c r="D101" s="6"/>
      <c r="E101" s="6"/>
      <c r="F101" s="6"/>
      <c r="G101" s="6"/>
      <c r="H101" s="6"/>
      <c r="I101" s="77" t="s">
        <v>345</v>
      </c>
      <c r="J101" s="77" t="s">
        <v>1013</v>
      </c>
      <c r="K101" s="6"/>
      <c r="L101" s="6"/>
    </row>
    <row r="102" spans="1:12" ht="15" customHeight="1" x14ac:dyDescent="0.25">
      <c r="A102" s="6"/>
      <c r="B102" s="6"/>
      <c r="C102" s="6"/>
      <c r="D102" s="6"/>
      <c r="E102" s="6"/>
      <c r="F102" s="6"/>
      <c r="G102" s="6"/>
      <c r="H102" s="6"/>
      <c r="I102" s="80" t="s">
        <v>564</v>
      </c>
      <c r="J102" s="80" t="s">
        <v>1013</v>
      </c>
      <c r="K102" s="6"/>
      <c r="L102" s="6"/>
    </row>
    <row r="103" spans="1:12" ht="15" customHeight="1" x14ac:dyDescent="0.25">
      <c r="A103" s="6"/>
      <c r="B103" s="6"/>
      <c r="C103" s="6"/>
      <c r="D103" s="6"/>
      <c r="E103" s="6"/>
      <c r="F103" s="6"/>
      <c r="G103" s="6"/>
      <c r="H103" s="6"/>
      <c r="I103" s="77" t="s">
        <v>307</v>
      </c>
      <c r="J103" s="77" t="s">
        <v>1013</v>
      </c>
      <c r="K103" s="6"/>
      <c r="L103" s="6"/>
    </row>
    <row r="104" spans="1:12" ht="15" customHeight="1" x14ac:dyDescent="0.25">
      <c r="A104" s="6"/>
      <c r="B104" s="6"/>
      <c r="C104" s="6"/>
      <c r="D104" s="6"/>
      <c r="E104" s="6"/>
      <c r="F104" s="6"/>
      <c r="G104" s="6"/>
      <c r="H104" s="6"/>
      <c r="I104" s="80" t="s">
        <v>840</v>
      </c>
      <c r="J104" s="80" t="s">
        <v>1013</v>
      </c>
      <c r="K104" s="6"/>
      <c r="L104" s="6"/>
    </row>
    <row r="105" spans="1:12" ht="15" customHeight="1" x14ac:dyDescent="0.25">
      <c r="A105" s="6"/>
      <c r="B105" s="6"/>
      <c r="C105" s="6"/>
      <c r="D105" s="6"/>
      <c r="E105" s="6"/>
      <c r="F105" s="6"/>
      <c r="G105" s="6"/>
      <c r="H105" s="6"/>
      <c r="I105" s="77" t="s">
        <v>957</v>
      </c>
      <c r="J105" s="77" t="s">
        <v>1013</v>
      </c>
      <c r="K105" s="6"/>
      <c r="L105" s="6"/>
    </row>
    <row r="106" spans="1:12" ht="15" customHeight="1" x14ac:dyDescent="0.25">
      <c r="A106" s="6"/>
      <c r="B106" s="6"/>
      <c r="C106" s="6"/>
      <c r="D106" s="6"/>
      <c r="E106" s="6"/>
      <c r="F106" s="6"/>
      <c r="G106" s="6"/>
      <c r="H106" s="6"/>
      <c r="I106" s="80" t="s">
        <v>703</v>
      </c>
      <c r="J106" s="80" t="s">
        <v>1013</v>
      </c>
      <c r="K106" s="6"/>
      <c r="L106" s="6"/>
    </row>
    <row r="107" spans="1:12" ht="15" customHeight="1" x14ac:dyDescent="0.25">
      <c r="A107" s="6"/>
      <c r="B107" s="6"/>
      <c r="C107" s="6"/>
      <c r="D107" s="6"/>
      <c r="E107" s="6"/>
      <c r="F107" s="6"/>
      <c r="G107" s="6"/>
      <c r="H107" s="6"/>
      <c r="I107" s="77" t="s">
        <v>778</v>
      </c>
      <c r="J107" s="77" t="s">
        <v>1013</v>
      </c>
      <c r="K107" s="6"/>
      <c r="L107" s="6"/>
    </row>
    <row r="108" spans="1:12" ht="15" customHeight="1" x14ac:dyDescent="0.25">
      <c r="A108" s="6"/>
      <c r="B108" s="6"/>
      <c r="C108" s="6"/>
      <c r="D108" s="6"/>
      <c r="E108" s="6"/>
      <c r="F108" s="6"/>
      <c r="G108" s="6"/>
      <c r="H108" s="6"/>
      <c r="I108" s="80" t="s">
        <v>417</v>
      </c>
      <c r="J108" s="80" t="s">
        <v>1013</v>
      </c>
      <c r="K108" s="6"/>
      <c r="L108" s="6"/>
    </row>
    <row r="109" spans="1:12" ht="15" customHeight="1" x14ac:dyDescent="0.25">
      <c r="A109" s="6"/>
      <c r="B109" s="6"/>
      <c r="C109" s="6"/>
      <c r="D109" s="6"/>
      <c r="E109" s="6"/>
      <c r="F109" s="6"/>
      <c r="G109" s="6"/>
      <c r="H109" s="6"/>
      <c r="I109" s="77" t="s">
        <v>640</v>
      </c>
      <c r="J109" s="77" t="s">
        <v>1013</v>
      </c>
      <c r="K109" s="6"/>
      <c r="L109" s="6"/>
    </row>
    <row r="110" spans="1:12" ht="15" customHeight="1" x14ac:dyDescent="0.25">
      <c r="A110" s="6"/>
      <c r="B110" s="6"/>
      <c r="C110" s="6"/>
      <c r="D110" s="6"/>
      <c r="E110" s="6"/>
      <c r="F110" s="6"/>
      <c r="G110" s="6"/>
      <c r="H110" s="6"/>
      <c r="I110" s="80" t="s">
        <v>741</v>
      </c>
      <c r="J110" s="80" t="s">
        <v>1013</v>
      </c>
      <c r="K110" s="6"/>
      <c r="L110" s="6"/>
    </row>
    <row r="111" spans="1:12" ht="15" customHeight="1" x14ac:dyDescent="0.25">
      <c r="A111" s="6"/>
      <c r="B111" s="6"/>
      <c r="C111" s="6"/>
      <c r="D111" s="6"/>
      <c r="E111" s="6"/>
      <c r="F111" s="6"/>
      <c r="G111" s="6"/>
      <c r="H111" s="6"/>
      <c r="I111" s="77" t="s">
        <v>336</v>
      </c>
      <c r="J111" s="77" t="s">
        <v>1013</v>
      </c>
      <c r="K111" s="6"/>
      <c r="L111" s="6"/>
    </row>
    <row r="112" spans="1:12" ht="15" customHeight="1" x14ac:dyDescent="0.25">
      <c r="A112" s="6"/>
      <c r="B112" s="6"/>
      <c r="C112" s="6"/>
      <c r="D112" s="6"/>
      <c r="E112" s="6"/>
      <c r="F112" s="6"/>
      <c r="G112" s="6"/>
      <c r="H112" s="6"/>
      <c r="I112" s="80" t="s">
        <v>293</v>
      </c>
      <c r="J112" s="80" t="s">
        <v>1013</v>
      </c>
      <c r="K112" s="6"/>
      <c r="L112" s="6"/>
    </row>
    <row r="113" spans="1:12" ht="15" customHeight="1" x14ac:dyDescent="0.25">
      <c r="A113" s="6"/>
      <c r="B113" s="6"/>
      <c r="C113" s="6"/>
      <c r="D113" s="6"/>
      <c r="E113" s="6"/>
      <c r="F113" s="6"/>
      <c r="G113" s="6"/>
      <c r="H113" s="6"/>
      <c r="I113" s="77" t="s">
        <v>837</v>
      </c>
      <c r="J113" s="77" t="s">
        <v>1013</v>
      </c>
      <c r="K113" s="6"/>
      <c r="L113" s="6"/>
    </row>
    <row r="114" spans="1:12" ht="15" customHeight="1" x14ac:dyDescent="0.25">
      <c r="A114" s="6"/>
      <c r="B114" s="6"/>
      <c r="C114" s="6"/>
      <c r="D114" s="6"/>
      <c r="E114" s="6"/>
      <c r="F114" s="6"/>
      <c r="G114" s="6"/>
      <c r="H114" s="6"/>
      <c r="I114" s="80" t="s">
        <v>700</v>
      </c>
      <c r="J114" s="80" t="s">
        <v>1013</v>
      </c>
      <c r="K114" s="6"/>
      <c r="L114" s="6"/>
    </row>
    <row r="115" spans="1:12" ht="15" customHeight="1" x14ac:dyDescent="0.25">
      <c r="A115" s="6"/>
      <c r="B115" s="6"/>
      <c r="C115" s="6"/>
      <c r="D115" s="6"/>
      <c r="E115" s="6"/>
      <c r="F115" s="6"/>
      <c r="G115" s="6"/>
      <c r="H115" s="6"/>
      <c r="I115" s="77" t="s">
        <v>854</v>
      </c>
      <c r="J115" s="77" t="s">
        <v>1013</v>
      </c>
      <c r="K115" s="6"/>
      <c r="L115" s="6"/>
    </row>
    <row r="116" spans="1:12" ht="15" customHeight="1" x14ac:dyDescent="0.25">
      <c r="A116" s="6"/>
      <c r="B116" s="6"/>
      <c r="C116" s="6"/>
      <c r="D116" s="6"/>
      <c r="E116" s="6"/>
      <c r="F116" s="6"/>
      <c r="G116" s="6"/>
      <c r="H116" s="6"/>
      <c r="I116" s="80" t="s">
        <v>380</v>
      </c>
      <c r="J116" s="80" t="s">
        <v>1013</v>
      </c>
      <c r="K116" s="6"/>
      <c r="L116" s="6"/>
    </row>
    <row r="117" spans="1:12" ht="15" customHeight="1" x14ac:dyDescent="0.25">
      <c r="A117" s="6"/>
      <c r="B117" s="6"/>
      <c r="C117" s="6"/>
      <c r="D117" s="6"/>
      <c r="E117" s="6"/>
      <c r="F117" s="6"/>
      <c r="G117" s="6"/>
      <c r="H117" s="6"/>
      <c r="I117" s="77" t="s">
        <v>962</v>
      </c>
      <c r="J117" s="77" t="s">
        <v>1013</v>
      </c>
      <c r="K117" s="6"/>
      <c r="L117" s="6"/>
    </row>
    <row r="118" spans="1:12" ht="15" customHeight="1" x14ac:dyDescent="0.25">
      <c r="A118" s="6"/>
      <c r="B118" s="6"/>
      <c r="C118" s="6"/>
      <c r="D118" s="6"/>
      <c r="E118" s="6"/>
      <c r="F118" s="6"/>
      <c r="G118" s="6"/>
      <c r="H118" s="6"/>
      <c r="I118" s="80" t="s">
        <v>355</v>
      </c>
      <c r="J118" s="80" t="s">
        <v>1013</v>
      </c>
      <c r="K118" s="6"/>
      <c r="L118" s="6"/>
    </row>
    <row r="119" spans="1:12" ht="15" customHeight="1" x14ac:dyDescent="0.25">
      <c r="A119" s="6"/>
      <c r="B119" s="6"/>
      <c r="C119" s="6"/>
      <c r="D119" s="6"/>
      <c r="E119" s="6"/>
      <c r="F119" s="6"/>
      <c r="G119" s="6"/>
      <c r="H119" s="6"/>
      <c r="I119" s="77" t="s">
        <v>188</v>
      </c>
      <c r="J119" s="77" t="s">
        <v>1013</v>
      </c>
      <c r="K119" s="6"/>
      <c r="L119" s="6"/>
    </row>
    <row r="120" spans="1:12" ht="15" customHeight="1" x14ac:dyDescent="0.25">
      <c r="A120" s="6"/>
      <c r="B120" s="6"/>
      <c r="C120" s="6"/>
      <c r="D120" s="6"/>
      <c r="E120" s="6"/>
      <c r="F120" s="6"/>
      <c r="G120" s="6"/>
      <c r="H120" s="6"/>
      <c r="I120" s="80" t="s">
        <v>747</v>
      </c>
      <c r="J120" s="80" t="s">
        <v>1013</v>
      </c>
      <c r="K120" s="6"/>
      <c r="L120" s="6"/>
    </row>
    <row r="121" spans="1:12" ht="15" customHeight="1" x14ac:dyDescent="0.25">
      <c r="A121" s="6"/>
      <c r="B121" s="6"/>
      <c r="C121" s="6"/>
      <c r="D121" s="6"/>
      <c r="E121" s="6"/>
      <c r="F121" s="6"/>
      <c r="G121" s="6"/>
      <c r="H121" s="6"/>
      <c r="I121" s="77" t="s">
        <v>69</v>
      </c>
      <c r="J121" s="77" t="s">
        <v>1013</v>
      </c>
      <c r="K121" s="6"/>
      <c r="L121" s="6"/>
    </row>
    <row r="122" spans="1:12" ht="15" customHeight="1" x14ac:dyDescent="0.25">
      <c r="A122" s="6"/>
      <c r="B122" s="6"/>
      <c r="C122" s="6"/>
      <c r="D122" s="6"/>
      <c r="E122" s="6"/>
      <c r="F122" s="6"/>
      <c r="G122" s="6"/>
      <c r="H122" s="6"/>
      <c r="I122" s="80" t="s">
        <v>806</v>
      </c>
      <c r="J122" s="80" t="s">
        <v>1013</v>
      </c>
      <c r="K122" s="6"/>
      <c r="L122" s="6"/>
    </row>
    <row r="123" spans="1:12" ht="15" customHeight="1" x14ac:dyDescent="0.25">
      <c r="A123" s="6"/>
      <c r="B123" s="6"/>
      <c r="C123" s="6"/>
      <c r="D123" s="6"/>
      <c r="E123" s="6"/>
      <c r="F123" s="6"/>
      <c r="G123" s="6"/>
      <c r="H123" s="6"/>
      <c r="I123" s="77" t="s">
        <v>181</v>
      </c>
      <c r="J123" s="77" t="s">
        <v>1013</v>
      </c>
      <c r="K123" s="6"/>
      <c r="L123" s="6"/>
    </row>
    <row r="124" spans="1:12" ht="15" customHeight="1" x14ac:dyDescent="0.25">
      <c r="A124" s="6"/>
      <c r="B124" s="6"/>
      <c r="C124" s="6"/>
      <c r="D124" s="6"/>
      <c r="E124" s="6"/>
      <c r="F124" s="6"/>
      <c r="G124" s="6"/>
      <c r="H124" s="6"/>
      <c r="I124" s="80" t="s">
        <v>1047</v>
      </c>
      <c r="J124" s="80" t="s">
        <v>1013</v>
      </c>
      <c r="K124" s="6"/>
      <c r="L124" s="6"/>
    </row>
    <row r="125" spans="1:12" ht="15" customHeight="1" x14ac:dyDescent="0.25">
      <c r="A125" s="6"/>
      <c r="B125" s="6"/>
      <c r="C125" s="6"/>
      <c r="D125" s="6"/>
      <c r="E125" s="6"/>
      <c r="F125" s="6"/>
      <c r="G125" s="6"/>
      <c r="H125" s="6"/>
      <c r="I125" s="77" t="s">
        <v>351</v>
      </c>
      <c r="J125" s="77" t="s">
        <v>1013</v>
      </c>
      <c r="K125" s="6"/>
      <c r="L125" s="6"/>
    </row>
    <row r="126" spans="1:12" ht="15" customHeight="1" x14ac:dyDescent="0.25">
      <c r="A126" s="6"/>
      <c r="B126" s="6"/>
      <c r="C126" s="6"/>
      <c r="D126" s="6"/>
      <c r="E126" s="6"/>
      <c r="F126" s="6"/>
      <c r="G126" s="6"/>
      <c r="H126" s="6"/>
      <c r="I126" s="80" t="s">
        <v>670</v>
      </c>
      <c r="J126" s="80" t="s">
        <v>1013</v>
      </c>
      <c r="K126" s="6"/>
      <c r="L126" s="6"/>
    </row>
    <row r="127" spans="1:12" ht="15" customHeight="1" x14ac:dyDescent="0.25">
      <c r="A127" s="6"/>
      <c r="B127" s="6"/>
      <c r="C127" s="6"/>
      <c r="D127" s="6"/>
      <c r="E127" s="6"/>
      <c r="F127" s="6"/>
      <c r="G127" s="6"/>
      <c r="H127" s="6"/>
      <c r="I127" s="77" t="s">
        <v>296</v>
      </c>
      <c r="J127" s="77" t="s">
        <v>1013</v>
      </c>
      <c r="K127" s="6"/>
      <c r="L127" s="6"/>
    </row>
    <row r="128" spans="1:12" ht="15" customHeight="1" x14ac:dyDescent="0.25">
      <c r="A128" s="6"/>
      <c r="B128" s="6"/>
      <c r="C128" s="6"/>
      <c r="D128" s="6"/>
      <c r="E128" s="6"/>
      <c r="F128" s="6"/>
      <c r="G128" s="6"/>
      <c r="H128" s="6"/>
      <c r="I128" s="80" t="s">
        <v>714</v>
      </c>
      <c r="J128" s="80" t="s">
        <v>1013</v>
      </c>
      <c r="K128" s="6"/>
      <c r="L128" s="6"/>
    </row>
    <row r="129" spans="1:12" ht="15" customHeight="1" x14ac:dyDescent="0.25">
      <c r="A129" s="6"/>
      <c r="B129" s="6"/>
      <c r="C129" s="6"/>
      <c r="D129" s="6"/>
      <c r="E129" s="6"/>
      <c r="F129" s="6"/>
      <c r="G129" s="6"/>
      <c r="H129" s="6"/>
      <c r="I129" s="77" t="s">
        <v>755</v>
      </c>
      <c r="J129" s="77" t="s">
        <v>1013</v>
      </c>
      <c r="K129" s="6"/>
      <c r="L129" s="6"/>
    </row>
    <row r="130" spans="1:12" ht="15" customHeight="1" x14ac:dyDescent="0.25">
      <c r="A130" s="6"/>
      <c r="B130" s="6"/>
      <c r="C130" s="6"/>
      <c r="D130" s="6"/>
      <c r="E130" s="6"/>
      <c r="F130" s="6"/>
      <c r="G130" s="6"/>
      <c r="H130" s="6"/>
      <c r="I130" s="80" t="s">
        <v>376</v>
      </c>
      <c r="J130" s="80" t="s">
        <v>1013</v>
      </c>
      <c r="K130" s="6"/>
      <c r="L130" s="6"/>
    </row>
    <row r="131" spans="1:12" ht="15" customHeight="1" x14ac:dyDescent="0.25">
      <c r="A131" s="6"/>
      <c r="B131" s="6"/>
      <c r="C131" s="6"/>
      <c r="D131" s="6"/>
      <c r="E131" s="6"/>
      <c r="F131" s="6"/>
      <c r="G131" s="6"/>
      <c r="H131" s="6"/>
      <c r="I131" s="77" t="s">
        <v>906</v>
      </c>
      <c r="J131" s="77" t="s">
        <v>1013</v>
      </c>
      <c r="K131" s="6"/>
      <c r="L131" s="6"/>
    </row>
    <row r="132" spans="1:12" ht="15" customHeight="1" x14ac:dyDescent="0.25">
      <c r="A132" s="6"/>
      <c r="B132" s="6"/>
      <c r="C132" s="6"/>
      <c r="D132" s="6"/>
      <c r="E132" s="6"/>
      <c r="F132" s="6"/>
      <c r="G132" s="6"/>
      <c r="H132" s="6"/>
      <c r="I132" s="80" t="s">
        <v>691</v>
      </c>
      <c r="J132" s="80" t="s">
        <v>1013</v>
      </c>
      <c r="K132" s="6"/>
      <c r="L132" s="6"/>
    </row>
    <row r="133" spans="1:12" ht="15" customHeight="1" x14ac:dyDescent="0.25">
      <c r="A133" s="6"/>
      <c r="B133" s="6"/>
      <c r="C133" s="6"/>
      <c r="D133" s="6"/>
      <c r="E133" s="6"/>
      <c r="F133" s="6"/>
      <c r="G133" s="6"/>
      <c r="H133" s="6"/>
      <c r="I133" s="77" t="s">
        <v>722</v>
      </c>
      <c r="J133" s="77" t="s">
        <v>1013</v>
      </c>
      <c r="K133" s="6"/>
      <c r="L133" s="6"/>
    </row>
    <row r="134" spans="1:12" ht="15" customHeight="1" x14ac:dyDescent="0.25">
      <c r="A134" s="6"/>
      <c r="B134" s="6"/>
      <c r="C134" s="6"/>
      <c r="D134" s="6"/>
      <c r="E134" s="6"/>
      <c r="F134" s="6"/>
      <c r="G134" s="6"/>
      <c r="H134" s="6"/>
      <c r="I134" s="80" t="s">
        <v>535</v>
      </c>
      <c r="J134" s="80" t="s">
        <v>1013</v>
      </c>
      <c r="K134" s="6"/>
      <c r="L134" s="6"/>
    </row>
    <row r="135" spans="1:12" ht="15" customHeight="1" x14ac:dyDescent="0.25">
      <c r="A135" s="6"/>
      <c r="B135" s="6"/>
      <c r="C135" s="6"/>
      <c r="D135" s="6"/>
      <c r="E135" s="6"/>
      <c r="F135" s="6"/>
      <c r="G135" s="6"/>
      <c r="H135" s="6"/>
      <c r="I135" s="77" t="s">
        <v>693</v>
      </c>
      <c r="J135" s="77" t="s">
        <v>1013</v>
      </c>
      <c r="K135" s="6"/>
      <c r="L135" s="6"/>
    </row>
    <row r="136" spans="1:12" ht="15" customHeight="1" x14ac:dyDescent="0.25">
      <c r="A136" s="6"/>
      <c r="B136" s="6"/>
      <c r="C136" s="6"/>
      <c r="D136" s="6"/>
      <c r="E136" s="6"/>
      <c r="F136" s="6"/>
      <c r="G136" s="6"/>
      <c r="H136" s="6"/>
      <c r="I136" s="80" t="s">
        <v>1048</v>
      </c>
      <c r="J136" s="80" t="s">
        <v>1013</v>
      </c>
      <c r="K136" s="6"/>
      <c r="L136" s="6"/>
    </row>
    <row r="137" spans="1:12" ht="15" customHeight="1" x14ac:dyDescent="0.25">
      <c r="A137" s="6"/>
      <c r="B137" s="6"/>
      <c r="C137" s="6"/>
      <c r="D137" s="6"/>
      <c r="E137" s="6"/>
      <c r="F137" s="6"/>
      <c r="G137" s="6"/>
      <c r="H137" s="6"/>
      <c r="I137" s="77" t="s">
        <v>70</v>
      </c>
      <c r="J137" s="77" t="s">
        <v>1013</v>
      </c>
      <c r="K137" s="6"/>
      <c r="L137" s="6"/>
    </row>
    <row r="138" spans="1:12" ht="15" customHeight="1" x14ac:dyDescent="0.25">
      <c r="A138" s="6"/>
      <c r="B138" s="6"/>
      <c r="C138" s="6"/>
      <c r="D138" s="6"/>
      <c r="E138" s="6"/>
      <c r="F138" s="6"/>
      <c r="G138" s="6"/>
      <c r="H138" s="6"/>
      <c r="I138" s="80" t="s">
        <v>909</v>
      </c>
      <c r="J138" s="80" t="s">
        <v>1013</v>
      </c>
      <c r="K138" s="6"/>
      <c r="L138" s="6"/>
    </row>
    <row r="139" spans="1:12" ht="15" customHeight="1" x14ac:dyDescent="0.25">
      <c r="A139" s="6"/>
      <c r="B139" s="6"/>
      <c r="C139" s="6"/>
      <c r="D139" s="6"/>
      <c r="E139" s="6"/>
      <c r="F139" s="6"/>
      <c r="G139" s="6"/>
      <c r="H139" s="6"/>
      <c r="I139" s="77" t="s">
        <v>339</v>
      </c>
      <c r="J139" s="77" t="s">
        <v>1013</v>
      </c>
      <c r="K139" s="6"/>
      <c r="L139" s="6"/>
    </row>
    <row r="140" spans="1:12" ht="15" customHeight="1" x14ac:dyDescent="0.25">
      <c r="A140" s="6"/>
      <c r="B140" s="6"/>
      <c r="C140" s="6"/>
      <c r="D140" s="6"/>
      <c r="E140" s="6"/>
      <c r="F140" s="6"/>
      <c r="G140" s="6"/>
      <c r="H140" s="6"/>
      <c r="I140" s="80" t="s">
        <v>426</v>
      </c>
      <c r="J140" s="80" t="s">
        <v>1013</v>
      </c>
      <c r="K140" s="6"/>
      <c r="L140" s="6"/>
    </row>
    <row r="141" spans="1:12" ht="15" customHeight="1" x14ac:dyDescent="0.25">
      <c r="A141" s="6"/>
      <c r="B141" s="6"/>
      <c r="C141" s="6"/>
      <c r="D141" s="6"/>
      <c r="E141" s="6"/>
      <c r="F141" s="6"/>
      <c r="G141" s="6"/>
      <c r="H141" s="6"/>
      <c r="I141" s="77" t="s">
        <v>204</v>
      </c>
      <c r="J141" s="77" t="s">
        <v>1013</v>
      </c>
      <c r="K141" s="6"/>
      <c r="L141" s="6"/>
    </row>
    <row r="142" spans="1:12" ht="15" customHeight="1" x14ac:dyDescent="0.25">
      <c r="A142" s="6"/>
      <c r="B142" s="6"/>
      <c r="C142" s="6"/>
      <c r="D142" s="6"/>
      <c r="E142" s="6"/>
      <c r="F142" s="6"/>
      <c r="G142" s="6"/>
      <c r="H142" s="6"/>
      <c r="I142" s="80" t="s">
        <v>1049</v>
      </c>
      <c r="J142" s="80" t="s">
        <v>1013</v>
      </c>
      <c r="K142" s="6"/>
      <c r="L142" s="6"/>
    </row>
    <row r="143" spans="1:12" ht="15" customHeight="1" x14ac:dyDescent="0.25">
      <c r="A143" s="6"/>
      <c r="B143" s="6"/>
      <c r="C143" s="6"/>
      <c r="D143" s="6"/>
      <c r="E143" s="6"/>
      <c r="F143" s="6"/>
      <c r="G143" s="6"/>
      <c r="H143" s="6"/>
      <c r="I143" s="77" t="s">
        <v>1050</v>
      </c>
      <c r="J143" s="77" t="s">
        <v>1013</v>
      </c>
      <c r="K143" s="6"/>
      <c r="L143" s="6"/>
    </row>
    <row r="144" spans="1:12" ht="15" customHeight="1" x14ac:dyDescent="0.25">
      <c r="A144" s="6"/>
      <c r="B144" s="6"/>
      <c r="C144" s="6"/>
      <c r="D144" s="6"/>
      <c r="E144" s="6"/>
      <c r="F144" s="6"/>
      <c r="G144" s="6"/>
      <c r="H144" s="6"/>
      <c r="I144" s="80" t="s">
        <v>319</v>
      </c>
      <c r="J144" s="80" t="s">
        <v>1013</v>
      </c>
      <c r="K144" s="6"/>
      <c r="L144" s="6"/>
    </row>
    <row r="145" spans="1:12" ht="15" customHeight="1" x14ac:dyDescent="0.25">
      <c r="A145" s="6"/>
      <c r="B145" s="6"/>
      <c r="C145" s="6"/>
      <c r="D145" s="6"/>
      <c r="E145" s="6"/>
      <c r="F145" s="6"/>
      <c r="G145" s="6"/>
      <c r="H145" s="6"/>
      <c r="I145" s="77" t="s">
        <v>253</v>
      </c>
      <c r="J145" s="77" t="s">
        <v>1013</v>
      </c>
      <c r="K145" s="6"/>
      <c r="L145" s="6"/>
    </row>
    <row r="146" spans="1:12" ht="15" customHeight="1" x14ac:dyDescent="0.25">
      <c r="A146" s="6"/>
      <c r="B146" s="6"/>
      <c r="C146" s="6"/>
      <c r="D146" s="6"/>
      <c r="E146" s="6"/>
      <c r="F146" s="6"/>
      <c r="G146" s="6"/>
      <c r="H146" s="6"/>
      <c r="I146" s="80" t="s">
        <v>567</v>
      </c>
      <c r="J146" s="80" t="s">
        <v>1013</v>
      </c>
      <c r="K146" s="6"/>
      <c r="L146" s="6"/>
    </row>
    <row r="147" spans="1:12" ht="15" customHeight="1" x14ac:dyDescent="0.25">
      <c r="A147" s="6"/>
      <c r="B147" s="6"/>
      <c r="C147" s="6"/>
      <c r="D147" s="6"/>
      <c r="E147" s="6"/>
      <c r="F147" s="6"/>
      <c r="G147" s="6"/>
      <c r="H147" s="6"/>
      <c r="I147" s="77" t="s">
        <v>911</v>
      </c>
      <c r="J147" s="77" t="s">
        <v>1013</v>
      </c>
      <c r="K147" s="6"/>
      <c r="L147" s="6"/>
    </row>
    <row r="148" spans="1:12" ht="15" customHeight="1" x14ac:dyDescent="0.25">
      <c r="A148" s="6"/>
      <c r="B148" s="6"/>
      <c r="C148" s="6"/>
      <c r="D148" s="6"/>
      <c r="E148" s="6"/>
      <c r="F148" s="6"/>
      <c r="G148" s="6"/>
      <c r="H148" s="6"/>
      <c r="I148" s="80" t="s">
        <v>479</v>
      </c>
      <c r="J148" s="80" t="s">
        <v>1013</v>
      </c>
      <c r="K148" s="6"/>
      <c r="L148" s="6"/>
    </row>
    <row r="149" spans="1:12" ht="15" customHeight="1" x14ac:dyDescent="0.25">
      <c r="A149" s="6"/>
      <c r="B149" s="6"/>
      <c r="C149" s="6"/>
      <c r="D149" s="6"/>
      <c r="E149" s="6"/>
      <c r="F149" s="6"/>
      <c r="G149" s="6"/>
      <c r="H149" s="6"/>
      <c r="I149" s="77" t="s">
        <v>645</v>
      </c>
      <c r="J149" s="77" t="s">
        <v>1013</v>
      </c>
      <c r="K149" s="6"/>
      <c r="L149" s="6"/>
    </row>
    <row r="150" spans="1:12" ht="15" customHeight="1" x14ac:dyDescent="0.25">
      <c r="A150" s="6"/>
      <c r="B150" s="6"/>
      <c r="C150" s="6"/>
      <c r="D150" s="6"/>
      <c r="E150" s="6"/>
      <c r="F150" s="6"/>
      <c r="G150" s="6"/>
      <c r="H150" s="6"/>
      <c r="I150" s="80" t="s">
        <v>310</v>
      </c>
      <c r="J150" s="80" t="s">
        <v>1013</v>
      </c>
      <c r="K150" s="6"/>
      <c r="L150" s="6"/>
    </row>
    <row r="151" spans="1:12" ht="15" customHeight="1" x14ac:dyDescent="0.25">
      <c r="A151" s="6"/>
      <c r="B151" s="6"/>
      <c r="C151" s="6"/>
      <c r="D151" s="6"/>
      <c r="E151" s="6"/>
      <c r="F151" s="6"/>
      <c r="G151" s="6"/>
      <c r="H151" s="6"/>
      <c r="I151" s="77" t="s">
        <v>590</v>
      </c>
      <c r="J151" s="77" t="s">
        <v>1013</v>
      </c>
      <c r="K151" s="6"/>
      <c r="L151" s="6"/>
    </row>
    <row r="152" spans="1:12" ht="15" customHeight="1" x14ac:dyDescent="0.25">
      <c r="A152" s="6"/>
      <c r="B152" s="6"/>
      <c r="C152" s="6"/>
      <c r="D152" s="6"/>
      <c r="E152" s="6"/>
      <c r="F152" s="6"/>
      <c r="G152" s="6"/>
      <c r="H152" s="6"/>
      <c r="I152" s="80" t="s">
        <v>887</v>
      </c>
      <c r="J152" s="80" t="s">
        <v>1013</v>
      </c>
      <c r="K152" s="6"/>
      <c r="L152" s="6"/>
    </row>
    <row r="153" spans="1:12" ht="15" customHeight="1" x14ac:dyDescent="0.25">
      <c r="A153" s="6"/>
      <c r="B153" s="6"/>
      <c r="C153" s="6"/>
      <c r="D153" s="6"/>
      <c r="E153" s="6"/>
      <c r="F153" s="6"/>
      <c r="G153" s="6"/>
      <c r="H153" s="6"/>
      <c r="I153" s="77" t="s">
        <v>1043</v>
      </c>
      <c r="J153" s="77" t="s">
        <v>1013</v>
      </c>
      <c r="K153" s="6"/>
      <c r="L153" s="6"/>
    </row>
    <row r="154" spans="1:12" ht="15" customHeight="1" x14ac:dyDescent="0.25">
      <c r="A154" s="6"/>
      <c r="B154" s="6"/>
      <c r="C154" s="6"/>
      <c r="D154" s="6"/>
      <c r="E154" s="6"/>
      <c r="F154" s="6"/>
      <c r="G154" s="6"/>
      <c r="H154" s="6"/>
      <c r="I154" s="80" t="s">
        <v>684</v>
      </c>
      <c r="J154" s="80" t="s">
        <v>1013</v>
      </c>
      <c r="K154" s="6"/>
      <c r="L154" s="6"/>
    </row>
    <row r="155" spans="1:12" ht="15" customHeight="1" x14ac:dyDescent="0.25">
      <c r="A155" s="6"/>
      <c r="B155" s="6"/>
      <c r="C155" s="6"/>
      <c r="D155" s="6"/>
      <c r="E155" s="6"/>
      <c r="F155" s="6"/>
      <c r="G155" s="6"/>
      <c r="H155" s="6"/>
      <c r="I155" s="77" t="s">
        <v>696</v>
      </c>
      <c r="J155" s="77" t="s">
        <v>1013</v>
      </c>
      <c r="K155" s="6"/>
      <c r="L155" s="6"/>
    </row>
    <row r="156" spans="1:12" ht="15" customHeight="1" x14ac:dyDescent="0.25">
      <c r="A156" s="6"/>
      <c r="B156" s="6"/>
      <c r="C156" s="6"/>
      <c r="D156" s="6"/>
      <c r="E156" s="6"/>
      <c r="F156" s="6"/>
      <c r="G156" s="6"/>
      <c r="H156" s="6"/>
      <c r="I156" s="80" t="s">
        <v>775</v>
      </c>
      <c r="J156" s="80" t="s">
        <v>1013</v>
      </c>
      <c r="K156" s="6"/>
      <c r="L156" s="6"/>
    </row>
    <row r="157" spans="1:12" ht="15" customHeight="1" x14ac:dyDescent="0.25">
      <c r="A157" s="6"/>
      <c r="B157" s="6"/>
      <c r="C157" s="6"/>
      <c r="D157" s="6"/>
      <c r="E157" s="6"/>
      <c r="F157" s="6"/>
      <c r="G157" s="6"/>
      <c r="H157" s="6"/>
      <c r="I157" s="77" t="s">
        <v>686</v>
      </c>
      <c r="J157" s="77" t="s">
        <v>1013</v>
      </c>
      <c r="K157" s="6"/>
      <c r="L157" s="6"/>
    </row>
    <row r="158" spans="1:12" ht="15" customHeight="1" x14ac:dyDescent="0.25">
      <c r="A158" s="6"/>
      <c r="B158" s="6"/>
      <c r="C158" s="6"/>
      <c r="D158" s="6"/>
      <c r="E158" s="6"/>
      <c r="F158" s="6"/>
      <c r="G158" s="6"/>
      <c r="H158" s="6"/>
      <c r="I158" s="80" t="s">
        <v>1051</v>
      </c>
      <c r="J158" s="80" t="s">
        <v>1013</v>
      </c>
      <c r="K158" s="6"/>
      <c r="L158" s="6"/>
    </row>
    <row r="159" spans="1:12" ht="15" customHeight="1" x14ac:dyDescent="0.25">
      <c r="A159" s="6"/>
      <c r="B159" s="6"/>
      <c r="C159" s="6"/>
      <c r="D159" s="6"/>
      <c r="E159" s="6"/>
      <c r="F159" s="6"/>
      <c r="G159" s="6"/>
      <c r="H159" s="6"/>
      <c r="I159" s="77" t="s">
        <v>299</v>
      </c>
      <c r="J159" s="77" t="s">
        <v>1013</v>
      </c>
      <c r="K159" s="6"/>
      <c r="L159" s="6"/>
    </row>
    <row r="160" spans="1:12" ht="15" customHeight="1" x14ac:dyDescent="0.25">
      <c r="A160" s="6"/>
      <c r="B160" s="6"/>
      <c r="C160" s="6"/>
      <c r="D160" s="6"/>
      <c r="E160" s="6"/>
      <c r="F160" s="6"/>
      <c r="G160" s="6"/>
      <c r="H160" s="6"/>
      <c r="I160" s="80" t="s">
        <v>246</v>
      </c>
      <c r="J160" s="80" t="s">
        <v>1013</v>
      </c>
      <c r="K160" s="6"/>
      <c r="L160" s="6"/>
    </row>
    <row r="161" spans="1:12" ht="15" customHeight="1" x14ac:dyDescent="0.25">
      <c r="A161" s="6"/>
      <c r="B161" s="6"/>
      <c r="C161" s="6"/>
      <c r="D161" s="6"/>
      <c r="E161" s="6"/>
      <c r="F161" s="6"/>
      <c r="G161" s="6"/>
      <c r="H161" s="6"/>
      <c r="I161" s="77" t="s">
        <v>725</v>
      </c>
      <c r="J161" s="77" t="s">
        <v>1013</v>
      </c>
      <c r="K161" s="6"/>
      <c r="L161" s="6"/>
    </row>
    <row r="162" spans="1:12" ht="15" customHeight="1" x14ac:dyDescent="0.25">
      <c r="A162" s="6"/>
      <c r="B162" s="6"/>
      <c r="C162" s="6"/>
      <c r="D162" s="6"/>
      <c r="E162" s="6"/>
      <c r="F162" s="6"/>
      <c r="G162" s="6"/>
      <c r="H162" s="6"/>
      <c r="I162" s="80" t="s">
        <v>647</v>
      </c>
      <c r="J162" s="80" t="s">
        <v>1013</v>
      </c>
      <c r="K162" s="6"/>
      <c r="L162" s="6"/>
    </row>
    <row r="163" spans="1:12" ht="15" customHeight="1" x14ac:dyDescent="0.25">
      <c r="A163" s="6"/>
      <c r="B163" s="6"/>
      <c r="C163" s="6"/>
      <c r="D163" s="6"/>
      <c r="E163" s="6"/>
      <c r="F163" s="6"/>
      <c r="G163" s="6"/>
      <c r="H163" s="6"/>
      <c r="I163" s="77" t="s">
        <v>1052</v>
      </c>
      <c r="J163" s="77" t="s">
        <v>1013</v>
      </c>
      <c r="K163" s="6"/>
      <c r="L163" s="6"/>
    </row>
    <row r="164" spans="1:12" ht="15" customHeight="1" x14ac:dyDescent="0.25">
      <c r="A164" s="6"/>
      <c r="B164" s="6"/>
      <c r="C164" s="6"/>
      <c r="D164" s="6"/>
      <c r="E164" s="6"/>
      <c r="F164" s="6"/>
      <c r="G164" s="6"/>
      <c r="H164" s="6"/>
      <c r="I164" s="80" t="s">
        <v>631</v>
      </c>
      <c r="J164" s="80" t="s">
        <v>1013</v>
      </c>
      <c r="K164" s="6"/>
      <c r="L164" s="6"/>
    </row>
    <row r="165" spans="1:12" ht="15" customHeight="1" x14ac:dyDescent="0.25">
      <c r="A165" s="6"/>
      <c r="B165" s="6"/>
      <c r="C165" s="6"/>
      <c r="D165" s="6"/>
      <c r="E165" s="6"/>
      <c r="F165" s="6"/>
      <c r="G165" s="6"/>
      <c r="H165" s="6"/>
      <c r="I165" s="77" t="s">
        <v>616</v>
      </c>
      <c r="J165" s="77" t="s">
        <v>1013</v>
      </c>
      <c r="K165" s="6"/>
      <c r="L165" s="6"/>
    </row>
    <row r="166" spans="1:12" ht="15" customHeight="1" x14ac:dyDescent="0.25">
      <c r="A166" s="6"/>
      <c r="B166" s="6"/>
      <c r="C166" s="6"/>
      <c r="D166" s="6"/>
      <c r="E166" s="6"/>
      <c r="F166" s="6"/>
      <c r="G166" s="6"/>
      <c r="H166" s="6"/>
      <c r="I166" s="80" t="s">
        <v>843</v>
      </c>
      <c r="J166" s="80" t="s">
        <v>1013</v>
      </c>
      <c r="K166" s="6"/>
      <c r="L166" s="6"/>
    </row>
    <row r="167" spans="1:12" ht="15" customHeight="1" x14ac:dyDescent="0.25">
      <c r="A167" s="6"/>
      <c r="B167" s="6"/>
      <c r="C167" s="6"/>
      <c r="D167" s="6"/>
      <c r="E167" s="6"/>
      <c r="F167" s="6"/>
      <c r="G167" s="6"/>
      <c r="H167" s="6"/>
      <c r="I167" s="77" t="s">
        <v>688</v>
      </c>
      <c r="J167" s="77" t="s">
        <v>1013</v>
      </c>
      <c r="K167" s="6"/>
      <c r="L167" s="6"/>
    </row>
    <row r="168" spans="1:12" ht="15" customHeight="1" x14ac:dyDescent="0.25">
      <c r="A168" s="6"/>
      <c r="B168" s="6"/>
      <c r="C168" s="6"/>
      <c r="D168" s="6"/>
      <c r="E168" s="6"/>
      <c r="F168" s="6"/>
      <c r="G168" s="6"/>
      <c r="H168" s="6"/>
      <c r="I168" s="80" t="s">
        <v>289</v>
      </c>
      <c r="J168" s="80" t="s">
        <v>1013</v>
      </c>
      <c r="K168" s="6"/>
      <c r="L168" s="6"/>
    </row>
    <row r="169" spans="1:12" ht="15" customHeight="1" x14ac:dyDescent="0.25">
      <c r="A169" s="6"/>
      <c r="B169" s="6"/>
      <c r="C169" s="6"/>
      <c r="D169" s="6"/>
      <c r="E169" s="6"/>
      <c r="F169" s="6"/>
      <c r="G169" s="6"/>
      <c r="H169" s="6"/>
      <c r="I169" s="77" t="s">
        <v>728</v>
      </c>
      <c r="J169" s="77" t="s">
        <v>1013</v>
      </c>
      <c r="K169" s="6"/>
      <c r="L169" s="6"/>
    </row>
    <row r="170" spans="1:12" ht="15" customHeight="1" x14ac:dyDescent="0.25">
      <c r="A170" s="6"/>
      <c r="B170" s="6"/>
      <c r="C170" s="6"/>
      <c r="D170" s="6"/>
      <c r="E170" s="6"/>
      <c r="F170" s="6"/>
      <c r="G170" s="6"/>
      <c r="H170" s="6"/>
      <c r="I170" s="80" t="s">
        <v>607</v>
      </c>
      <c r="J170" s="80" t="s">
        <v>1013</v>
      </c>
      <c r="K170" s="6"/>
      <c r="L170" s="6"/>
    </row>
    <row r="171" spans="1:12" ht="15" customHeight="1" x14ac:dyDescent="0.25">
      <c r="A171" s="6"/>
      <c r="B171" s="6"/>
      <c r="C171" s="6"/>
      <c r="D171" s="6"/>
      <c r="E171" s="6"/>
      <c r="F171" s="6"/>
      <c r="G171" s="6"/>
      <c r="H171" s="6"/>
      <c r="I171" s="77" t="s">
        <v>192</v>
      </c>
      <c r="J171" s="77" t="s">
        <v>481</v>
      </c>
      <c r="K171" s="6"/>
      <c r="L171" s="6"/>
    </row>
    <row r="172" spans="1:12" ht="15" customHeight="1" x14ac:dyDescent="0.25">
      <c r="A172" s="6"/>
      <c r="B172" s="6"/>
      <c r="C172" s="6"/>
      <c r="D172" s="6"/>
      <c r="E172" s="6"/>
      <c r="F172" s="6"/>
      <c r="G172" s="6"/>
      <c r="H172" s="6"/>
      <c r="I172" s="80" t="s">
        <v>1045</v>
      </c>
      <c r="J172" s="80" t="s">
        <v>481</v>
      </c>
      <c r="K172" s="6"/>
      <c r="L172" s="6"/>
    </row>
    <row r="173" spans="1:12" ht="15" customHeight="1" x14ac:dyDescent="0.25">
      <c r="A173" s="6"/>
      <c r="B173" s="6"/>
      <c r="C173" s="6"/>
      <c r="D173" s="6"/>
      <c r="E173" s="6"/>
      <c r="F173" s="6"/>
      <c r="G173" s="6"/>
      <c r="H173" s="6"/>
      <c r="I173" s="77" t="s">
        <v>481</v>
      </c>
      <c r="J173" s="77" t="s">
        <v>481</v>
      </c>
      <c r="K173" s="6"/>
      <c r="L173" s="6"/>
    </row>
    <row r="174" spans="1:12" ht="15" customHeight="1" x14ac:dyDescent="0.25">
      <c r="A174" s="6"/>
      <c r="B174" s="6"/>
      <c r="C174" s="6"/>
      <c r="D174" s="6"/>
      <c r="E174" s="6"/>
      <c r="F174" s="6"/>
      <c r="G174" s="6"/>
      <c r="H174" s="6"/>
      <c r="I174" s="80" t="s">
        <v>91</v>
      </c>
      <c r="J174" s="80" t="s">
        <v>91</v>
      </c>
      <c r="K174" s="6"/>
      <c r="L174" s="6"/>
    </row>
    <row r="175" spans="1:12" ht="15" customHeight="1" x14ac:dyDescent="0.25">
      <c r="A175" s="6"/>
      <c r="B175" s="6"/>
      <c r="C175" s="6"/>
      <c r="D175" s="6"/>
      <c r="E175" s="6"/>
      <c r="F175" s="6"/>
      <c r="G175" s="6"/>
      <c r="H175" s="6"/>
      <c r="I175" s="77" t="s">
        <v>185</v>
      </c>
      <c r="J175" s="77" t="s">
        <v>91</v>
      </c>
      <c r="K175" s="6"/>
      <c r="L175" s="6"/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E479EDDFE58E42A20C8E4AE72ECE7B" ma:contentTypeVersion="10" ma:contentTypeDescription="Create a new document." ma:contentTypeScope="" ma:versionID="6006947c9f193339b2ca069fc4635da2">
  <xsd:schema xmlns:xsd="http://www.w3.org/2001/XMLSchema" xmlns:xs="http://www.w3.org/2001/XMLSchema" xmlns:p="http://schemas.microsoft.com/office/2006/metadata/properties" xmlns:ns2="d1ae7eb8-7d3b-41d5-9a4a-f85879a1fc85" xmlns:ns3="2faa8da6-ae23-4326-9b2d-b2eba265c26e" targetNamespace="http://schemas.microsoft.com/office/2006/metadata/properties" ma:root="true" ma:fieldsID="51e3f8ff7aa1e456fabeed5f1508a6c5" ns2:_="" ns3:_="">
    <xsd:import namespace="d1ae7eb8-7d3b-41d5-9a4a-f85879a1fc85"/>
    <xsd:import namespace="2faa8da6-ae23-4326-9b2d-b2eba265c2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ae7eb8-7d3b-41d5-9a4a-f85879a1fc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aa8da6-ae23-4326-9b2d-b2eba265c26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92E8B79-D643-4DEE-AE74-EA25936053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ae7eb8-7d3b-41d5-9a4a-f85879a1fc85"/>
    <ds:schemaRef ds:uri="2faa8da6-ae23-4326-9b2d-b2eba265c2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BFF7BC-9E44-4966-8A11-A36C65A2E7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AE5435-E9F9-4ED6-BBB5-F5C29D28411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Dashboard</vt:lpstr>
      <vt:lpstr>Multi-Year Analytics</vt:lpstr>
      <vt:lpstr>FY 2027 (Jan27-Dec27)</vt:lpstr>
      <vt:lpstr>FY 2026 (Jan26-Dec26)</vt:lpstr>
      <vt:lpstr>FY 2025 (Jan25-Dec25)</vt:lpstr>
      <vt:lpstr>FY 2024 (Jan24-Dec24)</vt:lpstr>
      <vt:lpstr>FY 2023 (Jan23-Dec23)</vt:lpstr>
      <vt:lpstr>Data</vt:lpstr>
      <vt:lpstr>Reference</vt:lpstr>
      <vt:lpstr>Dashboard!Print_Area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Kyle Mahoney</cp:lastModifiedBy>
  <cp:revision>0</cp:revision>
  <dcterms:created xsi:type="dcterms:W3CDTF">2026-03-19T18:31:16Z</dcterms:created>
  <dcterms:modified xsi:type="dcterms:W3CDTF">2026-04-13T19:27:24Z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0x01010029E479EDDFE58E42A20C8E4AE72ECE7B</vt:lpwstr>
  </property>
</Properties>
</file>