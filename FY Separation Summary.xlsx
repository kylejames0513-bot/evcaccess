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45" windowWidth="29040" windowHeight="15720" tabRatio="500" firstSheet="0" activeTab="0" autoFilterDateGrouping="1"/>
  </bookViews>
  <sheets>
    <sheet name="Dashboard" sheetId="1" state="visible" r:id="rId1"/>
    <sheet name="Multi-Year Analytics" sheetId="2" state="visible" r:id="rId2"/>
    <sheet name="FY 2027 (Jan27-Dec27)" sheetId="3" state="visible" r:id="rId3"/>
    <sheet name="FY 2026 (Jan26-Dec26)" sheetId="4" state="visible" r:id="rId4"/>
    <sheet name="FY 2025 (Jan25-Dec25)" sheetId="5" state="visible" r:id="rId5"/>
    <sheet name="FY 2024 (Jan24-Dec24)" sheetId="6" state="visible" r:id="rId6"/>
    <sheet name="FY 2023 (Jan23-Dec23)" sheetId="7" state="visible" r:id="rId7"/>
    <sheet name="Data" sheetId="8" state="hidden" r:id="rId8"/>
    <sheet name="Reference" sheetId="9" state="hidden" r:id="rId9"/>
    <sheet name="Sync Log" sheetId="10" state="visible" r:id="rId10"/>
  </sheets>
  <definedNames>
    <definedName name="_xlnm.Print_Area" localSheetId="0">'Dashboard'!$A$1:$J$85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mm/dd/yyyy"/>
    <numFmt numFmtId="167" formatCode="yyyy-mm-dd h:mm:ss"/>
  </numFmts>
  <fonts count="44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color theme="1"/>
      <sz val="9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4C6E7"/>
      <sz val="14"/>
    </font>
    <font>
      <name val="Arial"/>
      <charset val="1"/>
      <family val="2"/>
      <b val="1"/>
      <color rgb="FF666666"/>
      <sz val="10"/>
    </font>
    <font>
      <name val="Arial"/>
      <charset val="1"/>
      <family val="2"/>
      <b val="1"/>
      <color rgb="FF1F3864"/>
      <sz val="10"/>
    </font>
    <font>
      <name val="Arial"/>
      <charset val="1"/>
      <color rgb="FF999999"/>
      <sz val="9"/>
    </font>
    <font>
      <name val="Arial"/>
      <charset val="1"/>
      <color rgb="FFCCCCCC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333333"/>
      <sz val="10"/>
    </font>
    <font>
      <name val="Arial"/>
      <charset val="1"/>
      <color rgb="FF1A1A1A"/>
      <sz val="9"/>
    </font>
    <font>
      <name val="Arial"/>
      <charset val="1"/>
      <color rgb="FF2C3E50"/>
      <sz val="9"/>
    </font>
    <font>
      <name val="Arial"/>
      <charset val="1"/>
      <color rgb="FFFFF2CC"/>
      <sz val="9"/>
    </font>
    <font>
      <name val="Arial"/>
      <charset val="1"/>
      <family val="2"/>
      <b val="1"/>
      <i val="1"/>
      <color rgb="FF2F5496"/>
      <sz val="10"/>
    </font>
    <font>
      <name val="Arial"/>
      <charset val="1"/>
      <color rgb="FF666666"/>
      <sz val="9"/>
    </font>
    <font>
      <name val="Arial"/>
      <charset val="1"/>
      <sz val="9"/>
    </font>
    <font>
      <name val="Arial"/>
      <charset val="1"/>
      <b val="1"/>
      <color rgb="FFFFFFFF"/>
      <sz val="16"/>
    </font>
    <font>
      <name val="Arial"/>
      <charset val="1"/>
      <color rgb="FFBDC3C7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b val="1"/>
      <color rgb="FF2C3E50"/>
      <sz val="10"/>
    </font>
    <font>
      <name val="Arial"/>
      <charset val="1"/>
      <b val="1"/>
      <color rgb="FF2C3E50"/>
      <sz val="12"/>
    </font>
    <font>
      <name val="Arial"/>
      <charset val="1"/>
      <b val="1"/>
      <color rgb="FF7F8C8D"/>
      <sz val="9"/>
    </font>
    <font>
      <name val="Arial"/>
      <charset val="1"/>
      <color rgb="FF2E86AB"/>
      <sz val="9"/>
    </font>
    <font>
      <name val="Arial"/>
      <charset val="1"/>
      <b val="1"/>
      <color rgb="FF2E86AB"/>
      <sz val="10"/>
    </font>
    <font>
      <name val="Arial"/>
      <charset val="1"/>
      <b val="1"/>
      <color rgb="FFFFFFFF"/>
      <sz val="12"/>
    </font>
    <font>
      <name val="Arial"/>
      <charset val="1"/>
      <b val="1"/>
      <color rgb="FF2F5496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333333"/>
      <sz val="10"/>
    </font>
    <font>
      <name val="Arial"/>
      <charset val="1"/>
      <b val="1"/>
      <color rgb="FF548235"/>
      <sz val="12"/>
    </font>
    <font>
      <name val="Arial"/>
      <charset val="1"/>
      <b val="1"/>
      <color rgb="FF95A5A6"/>
      <sz val="9"/>
    </font>
    <font>
      <name val="Arial"/>
      <charset val="1"/>
      <b val="1"/>
      <color rgb="FF1B2A4A"/>
      <sz val="12"/>
    </font>
    <font>
      <name val="Arial"/>
      <charset val="1"/>
      <b val="1"/>
      <color rgb="FFE74C3C"/>
      <sz val="12"/>
    </font>
    <font>
      <name val="Arial"/>
      <charset val="1"/>
      <b val="1"/>
      <color rgb="FFF39C12"/>
      <sz val="12"/>
    </font>
    <font>
      <name val="Arial"/>
      <charset val="1"/>
      <color rgb="FF7F8C8D"/>
      <sz val="9"/>
    </font>
    <font>
      <name val="Arial"/>
      <charset val="1"/>
      <b val="1"/>
      <color rgb="FF2E86AB"/>
      <sz val="9"/>
    </font>
    <font>
      <name val="Arial"/>
      <charset val="1"/>
      <b val="1"/>
      <sz val="9"/>
    </font>
    <font>
      <name val="Arial"/>
      <charset val="1"/>
      <b val="1"/>
      <sz val="10"/>
    </font>
    <font>
      <name val="Arial"/>
      <charset val="1"/>
      <b val="1"/>
      <i val="1"/>
      <color rgb="FF2F5496"/>
      <sz val="10"/>
    </font>
    <font>
      <name val="Cambria"/>
      <charset val="1"/>
      <b val="1"/>
      <sz val="11"/>
    </font>
    <font>
      <name val="Arial"/>
      <charset val="1"/>
      <b val="1"/>
      <sz val="11"/>
    </font>
    <font>
      <b val="1"/>
    </font>
    <font>
      <i val="1"/>
      <color rgb="00808080"/>
    </font>
  </fonts>
  <fills count="23">
    <fill>
      <patternFill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  <fill>
      <patternFill patternType="solid">
        <fgColor rgb="00D9D9D9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  <border>
      <left/>
      <right/>
      <top style="thin">
        <color rgb="FFD5DDE5"/>
      </top>
      <bottom/>
      <diagonal/>
    </border>
    <border>
      <left/>
      <right/>
      <top style="thin">
        <color rgb="FFD5DDE5"/>
      </top>
      <bottom style="thin">
        <color rgb="FFD5DDE5"/>
      </bottom>
      <diagonal/>
    </border>
    <border>
      <left/>
      <right/>
      <top style="thick">
        <color rgb="FFB8860B"/>
      </top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1" fillId="12" borderId="4" applyAlignment="1" pivotButton="0" quotePrefix="0" xfId="0">
      <alignment horizontal="center" vertical="center"/>
    </xf>
    <xf numFmtId="164" fontId="11" fillId="12" borderId="4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10" borderId="6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1" fillId="8" borderId="7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0" fillId="13" borderId="4" applyAlignment="1" pivotButton="0" quotePrefix="0" xfId="0">
      <alignment horizontal="center" vertical="center"/>
    </xf>
    <xf numFmtId="0" fontId="11" fillId="13" borderId="4" applyAlignment="1" pivotButton="0" quotePrefix="0" xfId="0">
      <alignment horizontal="center" vertical="center"/>
    </xf>
    <xf numFmtId="164" fontId="11" fillId="13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64" fontId="6" fillId="4" borderId="4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9" fillId="14" borderId="9" applyAlignment="1" pivotButton="0" quotePrefix="0" xfId="0">
      <alignment horizontal="center" vertical="center"/>
    </xf>
    <xf numFmtId="0" fontId="2" fillId="14" borderId="9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5" fontId="11" fillId="12" borderId="4" applyAlignment="1" pivotButton="0" quotePrefix="0" xfId="0">
      <alignment horizontal="center" vertical="center"/>
    </xf>
    <xf numFmtId="10" fontId="11" fillId="12" borderId="4" applyAlignment="1" pivotButton="0" quotePrefix="0" xfId="0">
      <alignment horizontal="center" vertical="center"/>
    </xf>
    <xf numFmtId="10" fontId="11" fillId="8" borderId="4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164" fontId="14" fillId="13" borderId="3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164" fontId="6" fillId="8" borderId="0" applyAlignment="1" pivotButton="0" quotePrefix="0" xfId="0">
      <alignment horizontal="center" vertical="center"/>
    </xf>
    <xf numFmtId="165" fontId="11" fillId="8" borderId="0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11" fillId="8" borderId="10" applyAlignment="1" pivotButton="0" quotePrefix="0" xfId="0">
      <alignment horizontal="center" vertical="center"/>
    </xf>
    <xf numFmtId="164" fontId="11" fillId="8" borderId="1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6" fillId="9" borderId="0" applyAlignment="1" pivotButton="0" quotePrefix="0" xfId="0">
      <alignment horizontal="center" vertical="center"/>
    </xf>
    <xf numFmtId="165" fontId="6" fillId="9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164" fontId="16" fillId="9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5" fontId="7" fillId="9" borderId="0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center" vertical="center"/>
    </xf>
    <xf numFmtId="164" fontId="12" fillId="8" borderId="2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center" vertical="center"/>
    </xf>
    <xf numFmtId="0" fontId="21" fillId="16" borderId="2" applyAlignment="1" pivotButton="0" quotePrefix="0" xfId="0">
      <alignment horizontal="center" vertical="center"/>
    </xf>
    <xf numFmtId="1" fontId="12" fillId="16" borderId="2" applyAlignment="1" pivotButton="0" quotePrefix="0" xfId="0">
      <alignment horizontal="center" vertical="center"/>
    </xf>
    <xf numFmtId="1" fontId="21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center" vertical="center"/>
    </xf>
    <xf numFmtId="165" fontId="12" fillId="16" borderId="2" applyAlignment="1" pivotButton="0" quotePrefix="0" xfId="0">
      <alignment horizontal="center" vertical="center"/>
    </xf>
    <xf numFmtId="165" fontId="21" fillId="16" borderId="2" applyAlignment="1" pivotButton="0" quotePrefix="0" xfId="0">
      <alignment horizontal="center" vertical="center"/>
    </xf>
    <xf numFmtId="0" fontId="23" fillId="17" borderId="2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25" fillId="8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5" fillId="16" borderId="2" applyAlignment="1" pivotButton="0" quotePrefix="0" xfId="0">
      <alignment horizontal="center" vertical="center"/>
    </xf>
    <xf numFmtId="0" fontId="28" fillId="10" borderId="3" applyAlignment="1" pivotButton="0" quotePrefix="0" xfId="0">
      <alignment horizontal="center" vertical="center" wrapText="1"/>
    </xf>
    <xf numFmtId="0" fontId="29" fillId="8" borderId="11" applyAlignment="1" pivotButton="0" quotePrefix="0" xfId="0">
      <alignment horizontal="center" vertical="center"/>
    </xf>
    <xf numFmtId="164" fontId="16" fillId="8" borderId="11" applyAlignment="1" pivotButton="0" quotePrefix="0" xfId="0">
      <alignment horizontal="center" vertical="center"/>
    </xf>
    <xf numFmtId="0" fontId="30" fillId="8" borderId="11" applyAlignment="1" pivotButton="0" quotePrefix="0" xfId="0">
      <alignment horizontal="center" vertical="center"/>
    </xf>
    <xf numFmtId="0" fontId="29" fillId="18" borderId="11" applyAlignment="1" pivotButton="0" quotePrefix="0" xfId="0">
      <alignment horizontal="center" vertical="center"/>
    </xf>
    <xf numFmtId="0" fontId="16" fillId="18" borderId="11" applyAlignment="1" pivotButton="0" quotePrefix="0" xfId="0">
      <alignment horizontal="center" vertical="center"/>
    </xf>
    <xf numFmtId="165" fontId="16" fillId="18" borderId="11" applyAlignment="1" pivotButton="0" quotePrefix="0" xfId="0">
      <alignment horizontal="center" vertical="center"/>
    </xf>
    <xf numFmtId="0" fontId="30" fillId="18" borderId="11" applyAlignment="1" pivotButton="0" quotePrefix="0" xfId="0">
      <alignment horizontal="center" vertical="center"/>
    </xf>
    <xf numFmtId="0" fontId="16" fillId="8" borderId="11" applyAlignment="1" pivotButton="0" quotePrefix="0" xfId="0">
      <alignment horizontal="center" vertical="center"/>
    </xf>
    <xf numFmtId="165" fontId="16" fillId="8" borderId="11" applyAlignment="1" pivotButton="0" quotePrefix="0" xfId="0">
      <alignment horizontal="center" vertical="center"/>
    </xf>
    <xf numFmtId="0" fontId="29" fillId="8" borderId="12" applyAlignment="1" pivotButton="0" quotePrefix="0" xfId="0">
      <alignment horizontal="center" vertical="center"/>
    </xf>
    <xf numFmtId="0" fontId="16" fillId="8" borderId="12" applyAlignment="1" pivotButton="0" quotePrefix="0" xfId="0">
      <alignment horizontal="center" vertical="center"/>
    </xf>
    <xf numFmtId="165" fontId="16" fillId="8" borderId="12" applyAlignment="1" pivotButton="0" quotePrefix="0" xfId="0">
      <alignment horizontal="center" vertical="center"/>
    </xf>
    <xf numFmtId="0" fontId="31" fillId="7" borderId="13" applyAlignment="1" pivotButton="0" quotePrefix="0" xfId="0">
      <alignment horizontal="center" vertical="center"/>
    </xf>
    <xf numFmtId="0" fontId="32" fillId="7" borderId="13" applyAlignment="1" pivotButton="0" quotePrefix="0" xfId="0">
      <alignment horizontal="center" vertical="center"/>
    </xf>
    <xf numFmtId="0" fontId="0" fillId="7" borderId="13" applyAlignment="1" pivotButton="0" quotePrefix="0" xfId="0">
      <alignment horizontal="center" vertical="center"/>
    </xf>
    <xf numFmtId="0" fontId="33" fillId="7" borderId="13" applyAlignment="1" pivotButton="0" quotePrefix="0" xfId="0">
      <alignment horizontal="center" vertical="center"/>
    </xf>
    <xf numFmtId="164" fontId="34" fillId="7" borderId="13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166" fontId="0" fillId="8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66" fontId="0" fillId="16" borderId="2" applyAlignment="1" pivotButton="0" quotePrefix="0" xfId="0">
      <alignment horizontal="center" vertical="center"/>
    </xf>
    <xf numFmtId="0" fontId="35" fillId="16" borderId="2" applyAlignment="1" pivotButton="0" quotePrefix="0" xfId="0">
      <alignment horizontal="center" vertical="center"/>
    </xf>
    <xf numFmtId="0" fontId="36" fillId="19" borderId="2" applyAlignment="1" pivotButton="0" quotePrefix="0" xfId="0">
      <alignment horizontal="center" vertical="center"/>
    </xf>
    <xf numFmtId="0" fontId="25" fillId="19" borderId="2" applyAlignment="1" pivotButton="0" quotePrefix="0" xfId="0">
      <alignment horizontal="center" vertical="center"/>
    </xf>
    <xf numFmtId="0" fontId="0" fillId="19" borderId="2" applyAlignment="1" pivotButton="0" quotePrefix="0" xfId="0">
      <alignment horizontal="center" vertical="center"/>
    </xf>
    <xf numFmtId="0" fontId="32" fillId="6" borderId="13" applyAlignment="1" pivotButton="0" quotePrefix="0" xfId="0">
      <alignment horizontal="center" vertical="center"/>
    </xf>
    <xf numFmtId="0" fontId="33" fillId="20" borderId="13" applyAlignment="1" pivotButton="0" quotePrefix="0" xfId="0">
      <alignment horizontal="center" vertical="center"/>
    </xf>
    <xf numFmtId="166" fontId="12" fillId="8" borderId="2" applyAlignment="1" pivotButton="0" quotePrefix="0" xfId="0">
      <alignment horizontal="center" vertical="center"/>
    </xf>
    <xf numFmtId="166" fontId="12" fillId="16" borderId="2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 wrapText="1"/>
    </xf>
    <xf numFmtId="0" fontId="20" fillId="3" borderId="15" applyAlignment="1" pivotButton="0" quotePrefix="0" xfId="0">
      <alignment horizontal="center" vertical="center" wrapText="1"/>
    </xf>
    <xf numFmtId="0" fontId="20" fillId="3" borderId="16" applyAlignment="1" pivotButton="0" quotePrefix="0" xfId="0">
      <alignment horizontal="center" vertical="center" wrapText="1"/>
    </xf>
    <xf numFmtId="0" fontId="12" fillId="16" borderId="17" applyAlignment="1" pivotButton="0" quotePrefix="0" xfId="0">
      <alignment horizontal="center" vertical="center"/>
    </xf>
    <xf numFmtId="0" fontId="35" fillId="16" borderId="18" applyAlignment="1" pivotButton="0" quotePrefix="0" xfId="0">
      <alignment horizontal="center" vertical="center"/>
    </xf>
    <xf numFmtId="0" fontId="12" fillId="8" borderId="17" applyAlignment="1" pivotButton="0" quotePrefix="0" xfId="0">
      <alignment horizontal="center" vertical="center"/>
    </xf>
    <xf numFmtId="0" fontId="35" fillId="8" borderId="18" applyAlignment="1" pivotButton="0" quotePrefix="0" xfId="0">
      <alignment horizontal="center" vertical="center"/>
    </xf>
    <xf numFmtId="0" fontId="12" fillId="8" borderId="19" applyAlignment="1" pivotButton="0" quotePrefix="0" xfId="0">
      <alignment horizontal="center" vertical="center"/>
    </xf>
    <xf numFmtId="166" fontId="12" fillId="8" borderId="20" applyAlignment="1" pivotButton="0" quotePrefix="0" xfId="0">
      <alignment horizontal="center" vertical="center"/>
    </xf>
    <xf numFmtId="0" fontId="12" fillId="8" borderId="20" applyAlignment="1" pivotButton="0" quotePrefix="0" xfId="0">
      <alignment horizontal="center" vertical="center"/>
    </xf>
    <xf numFmtId="0" fontId="35" fillId="8" borderId="21" applyAlignment="1" pivotButton="0" quotePrefix="0" xfId="0">
      <alignment horizontal="center" vertical="center"/>
    </xf>
    <xf numFmtId="0" fontId="0" fillId="20" borderId="20" applyAlignment="1" pivotButton="0" quotePrefix="0" xfId="0">
      <alignment horizontal="center" vertical="center"/>
    </xf>
    <xf numFmtId="166" fontId="0" fillId="20" borderId="20" applyAlignment="1" pivotButton="0" quotePrefix="0" xfId="0">
      <alignment horizontal="center" vertical="center"/>
    </xf>
    <xf numFmtId="166" fontId="0" fillId="8" borderId="20" applyAlignment="1" pivotButton="0" quotePrefix="0" xfId="0">
      <alignment horizontal="center" vertical="center"/>
    </xf>
    <xf numFmtId="0" fontId="0" fillId="21" borderId="20" applyAlignment="1" pivotButton="0" quotePrefix="0" xfId="0">
      <alignment horizontal="center" vertical="center"/>
    </xf>
    <xf numFmtId="166" fontId="0" fillId="21" borderId="20" applyAlignment="1" pivotButton="0" quotePrefix="0" xfId="0">
      <alignment horizontal="center" vertical="center"/>
    </xf>
    <xf numFmtId="0" fontId="35" fillId="8" borderId="20" applyAlignment="1" pivotButton="0" quotePrefix="0" xfId="0">
      <alignment horizontal="center" vertical="center"/>
    </xf>
    <xf numFmtId="0" fontId="0" fillId="20" borderId="2" applyAlignment="1" pivotButton="0" quotePrefix="0" xfId="0">
      <alignment horizontal="center" vertical="center"/>
    </xf>
    <xf numFmtId="166" fontId="0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8" borderId="11" applyAlignment="1" pivotButton="0" quotePrefix="0" xfId="0">
      <alignment horizontal="center" vertical="center"/>
    </xf>
    <xf numFmtId="0" fontId="38" fillId="18" borderId="11" applyAlignment="1" pivotButton="0" quotePrefix="0" xfId="0">
      <alignment horizontal="center" vertical="center"/>
    </xf>
    <xf numFmtId="0" fontId="39" fillId="13" borderId="3" applyAlignment="1" pivotButton="0" quotePrefix="0" xfId="0">
      <alignment horizontal="center" vertical="center"/>
    </xf>
    <xf numFmtId="165" fontId="39" fillId="13" borderId="3" applyAlignment="1" pivotButton="0" quotePrefix="0" xfId="0">
      <alignment horizontal="center" vertical="center"/>
    </xf>
    <xf numFmtId="164" fontId="16" fillId="18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/>
    </xf>
    <xf numFmtId="0" fontId="13" fillId="14" borderId="9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6" borderId="5" applyAlignment="1" pivotButton="0" quotePrefix="0" xfId="0">
      <alignment horizontal="center" vertical="center"/>
    </xf>
    <xf numFmtId="0" fontId="27" fillId="0" borderId="5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14" fontId="12" fillId="16" borderId="2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9" pivotButton="0" quotePrefix="0" xfId="0"/>
    <xf numFmtId="167" fontId="25" fillId="19" borderId="2" applyAlignment="1" pivotButton="0" quotePrefix="0" xfId="0">
      <alignment horizontal="center" vertical="center"/>
    </xf>
    <xf numFmtId="167" fontId="0" fillId="19" borderId="2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42" fillId="22" borderId="0" applyAlignment="1" pivotButton="0" quotePrefix="0" xfId="0">
      <alignment horizontal="left"/>
    </xf>
    <xf numFmtId="0" fontId="4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Stage 4 setup</author>
  </authors>
  <commentList>
    <comment ref="A5" authorId="0" shapeId="0">
      <text>
        <t>After importing HubSync.bas (see scripts/separation-summary/README.md):
  * The macro runs automatically on workbook open if auto-sync is enabled.
  * To run manually, Alt+F8 -&gt; HubSync.HubSync -&gt; Run.
HubSync reads the current FY sheet (this B5 cell) and pushes any separation whose Date of Separation has arrived to the hub's Supabase employees table.</t>
      </text>
    </comment>
  </commentList>
</comments>
</file>

<file path=xl/comments/comment2.xml><?xml version="1.0" encoding="utf-8"?>
<comments xmlns="http://schemas.openxmlformats.org/spreadsheetml/2006/main">
  <authors>
    <author>Stage 2 cleanup</author>
  </authors>
  <commentList>
    <comment ref="A75" authorId="0" shapeId="0">
      <text>
        <t>Preserved from historical layout (old row 48):
"Was not included in numbers so do not count below...let's discuss"
The March subtotal is now a live =COUNTA formula. If you intentionally want to exclude one entry, add an 'Excluded' marker column rather than hard-coding the subtotal.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baseColWidth="8" defaultColWidth="8.7109375" defaultRowHeight="12.75"/>
  <cols>
    <col width="57.85546875" customWidth="1" style="2" min="1" max="1"/>
    <col width="11.85546875" customWidth="1" style="2" min="2" max="2"/>
    <col width="16.7109375" customWidth="1" style="2" min="3" max="3"/>
    <col width="18.28515625" customWidth="1" style="2" min="4" max="4"/>
    <col width="20" customWidth="1" style="2" min="5" max="5"/>
    <col width="35.28515625" customWidth="1" style="2" min="6" max="6"/>
    <col width="30" customWidth="1" style="2" min="7" max="7"/>
    <col width="29.7109375" customWidth="1" style="2" min="8" max="8"/>
    <col width="13.28515625" customWidth="1" style="2" min="9" max="9"/>
    <col width="6.85546875" customWidth="1" style="2" min="10" max="10"/>
    <col width="3" customWidth="1" style="2" min="11" max="11"/>
    <col width="12.140625" customWidth="1" style="2" min="12" max="12"/>
    <col width="2" customWidth="1" style="2" min="13" max="14"/>
    <col width="8.7109375" customWidth="1" style="2" min="15" max="16384"/>
  </cols>
  <sheetData>
    <row r="1" ht="6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4" t="n"/>
      <c r="M1" s="4" t="n"/>
      <c r="N1" s="4" t="n"/>
    </row>
    <row r="2" ht="33.75" customHeight="1">
      <c r="A2" s="154" t="inlineStr">
        <is>
          <t>EMPLOYEE SEPARATION ANALYTICS DASHBOARD</t>
        </is>
      </c>
    </row>
    <row r="3" ht="27.75" customHeight="1">
      <c r="A3" s="155" t="inlineStr">
        <is>
          <t>Emory Valley Center</t>
        </is>
      </c>
    </row>
    <row r="4" ht="7.5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n"/>
      <c r="L4" s="6" t="n"/>
      <c r="M4" s="6" t="n"/>
      <c r="N4" s="6" t="n"/>
    </row>
    <row r="5" ht="30" customHeight="1">
      <c r="A5" s="7" t="inlineStr">
        <is>
          <t>CALENDAR YEAR:</t>
        </is>
      </c>
      <c r="B5" s="8" t="inlineStr">
        <is>
          <t>FY 2026</t>
        </is>
      </c>
      <c r="C5" s="9" t="inlineStr">
        <is>
          <t>JAN 1 — DEC 31</t>
        </is>
      </c>
      <c r="D5" s="7" t="inlineStr">
        <is>
          <t>EVC FISCAL YEAR:</t>
        </is>
      </c>
      <c r="E5" s="10" t="n"/>
      <c r="F5" s="7" t="n"/>
      <c r="G5" s="8" t="inlineStr">
        <is>
          <t>FY EVC 2026</t>
        </is>
      </c>
      <c r="H5" s="11" t="inlineStr">
        <is>
          <t>JUL 1 — JUN 30</t>
        </is>
      </c>
      <c r="I5" s="5" t="n"/>
      <c r="J5" s="5" t="n"/>
      <c r="K5" s="12" t="n"/>
      <c r="L5" s="12" t="n"/>
      <c r="M5" s="12" t="n"/>
      <c r="N5" s="12" t="n"/>
    </row>
    <row r="6" ht="6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6" t="n"/>
      <c r="L6" s="6" t="n"/>
      <c r="M6" s="6" t="n"/>
      <c r="N6" s="6" t="n"/>
    </row>
    <row r="7" ht="19.5" customHeight="1">
      <c r="A7" s="156" t="inlineStr">
        <is>
          <t>TOTAL ACTIVE EMPLOYEES</t>
        </is>
      </c>
      <c r="B7" s="170" t="n"/>
      <c r="C7" s="171" t="n"/>
      <c r="D7" s="156" t="inlineStr">
        <is>
          <t>YTD SEPARATIONS</t>
        </is>
      </c>
      <c r="E7" s="170" t="n"/>
      <c r="F7" s="171" t="n"/>
      <c r="G7" s="156" t="inlineStr">
        <is>
          <t>TURNOVER RATE</t>
        </is>
      </c>
      <c r="H7" s="170" t="n"/>
      <c r="I7" s="171" t="n"/>
      <c r="J7" s="156" t="inlineStr">
        <is>
          <t>VOLUNTARY %</t>
        </is>
      </c>
      <c r="K7" s="170" t="n"/>
      <c r="L7" s="171" t="n"/>
      <c r="M7" s="6" t="n"/>
      <c r="N7" s="6" t="n"/>
    </row>
    <row r="8" ht="36" customHeight="1">
      <c r="A8" s="149">
        <f>VLOOKUP($B$5,Data!$A$2:$K$6,2,FALSE())</f>
        <v/>
      </c>
      <c r="B8" s="170" t="n"/>
      <c r="C8" s="171" t="n"/>
      <c r="D8" s="150">
        <f>VLOOKUP($B$5,Data!$A$2:$K$6,3,FALSE())</f>
        <v/>
      </c>
      <c r="E8" s="170" t="n"/>
      <c r="F8" s="171" t="n"/>
      <c r="G8" s="151">
        <f>VLOOKUP($B$5,Data!$A$2:$K$6,4,FALSE())</f>
        <v/>
      </c>
      <c r="H8" s="170" t="n"/>
      <c r="I8" s="171" t="n"/>
      <c r="J8" s="151">
        <f>VLOOKUP($B$5,Data!$A$2:$K$6,9,FALSE())</f>
        <v/>
      </c>
      <c r="K8" s="170" t="n"/>
      <c r="L8" s="171" t="n"/>
      <c r="M8" s="6" t="n"/>
      <c r="N8" s="6" t="n"/>
    </row>
    <row r="9" ht="15.75" customHeight="1">
      <c r="A9" s="152" t="inlineStr">
        <is>
          <t>as of FY start</t>
        </is>
      </c>
      <c r="B9" s="170" t="n"/>
      <c r="C9" s="171" t="n"/>
      <c r="D9" s="153">
        <f>VLOOKUP($B$5,Data!$A$2:$K$6,6,FALSE())&amp;" voluntary / "&amp;VLOOKUP($B$5,Data!$A$2:$K$6,7,FALSE())&amp;" involuntary"</f>
        <v/>
      </c>
      <c r="E9" s="170" t="n"/>
      <c r="F9" s="171" t="n"/>
      <c r="G9" s="153">
        <f>"Avg "&amp;TEXT(VLOOKUP($B$5,Data!$A$2:$K$6,5,FALSE()),"0.0")&amp;"/month"</f>
        <v/>
      </c>
      <c r="H9" s="170" t="n"/>
      <c r="I9" s="171" t="n"/>
      <c r="J9" s="153">
        <f>"Rehire eligible: "&amp;TEXT(VLOOKUP($B$5,Data!$A$2:$K$6,10,FALSE()),"0%")</f>
        <v/>
      </c>
      <c r="K9" s="170" t="n"/>
      <c r="L9" s="171" t="n"/>
      <c r="M9" s="6" t="n"/>
      <c r="N9" s="6" t="n"/>
    </row>
    <row r="10" ht="7.5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6" t="n"/>
      <c r="L10" s="6" t="n"/>
      <c r="M10" s="6" t="n"/>
      <c r="N10" s="6" t="n"/>
    </row>
    <row r="11" ht="27.75" customHeight="1">
      <c r="A11" s="146" t="inlineStr">
        <is>
          <t xml:space="preserve">  MONTHLY SEPARATIONS</t>
        </is>
      </c>
      <c r="F11" s="13" t="n"/>
      <c r="G11" s="146" t="inlineStr">
        <is>
          <t xml:space="preserve">  SEPARATIONS BY JOB</t>
        </is>
      </c>
      <c r="K11" s="6" t="n"/>
      <c r="L11" s="6" t="n"/>
      <c r="M11" s="6" t="n"/>
      <c r="N11" s="6" t="n"/>
    </row>
    <row r="12" ht="24" customHeight="1">
      <c r="A12" s="14" t="inlineStr">
        <is>
          <t>Month</t>
        </is>
      </c>
      <c r="B12" s="14" t="inlineStr">
        <is>
          <t>Separations</t>
        </is>
      </c>
      <c r="C12" s="14" t="inlineStr">
        <is>
          <t>% of YTD</t>
        </is>
      </c>
      <c r="D12" s="14" t="inlineStr">
        <is>
          <t>TOR %</t>
        </is>
      </c>
      <c r="E12" s="14" t="inlineStr">
        <is>
          <t>Cumulative</t>
        </is>
      </c>
      <c r="F12" s="13" t="n"/>
      <c r="G12" s="14" t="inlineStr">
        <is>
          <t>Job Title</t>
        </is>
      </c>
      <c r="H12" s="14" t="inlineStr">
        <is>
          <t>Count</t>
        </is>
      </c>
      <c r="I12" s="14" t="inlineStr">
        <is>
          <t>% of Total</t>
        </is>
      </c>
      <c r="J12" s="14" t="inlineStr">
        <is>
          <t>TOR %</t>
        </is>
      </c>
      <c r="K12" s="6" t="n"/>
      <c r="L12" s="6" t="n"/>
      <c r="M12" s="6" t="n"/>
      <c r="N12" s="6" t="n"/>
    </row>
    <row r="13" ht="19.5" customHeight="1">
      <c r="A13" s="15" t="inlineStr">
        <is>
          <t>January</t>
        </is>
      </c>
      <c r="B13" s="16">
        <f>INDEX(Data!$A$11:$M$15,MATCH($B$5,Data!$A$11:$A$15,0),2)</f>
        <v/>
      </c>
      <c r="C13" s="17">
        <f>IF(VLOOKUP($B$5,Data!$A$2:$K$6,3,FALSE())=0,0,B13/VLOOKUP($B$5,Data!$A$2:$K$6,3,FALSE()))</f>
        <v/>
      </c>
      <c r="D13" s="17">
        <f>IF(VLOOKUP($B$5,Data!$A$2:$K$6,2,FALSE())=0,0,B13/VLOOKUP($B$5,Data!$A$2:$K$6,2,FALSE()))</f>
        <v/>
      </c>
      <c r="E13" s="16">
        <f>B13</f>
        <v/>
      </c>
      <c r="F13" s="13" t="n"/>
      <c r="G13" s="18" t="inlineStr">
        <is>
          <t>LEADERSHIP</t>
        </is>
      </c>
      <c r="H13" s="18" t="n"/>
      <c r="I13" s="18" t="n"/>
      <c r="J13" s="18" t="n"/>
      <c r="K13" s="6" t="n"/>
      <c r="L13" s="6" t="n"/>
      <c r="M13" s="6" t="n"/>
      <c r="N13" s="6" t="n"/>
    </row>
    <row r="14" ht="19.5" customHeight="1">
      <c r="A14" s="19" t="inlineStr">
        <is>
          <t>February</t>
        </is>
      </c>
      <c r="B14" s="20">
        <f>INDEX(Data!$A$11:$M$15,MATCH($B$5,Data!$A$11:$A$15,0),3)</f>
        <v/>
      </c>
      <c r="C14" s="21">
        <f>IF(VLOOKUP($B$5,Data!$A$2:$K$6,3,FALSE())=0,0,B14/VLOOKUP($B$5,Data!$A$2:$K$6,3,FALSE()))</f>
        <v/>
      </c>
      <c r="D14" s="21">
        <f>IF(VLOOKUP($B$5,Data!$A$2:$K$6,2,FALSE())=0,0,B14/VLOOKUP($B$5,Data!$A$2:$K$6,2,FALSE()))</f>
        <v/>
      </c>
      <c r="E14" s="20">
        <f>E13+B14</f>
        <v/>
      </c>
      <c r="F14" s="13" t="n"/>
      <c r="G14" s="16" t="inlineStr">
        <is>
          <t>President</t>
        </is>
      </c>
      <c r="H14" s="16">
        <f>INDEX(Data!$A$21:$F$21,1,MATCH($B$5,Data!$B$20:$F$20,0)+1)</f>
        <v/>
      </c>
      <c r="I14" s="17">
        <f>IF(VLOOKUP($B$5,Data!$A$2:$K$6,3,FALSE())=0,0,H14/VLOOKUP($B$5,Data!$A$2:$K$6,3,FALSE()))</f>
        <v/>
      </c>
      <c r="J14" s="17">
        <f>IF(VLOOKUP($B$5,Data!$A$2:$K$6,2,FALSE())=0,0,H14/VLOOKUP($B$5,Data!$A$2:$K$6,2,FALSE()))</f>
        <v/>
      </c>
      <c r="K14" s="6" t="n"/>
      <c r="L14" s="6" t="n"/>
      <c r="M14" s="6" t="n"/>
      <c r="N14" s="6" t="n"/>
    </row>
    <row r="15" ht="19.5" customHeight="1">
      <c r="A15" s="15" t="inlineStr">
        <is>
          <t>March</t>
        </is>
      </c>
      <c r="B15" s="16">
        <f>INDEX(Data!$A$11:$M$15,MATCH($B$5,Data!$A$11:$A$15,0),4)</f>
        <v/>
      </c>
      <c r="C15" s="17">
        <f>IF(VLOOKUP($B$5,Data!$A$2:$K$6,3,FALSE())=0,0,B15/VLOOKUP($B$5,Data!$A$2:$K$6,3,FALSE()))</f>
        <v/>
      </c>
      <c r="D15" s="17">
        <f>IF(VLOOKUP($B$5,Data!$A$2:$K$6,2,FALSE())=0,0,B15/VLOOKUP($B$5,Data!$A$2:$K$6,2,FALSE()))</f>
        <v/>
      </c>
      <c r="E15" s="16">
        <f>E14+B15</f>
        <v/>
      </c>
      <c r="F15" s="13" t="n"/>
      <c r="G15" s="20" t="inlineStr">
        <is>
          <t>VP of Operations</t>
        </is>
      </c>
      <c r="H15" s="20">
        <f>INDEX(Data!$A$22:$F$22,1,MATCH($B$5,Data!$B$20:$F$20,0)+1)</f>
        <v/>
      </c>
      <c r="I15" s="21">
        <f>IF(VLOOKUP($B$5,Data!$A$2:$K$6,3,FALSE())=0,0,H15/VLOOKUP($B$5,Data!$A$2:$K$6,3,FALSE()))</f>
        <v/>
      </c>
      <c r="J15" s="21">
        <f>IF(VLOOKUP($B$5,Data!$A$2:$K$6,2,FALSE())=0,0,H15/VLOOKUP($B$5,Data!$A$2:$K$6,2,FALSE()))</f>
        <v/>
      </c>
      <c r="K15" s="6" t="n"/>
      <c r="L15" s="6" t="n"/>
      <c r="M15" s="6" t="n"/>
      <c r="N15" s="6" t="n"/>
    </row>
    <row r="16" ht="19.5" customHeight="1">
      <c r="A16" s="19" t="inlineStr">
        <is>
          <t>April</t>
        </is>
      </c>
      <c r="B16" s="20">
        <f>INDEX(Data!$A$11:$M$15,MATCH($B$5,Data!$A$11:$A$15,0),5)</f>
        <v/>
      </c>
      <c r="C16" s="21">
        <f>IF(VLOOKUP($B$5,Data!$A$2:$K$6,3,FALSE())=0,0,B16/VLOOKUP($B$5,Data!$A$2:$K$6,3,FALSE()))</f>
        <v/>
      </c>
      <c r="D16" s="21">
        <f>IF(VLOOKUP($B$5,Data!$A$2:$K$6,2,FALSE())=0,0,B16/VLOOKUP($B$5,Data!$A$2:$K$6,2,FALSE()))</f>
        <v/>
      </c>
      <c r="E16" s="20">
        <f>E15+B16</f>
        <v/>
      </c>
      <c r="F16" s="13" t="n"/>
      <c r="G16" s="16" t="inlineStr">
        <is>
          <t>VP of Children Services</t>
        </is>
      </c>
      <c r="H16" s="16">
        <f>INDEX(Data!$A$23:$F$23,1,MATCH($B$5,Data!$B$20:$F$20,0)+1)</f>
        <v/>
      </c>
      <c r="I16" s="17">
        <f>IF(VLOOKUP($B$5,Data!$A$2:$K$6,3,FALSE())=0,0,H16/VLOOKUP($B$5,Data!$A$2:$K$6,3,FALSE()))</f>
        <v/>
      </c>
      <c r="J16" s="17">
        <f>IF(VLOOKUP($B$5,Data!$A$2:$K$6,2,FALSE())=0,0,H16/VLOOKUP($B$5,Data!$A$2:$K$6,2,FALSE()))</f>
        <v/>
      </c>
      <c r="K16" s="6" t="n"/>
      <c r="L16" s="6" t="n"/>
      <c r="M16" s="6" t="n"/>
      <c r="N16" s="6" t="n"/>
    </row>
    <row r="17" ht="19.5" customHeight="1">
      <c r="A17" s="15" t="inlineStr">
        <is>
          <t>May</t>
        </is>
      </c>
      <c r="B17" s="16">
        <f>INDEX(Data!$A$11:$M$15,MATCH($B$5,Data!$A$11:$A$15,0),6)</f>
        <v/>
      </c>
      <c r="C17" s="17">
        <f>IF(VLOOKUP($B$5,Data!$A$2:$K$6,3,FALSE())=0,0,B17/VLOOKUP($B$5,Data!$A$2:$K$6,3,FALSE()))</f>
        <v/>
      </c>
      <c r="D17" s="17">
        <f>IF(VLOOKUP($B$5,Data!$A$2:$K$6,2,FALSE())=0,0,B17/VLOOKUP($B$5,Data!$A$2:$K$6,2,FALSE()))</f>
        <v/>
      </c>
      <c r="E17" s="16">
        <f>E16+B17</f>
        <v/>
      </c>
      <c r="F17" s="13" t="n"/>
      <c r="G17" s="20" t="inlineStr">
        <is>
          <t>VP of Professional Services</t>
        </is>
      </c>
      <c r="H17" s="20">
        <f>INDEX(Data!$A$24:$F$24,1,MATCH($B$5,Data!$B$20:$F$20,0)+1)</f>
        <v/>
      </c>
      <c r="I17" s="21">
        <f>IF(VLOOKUP($B$5,Data!$A$2:$K$6,3,FALSE())=0,0,H17/VLOOKUP($B$5,Data!$A$2:$K$6,3,FALSE()))</f>
        <v/>
      </c>
      <c r="J17" s="21">
        <f>IF(VLOOKUP($B$5,Data!$A$2:$K$6,2,FALSE())=0,0,H17/VLOOKUP($B$5,Data!$A$2:$K$6,2,FALSE()))</f>
        <v/>
      </c>
      <c r="K17" s="6" t="n"/>
      <c r="L17" s="6" t="n"/>
      <c r="M17" s="6" t="n"/>
      <c r="N17" s="6" t="n"/>
    </row>
    <row r="18" ht="19.5" customHeight="1">
      <c r="A18" s="19" t="inlineStr">
        <is>
          <t>June</t>
        </is>
      </c>
      <c r="B18" s="20">
        <f>INDEX(Data!$A$11:$M$15,MATCH($B$5,Data!$A$11:$A$15,0),7)</f>
        <v/>
      </c>
      <c r="C18" s="21">
        <f>IF(VLOOKUP($B$5,Data!$A$2:$K$6,3,FALSE())=0,0,B18/VLOOKUP($B$5,Data!$A$2:$K$6,3,FALSE()))</f>
        <v/>
      </c>
      <c r="D18" s="21">
        <f>IF(VLOOKUP($B$5,Data!$A$2:$K$6,2,FALSE())=0,0,B18/VLOOKUP($B$5,Data!$A$2:$K$6,2,FALSE()))</f>
        <v/>
      </c>
      <c r="E18" s="20">
        <f>E17+B18</f>
        <v/>
      </c>
      <c r="F18" s="13" t="n"/>
      <c r="G18" s="16" t="inlineStr">
        <is>
          <t>VP of Behavioral Health</t>
        </is>
      </c>
      <c r="H18" s="16">
        <f>INDEX(Data!$A$25:$F$25,1,MATCH($B$5,Data!$B$20:$F$20,0)+1)</f>
        <v/>
      </c>
      <c r="I18" s="17">
        <f>IF(VLOOKUP($B$5,Data!$A$2:$K$6,3,FALSE())=0,0,H18/VLOOKUP($B$5,Data!$A$2:$K$6,3,FALSE()))</f>
        <v/>
      </c>
      <c r="J18" s="17">
        <f>IF(VLOOKUP($B$5,Data!$A$2:$K$6,2,FALSE())=0,0,H18/VLOOKUP($B$5,Data!$A$2:$K$6,2,FALSE()))</f>
        <v/>
      </c>
      <c r="K18" s="6" t="n"/>
      <c r="L18" s="6" t="n"/>
      <c r="M18" s="6" t="n"/>
      <c r="N18" s="6" t="n"/>
    </row>
    <row r="19" ht="19.5" customHeight="1">
      <c r="A19" s="15" t="inlineStr">
        <is>
          <t>July</t>
        </is>
      </c>
      <c r="B19" s="16">
        <f>INDEX(Data!$A$11:$M$15,MATCH($B$5,Data!$A$11:$A$15,0),8)</f>
        <v/>
      </c>
      <c r="C19" s="17">
        <f>IF(VLOOKUP($B$5,Data!$A$2:$K$6,3,FALSE())=0,0,B19/VLOOKUP($B$5,Data!$A$2:$K$6,3,FALSE()))</f>
        <v/>
      </c>
      <c r="D19" s="17">
        <f>IF(VLOOKUP($B$5,Data!$A$2:$K$6,2,FALSE())=0,0,B19/VLOOKUP($B$5,Data!$A$2:$K$6,2,FALSE()))</f>
        <v/>
      </c>
      <c r="E19" s="16">
        <f>E18+B19</f>
        <v/>
      </c>
      <c r="F19" s="13" t="n"/>
      <c r="G19" s="20" t="inlineStr">
        <is>
          <t>VP of Human Resources</t>
        </is>
      </c>
      <c r="H19" s="20">
        <f>INDEX(Data!$A$26:$F$26,1,MATCH($B$5,Data!$B$20:$F$20,0)+1)</f>
        <v/>
      </c>
      <c r="I19" s="21">
        <f>IF(VLOOKUP($B$5,Data!$A$2:$K$6,3,FALSE())=0,0,H19/VLOOKUP($B$5,Data!$A$2:$K$6,3,FALSE()))</f>
        <v/>
      </c>
      <c r="J19" s="21">
        <f>IF(VLOOKUP($B$5,Data!$A$2:$K$6,2,FALSE())=0,0,H19/VLOOKUP($B$5,Data!$A$2:$K$6,2,FALSE()))</f>
        <v/>
      </c>
      <c r="K19" s="6" t="n"/>
      <c r="L19" s="6" t="n"/>
      <c r="M19" s="6" t="n"/>
      <c r="N19" s="6" t="n"/>
    </row>
    <row r="20" ht="19.5" customHeight="1">
      <c r="A20" s="19" t="inlineStr">
        <is>
          <t>August</t>
        </is>
      </c>
      <c r="B20" s="20">
        <f>INDEX(Data!$A$11:$M$15,MATCH($B$5,Data!$A$11:$A$15,0),9)</f>
        <v/>
      </c>
      <c r="C20" s="21">
        <f>IF(VLOOKUP($B$5,Data!$A$2:$K$6,3,FALSE())=0,0,B20/VLOOKUP($B$5,Data!$A$2:$K$6,3,FALSE()))</f>
        <v/>
      </c>
      <c r="D20" s="21">
        <f>IF(VLOOKUP($B$5,Data!$A$2:$K$6,2,FALSE())=0,0,B20/VLOOKUP($B$5,Data!$A$2:$K$6,2,FALSE()))</f>
        <v/>
      </c>
      <c r="E20" s="20">
        <f>E19+B20</f>
        <v/>
      </c>
      <c r="F20" s="13" t="n"/>
      <c r="G20" s="16" t="inlineStr">
        <is>
          <t>VP of Employment Services</t>
        </is>
      </c>
      <c r="H20" s="16">
        <f>INDEX(Data!$A$27:$F$27,1,MATCH($B$5,Data!$B$20:$F$20,0)+1)</f>
        <v/>
      </c>
      <c r="I20" s="17">
        <f>IF(VLOOKUP($B$5,Data!$A$2:$K$6,3,FALSE())=0,0,H20/VLOOKUP($B$5,Data!$A$2:$K$6,3,FALSE()))</f>
        <v/>
      </c>
      <c r="J20" s="17">
        <f>IF(VLOOKUP($B$5,Data!$A$2:$K$6,2,FALSE())=0,0,H20/VLOOKUP($B$5,Data!$A$2:$K$6,2,FALSE()))</f>
        <v/>
      </c>
      <c r="K20" s="6" t="n"/>
      <c r="L20" s="6" t="n"/>
      <c r="M20" s="6" t="n"/>
      <c r="N20" s="6" t="n"/>
    </row>
    <row r="21" ht="19.5" customHeight="1">
      <c r="A21" s="15" t="inlineStr">
        <is>
          <t>September</t>
        </is>
      </c>
      <c r="B21" s="16">
        <f>INDEX(Data!$A$11:$M$15,MATCH($B$5,Data!$A$11:$A$15,0),10)</f>
        <v/>
      </c>
      <c r="C21" s="17">
        <f>IF(VLOOKUP($B$5,Data!$A$2:$K$6,3,FALSE())=0,0,B21/VLOOKUP($B$5,Data!$A$2:$K$6,3,FALSE()))</f>
        <v/>
      </c>
      <c r="D21" s="17">
        <f>IF(VLOOKUP($B$5,Data!$A$2:$K$6,2,FALSE())=0,0,B21/VLOOKUP($B$5,Data!$A$2:$K$6,2,FALSE()))</f>
        <v/>
      </c>
      <c r="E21" s="16">
        <f>E20+B21</f>
        <v/>
      </c>
      <c r="F21" s="13" t="n"/>
      <c r="G21" s="20" t="inlineStr">
        <is>
          <t>VP of Family Support</t>
        </is>
      </c>
      <c r="H21" s="20">
        <f>INDEX(Data!$A$28:$F$28,1,MATCH($B$5,Data!$B$20:$F$20,0)+1)</f>
        <v/>
      </c>
      <c r="I21" s="21">
        <f>IF(VLOOKUP($B$5,Data!$A$2:$K$6,3,FALSE())=0,0,H21/VLOOKUP($B$5,Data!$A$2:$K$6,3,FALSE()))</f>
        <v/>
      </c>
      <c r="J21" s="21">
        <f>IF(VLOOKUP($B$5,Data!$A$2:$K$6,2,FALSE())=0,0,H21/VLOOKUP($B$5,Data!$A$2:$K$6,2,FALSE()))</f>
        <v/>
      </c>
      <c r="K21" s="6" t="n"/>
      <c r="L21" s="6" t="n"/>
      <c r="M21" s="6" t="n"/>
      <c r="N21" s="6" t="n"/>
    </row>
    <row r="22" ht="19.5" customHeight="1">
      <c r="A22" s="19" t="inlineStr">
        <is>
          <t>October</t>
        </is>
      </c>
      <c r="B22" s="20">
        <f>INDEX(Data!$A$11:$M$15,MATCH($B$5,Data!$A$11:$A$15,0),11)</f>
        <v/>
      </c>
      <c r="C22" s="21">
        <f>IF(VLOOKUP($B$5,Data!$A$2:$K$6,3,FALSE())=0,0,B22/VLOOKUP($B$5,Data!$A$2:$K$6,3,FALSE()))</f>
        <v/>
      </c>
      <c r="D22" s="21">
        <f>IF(VLOOKUP($B$5,Data!$A$2:$K$6,2,FALSE())=0,0,B22/VLOOKUP($B$5,Data!$A$2:$K$6,2,FALSE()))</f>
        <v/>
      </c>
      <c r="E22" s="20">
        <f>E21+B22</f>
        <v/>
      </c>
      <c r="F22" s="13" t="n"/>
      <c r="G22" s="16" t="inlineStr">
        <is>
          <t>VP of Finance</t>
        </is>
      </c>
      <c r="H22" s="16">
        <f>INDEX(Data!$A$29:$F$29,1,MATCH($B$5,Data!$B$20:$F$20,0)+1)</f>
        <v/>
      </c>
      <c r="I22" s="17">
        <f>IF(VLOOKUP($B$5,Data!$A$2:$K$6,3,FALSE())=0,0,H22/VLOOKUP($B$5,Data!$A$2:$K$6,3,FALSE()))</f>
        <v/>
      </c>
      <c r="J22" s="17">
        <f>IF(VLOOKUP($B$5,Data!$A$2:$K$6,2,FALSE())=0,0,H22/VLOOKUP($B$5,Data!$A$2:$K$6,2,FALSE()))</f>
        <v/>
      </c>
      <c r="K22" s="6" t="n"/>
      <c r="L22" s="6" t="n"/>
      <c r="M22" s="6" t="n"/>
      <c r="N22" s="6" t="n"/>
    </row>
    <row r="23" ht="19.5" customHeight="1">
      <c r="A23" s="15" t="inlineStr">
        <is>
          <t>November</t>
        </is>
      </c>
      <c r="B23" s="16">
        <f>INDEX(Data!$A$11:$M$15,MATCH($B$5,Data!$A$11:$A$15,0),12)</f>
        <v/>
      </c>
      <c r="C23" s="17">
        <f>IF(VLOOKUP($B$5,Data!$A$2:$K$6,3,FALSE())=0,0,B23/VLOOKUP($B$5,Data!$A$2:$K$6,3,FALSE()))</f>
        <v/>
      </c>
      <c r="D23" s="17">
        <f>IF(VLOOKUP($B$5,Data!$A$2:$K$6,2,FALSE())=0,0,B23/VLOOKUP($B$5,Data!$A$2:$K$6,2,FALSE()))</f>
        <v/>
      </c>
      <c r="E23" s="16">
        <f>E22+B23</f>
        <v/>
      </c>
      <c r="F23" s="13" t="n"/>
      <c r="G23" s="20" t="inlineStr">
        <is>
          <t>Director of Operations</t>
        </is>
      </c>
      <c r="H23" s="20">
        <f>INDEX(Data!$A$30:$F$30,1,MATCH($B$5,Data!$B$20:$F$20,0)+1)</f>
        <v/>
      </c>
      <c r="I23" s="21">
        <f>IF(VLOOKUP($B$5,Data!$A$2:$K$6,3,FALSE())=0,0,H23/VLOOKUP($B$5,Data!$A$2:$K$6,3,FALSE()))</f>
        <v/>
      </c>
      <c r="J23" s="21">
        <f>IF(VLOOKUP($B$5,Data!$A$2:$K$6,2,FALSE())=0,0,H23/VLOOKUP($B$5,Data!$A$2:$K$6,2,FALSE()))</f>
        <v/>
      </c>
      <c r="K23" s="6" t="n"/>
      <c r="L23" s="6" t="n"/>
      <c r="M23" s="6" t="n"/>
      <c r="N23" s="6" t="n"/>
    </row>
    <row r="24" ht="19.5" customHeight="1">
      <c r="A24" s="19" t="inlineStr">
        <is>
          <t>December</t>
        </is>
      </c>
      <c r="B24" s="20">
        <f>INDEX(Data!$A$11:$M$15,MATCH($B$5,Data!$A$11:$A$15,0),13)</f>
        <v/>
      </c>
      <c r="C24" s="21">
        <f>IF(VLOOKUP($B$5,Data!$A$2:$K$6,3,FALSE())=0,0,B24/VLOOKUP($B$5,Data!$A$2:$K$6,3,FALSE()))</f>
        <v/>
      </c>
      <c r="D24" s="21">
        <f>IF(VLOOKUP($B$5,Data!$A$2:$K$6,2,FALSE())=0,0,B24/VLOOKUP($B$5,Data!$A$2:$K$6,2,FALSE()))</f>
        <v/>
      </c>
      <c r="E24" s="20">
        <f>E23+B24</f>
        <v/>
      </c>
      <c r="F24" s="13" t="n"/>
      <c r="G24" s="16" t="inlineStr">
        <is>
          <t>Director of Children Services</t>
        </is>
      </c>
      <c r="H24" s="16">
        <f>INDEX(Data!$A$31:$F$31,1,MATCH($B$5,Data!$B$20:$F$20,0)+1)</f>
        <v/>
      </c>
      <c r="I24" s="17">
        <f>IF(VLOOKUP($B$5,Data!$A$2:$K$6,3,FALSE())=0,0,H24/VLOOKUP($B$5,Data!$A$2:$K$6,3,FALSE()))</f>
        <v/>
      </c>
      <c r="J24" s="17">
        <f>IF(VLOOKUP($B$5,Data!$A$2:$K$6,2,FALSE())=0,0,H24/VLOOKUP($B$5,Data!$A$2:$K$6,2,FALSE()))</f>
        <v/>
      </c>
      <c r="K24" s="6" t="n"/>
      <c r="L24" s="6" t="n"/>
      <c r="M24" s="6" t="n"/>
      <c r="N24" s="6" t="n"/>
    </row>
    <row r="25" ht="19.5" customHeight="1">
      <c r="A25" s="6" t="n"/>
      <c r="B25" s="6" t="n"/>
      <c r="C25" s="6" t="n"/>
      <c r="D25" s="6" t="n"/>
      <c r="E25" s="6" t="n"/>
      <c r="F25" s="13" t="n"/>
      <c r="G25" s="20" t="inlineStr">
        <is>
          <t>Director of Professional Services</t>
        </is>
      </c>
      <c r="H25" s="20">
        <f>INDEX(Data!$A$32:$F$32,1,MATCH($B$5,Data!$B$20:$F$20,0)+1)</f>
        <v/>
      </c>
      <c r="I25" s="21">
        <f>IF(VLOOKUP($B$5,Data!$A$2:$K$6,3,FALSE())=0,0,H25/VLOOKUP($B$5,Data!$A$2:$K$6,3,FALSE()))</f>
        <v/>
      </c>
      <c r="J25" s="21">
        <f>IF(VLOOKUP($B$5,Data!$A$2:$K$6,2,FALSE())=0,0,H25/VLOOKUP($B$5,Data!$A$2:$K$6,2,FALSE()))</f>
        <v/>
      </c>
      <c r="K25" s="6" t="n"/>
      <c r="L25" s="6" t="n"/>
      <c r="M25" s="6" t="n"/>
      <c r="N25" s="6" t="n"/>
    </row>
    <row r="26" ht="27.75" customHeight="1">
      <c r="A26" s="147" t="inlineStr">
        <is>
          <t xml:space="preserve">  SEPARATIONS BY REASON</t>
        </is>
      </c>
      <c r="B26" s="172" t="n"/>
      <c r="C26" s="172" t="n"/>
      <c r="D26" s="172" t="n"/>
      <c r="E26" s="22" t="n"/>
      <c r="F26" s="13" t="n"/>
      <c r="G26" s="16" t="inlineStr">
        <is>
          <t>Director of Behavioral Health</t>
        </is>
      </c>
      <c r="H26" s="16">
        <f>INDEX(Data!$A$33:$F$33,1,MATCH($B$5,Data!$B$20:$F$20,0)+1)</f>
        <v/>
      </c>
      <c r="I26" s="17">
        <f>IF(VLOOKUP($B$5,Data!$A$2:$K$6,3,FALSE())=0,0,H26/VLOOKUP($B$5,Data!$A$2:$K$6,3,FALSE()))</f>
        <v/>
      </c>
      <c r="J26" s="17">
        <f>IF(VLOOKUP($B$5,Data!$A$2:$K$6,2,FALSE())=0,0,H26/VLOOKUP($B$5,Data!$A$2:$K$6,2,FALSE()))</f>
        <v/>
      </c>
      <c r="K26" s="6" t="n"/>
      <c r="L26" s="6" t="n"/>
      <c r="M26" s="6" t="n"/>
      <c r="N26" s="6" t="n"/>
    </row>
    <row r="27" ht="24" customHeight="1">
      <c r="A27" s="14" t="inlineStr">
        <is>
          <t>Reason</t>
        </is>
      </c>
      <c r="B27" s="14" t="inlineStr">
        <is>
          <t>Count</t>
        </is>
      </c>
      <c r="C27" s="14" t="inlineStr">
        <is>
          <t>% of Total</t>
        </is>
      </c>
      <c r="D27" s="23" t="inlineStr">
        <is>
          <t>Category</t>
        </is>
      </c>
      <c r="E27" s="24" t="n"/>
      <c r="F27" s="13" t="n"/>
      <c r="G27" s="20" t="inlineStr">
        <is>
          <t>Director of Human Resources</t>
        </is>
      </c>
      <c r="H27" s="20">
        <f>INDEX(Data!$A$34:$F$34,1,MATCH($B$5,Data!$B$20:$F$20,0)+1)</f>
        <v/>
      </c>
      <c r="I27" s="21">
        <f>IF(VLOOKUP($B$5,Data!$A$2:$K$6,3,FALSE())=0,0,H27/VLOOKUP($B$5,Data!$A$2:$K$6,3,FALSE()))</f>
        <v/>
      </c>
      <c r="J27" s="21">
        <f>IF(VLOOKUP($B$5,Data!$A$2:$K$6,2,FALSE())=0,0,H27/VLOOKUP($B$5,Data!$A$2:$K$6,2,FALSE()))</f>
        <v/>
      </c>
      <c r="K27" s="6" t="n"/>
      <c r="L27" s="6" t="n"/>
      <c r="M27" s="6" t="n"/>
      <c r="N27" s="6" t="n"/>
    </row>
    <row r="28" ht="19.5" customHeight="1">
      <c r="A28" s="15" t="inlineStr">
        <is>
          <t>Resignation</t>
        </is>
      </c>
      <c r="B28" s="16">
        <f>INDEX(Data!$A$56:$G$56,1,MATCH($B$5,Data!$C$55:$G$55,0)+2)</f>
        <v/>
      </c>
      <c r="C28" s="17">
        <f>IF(VLOOKUP($B$5,Data!$A$2:$K$6,3,FALSE())=0,0,B28/VLOOKUP($B$5,Data!$A$2:$K$6,3,FALSE()))</f>
        <v/>
      </c>
      <c r="D28" s="25" t="inlineStr">
        <is>
          <t>Voluntary</t>
        </is>
      </c>
      <c r="E28" s="26" t="n"/>
      <c r="F28" s="13" t="n"/>
      <c r="G28" s="16" t="inlineStr">
        <is>
          <t>Director of Finance</t>
        </is>
      </c>
      <c r="H28" s="16">
        <f>INDEX(Data!$A$35:$F$35,1,MATCH($B$5,Data!$B$20:$F$20,0)+1)</f>
        <v/>
      </c>
      <c r="I28" s="17">
        <f>IF(VLOOKUP($B$5,Data!$A$2:$K$6,3,FALSE())=0,0,H28/VLOOKUP($B$5,Data!$A$2:$K$6,3,FALSE()))</f>
        <v/>
      </c>
      <c r="J28" s="17">
        <f>IF(VLOOKUP($B$5,Data!$A$2:$K$6,2,FALSE())=0,0,H28/VLOOKUP($B$5,Data!$A$2:$K$6,2,FALSE()))</f>
        <v/>
      </c>
      <c r="K28" s="6" t="n"/>
      <c r="L28" s="6" t="n"/>
      <c r="M28" s="6" t="n"/>
      <c r="N28" s="6" t="n"/>
    </row>
    <row r="29" ht="19.5" customHeight="1">
      <c r="A29" s="19" t="inlineStr">
        <is>
          <t>Better Opportunity</t>
        </is>
      </c>
      <c r="B29" s="20">
        <f>INDEX(Data!$A$57:$G$57,1,MATCH($B$5,Data!$C$55:$G$55,0)+2)</f>
        <v/>
      </c>
      <c r="C29" s="21">
        <f>IF(VLOOKUP($B$5,Data!$A$2:$K$6,3,FALSE())=0,0,B29/VLOOKUP($B$5,Data!$A$2:$K$6,3,FALSE()))</f>
        <v/>
      </c>
      <c r="D29" s="27" t="inlineStr">
        <is>
          <t>Voluntary</t>
        </is>
      </c>
      <c r="E29" s="26" t="n"/>
      <c r="F29" s="13" t="n"/>
      <c r="G29" s="20" t="inlineStr">
        <is>
          <t>Director of Employment Services</t>
        </is>
      </c>
      <c r="H29" s="20">
        <f>INDEX(Data!$A$36:$F$36,1,MATCH($B$5,Data!$B$20:$F$20,0)+1)</f>
        <v/>
      </c>
      <c r="I29" s="21">
        <f>IF(VLOOKUP($B$5,Data!$A$2:$K$6,3,FALSE())=0,0,H29/VLOOKUP($B$5,Data!$A$2:$K$6,3,FALSE()))</f>
        <v/>
      </c>
      <c r="J29" s="21">
        <f>IF(VLOOKUP($B$5,Data!$A$2:$K$6,2,FALSE())=0,0,H29/VLOOKUP($B$5,Data!$A$2:$K$6,2,FALSE()))</f>
        <v/>
      </c>
      <c r="K29" s="6" t="n"/>
      <c r="L29" s="6" t="n"/>
      <c r="M29" s="6" t="n"/>
      <c r="N29" s="6" t="n"/>
    </row>
    <row r="30" ht="19.5" customHeight="1">
      <c r="A30" s="15" t="inlineStr">
        <is>
          <t>Personal Reasons</t>
        </is>
      </c>
      <c r="B30" s="16">
        <f>INDEX(Data!$A$58:$G$58,1,MATCH($B$5,Data!$C$55:$G$55,0)+2)</f>
        <v/>
      </c>
      <c r="C30" s="17">
        <f>IF(VLOOKUP($B$5,Data!$A$2:$K$6,3,FALSE())=0,0,B30/VLOOKUP($B$5,Data!$A$2:$K$6,3,FALSE()))</f>
        <v/>
      </c>
      <c r="D30" s="28" t="inlineStr">
        <is>
          <t>Voluntary</t>
        </is>
      </c>
      <c r="E30" s="26" t="n"/>
      <c r="F30" s="13" t="n"/>
      <c r="G30" s="16" t="inlineStr">
        <is>
          <t>Director of Family Support</t>
        </is>
      </c>
      <c r="H30" s="16">
        <f>INDEX(Data!$A$37:$F$37,1,MATCH($B$5,Data!$B$20:$F$20,0)+1)</f>
        <v/>
      </c>
      <c r="I30" s="17">
        <f>IF(VLOOKUP($B$5,Data!$A$2:$K$6,3,FALSE())=0,0,H30/VLOOKUP($B$5,Data!$A$2:$K$6,3,FALSE()))</f>
        <v/>
      </c>
      <c r="J30" s="17">
        <f>IF(VLOOKUP($B$5,Data!$A$2:$K$6,2,FALSE())=0,0,H30/VLOOKUP($B$5,Data!$A$2:$K$6,2,FALSE()))</f>
        <v/>
      </c>
      <c r="K30" s="6" t="n"/>
      <c r="L30" s="6" t="n"/>
      <c r="M30" s="6" t="n"/>
      <c r="N30" s="6" t="n"/>
    </row>
    <row r="31" ht="19.5" customHeight="1">
      <c r="A31" s="19" t="inlineStr">
        <is>
          <t>Relocation</t>
        </is>
      </c>
      <c r="B31" s="20">
        <f>INDEX(Data!$A$59:$G$59,1,MATCH($B$5,Data!$C$55:$G$55,0)+2)</f>
        <v/>
      </c>
      <c r="C31" s="21">
        <f>IF(VLOOKUP($B$5,Data!$A$2:$K$6,3,FALSE())=0,0,B31/VLOOKUP($B$5,Data!$A$2:$K$6,3,FALSE()))</f>
        <v/>
      </c>
      <c r="D31" s="27" t="inlineStr">
        <is>
          <t>Voluntary</t>
        </is>
      </c>
      <c r="E31" s="26" t="n"/>
      <c r="F31" s="13" t="n"/>
      <c r="G31" s="20" t="inlineStr">
        <is>
          <t>Director of QA</t>
        </is>
      </c>
      <c r="H31" s="20">
        <f>INDEX(Data!$A$38:$F$38,1,MATCH($B$5,Data!$B$20:$F$20,0)+1)</f>
        <v/>
      </c>
      <c r="I31" s="21">
        <f>IF(VLOOKUP($B$5,Data!$A$2:$K$6,3,FALSE())=0,0,H31/VLOOKUP($B$5,Data!$A$2:$K$6,3,FALSE()))</f>
        <v/>
      </c>
      <c r="J31" s="21">
        <f>IF(VLOOKUP($B$5,Data!$A$2:$K$6,2,FALSE())=0,0,H31/VLOOKUP($B$5,Data!$A$2:$K$6,2,FALSE()))</f>
        <v/>
      </c>
      <c r="K31" s="6" t="n"/>
      <c r="L31" s="6" t="n"/>
      <c r="M31" s="6" t="n"/>
      <c r="N31" s="6" t="n"/>
    </row>
    <row r="32" ht="19.5" customHeight="1">
      <c r="A32" s="15" t="inlineStr">
        <is>
          <t>Retirement</t>
        </is>
      </c>
      <c r="B32" s="16">
        <f>INDEX(Data!$A$60:$G$60,1,MATCH($B$5,Data!$C$55:$G$55,0)+2)</f>
        <v/>
      </c>
      <c r="C32" s="17">
        <f>IF(VLOOKUP($B$5,Data!$A$2:$K$6,3,FALSE())=0,0,B32/VLOOKUP($B$5,Data!$A$2:$K$6,3,FALSE()))</f>
        <v/>
      </c>
      <c r="D32" s="28" t="inlineStr">
        <is>
          <t>Voluntary</t>
        </is>
      </c>
      <c r="E32" s="26" t="n"/>
      <c r="F32" s="13" t="n"/>
      <c r="G32" s="18" t="inlineStr">
        <is>
          <t>DIRECT CARE</t>
        </is>
      </c>
      <c r="H32" s="18" t="n"/>
      <c r="I32" s="18" t="n"/>
      <c r="J32" s="18" t="n"/>
      <c r="K32" s="6" t="n"/>
      <c r="L32" s="6" t="n"/>
      <c r="M32" s="6" t="n"/>
      <c r="N32" s="6" t="n"/>
    </row>
    <row r="33" ht="19.5" customHeight="1">
      <c r="A33" s="19" t="inlineStr">
        <is>
          <t>Termination</t>
        </is>
      </c>
      <c r="B33" s="20">
        <f>INDEX(Data!$A$61:$G$61,1,MATCH($B$5,Data!$C$55:$G$55,0)+2)</f>
        <v/>
      </c>
      <c r="C33" s="21">
        <f>IF(VLOOKUP($B$5,Data!$A$2:$K$6,3,FALSE())=0,0,B33/VLOOKUP($B$5,Data!$A$2:$K$6,3,FALSE()))</f>
        <v/>
      </c>
      <c r="D33" s="27" t="inlineStr">
        <is>
          <t>Involuntary</t>
        </is>
      </c>
      <c r="E33" s="26" t="n"/>
      <c r="F33" s="13" t="n"/>
      <c r="G33" s="16" t="inlineStr">
        <is>
          <t>DSP</t>
        </is>
      </c>
      <c r="H33" s="16">
        <f>INDEX(Data!$A$39:$F$39,1,MATCH($B$5,Data!$B$20:$F$20,0)+1)</f>
        <v/>
      </c>
      <c r="I33" s="17">
        <f>IF(VLOOKUP($B$5,Data!$A$2:$K$6,3,FALSE())=0,0,H33/VLOOKUP($B$5,Data!$A$2:$K$6,3,FALSE()))</f>
        <v/>
      </c>
      <c r="J33" s="17">
        <f>IF(VLOOKUP($B$5,Data!$A$2:$K$6,2,FALSE())=0,0,H33/VLOOKUP($B$5,Data!$A$2:$K$6,2,FALSE()))</f>
        <v/>
      </c>
      <c r="K33" s="6" t="n"/>
      <c r="L33" s="6" t="n"/>
      <c r="M33" s="6" t="n"/>
      <c r="N33" s="6" t="n"/>
    </row>
    <row r="34" ht="19.5" customHeight="1">
      <c r="A34" s="15" t="inlineStr">
        <is>
          <t>Layoff</t>
        </is>
      </c>
      <c r="B34" s="16">
        <f>INDEX(Data!$A$62:$G$62,1,MATCH($B$5,Data!$C$55:$G$55,0)+2)</f>
        <v/>
      </c>
      <c r="C34" s="17">
        <f>IF(VLOOKUP($B$5,Data!$A$2:$K$6,3,FALSE())=0,0,B34/VLOOKUP($B$5,Data!$A$2:$K$6,3,FALSE()))</f>
        <v/>
      </c>
      <c r="D34" s="28" t="inlineStr">
        <is>
          <t>Involuntary</t>
        </is>
      </c>
      <c r="E34" s="26" t="n"/>
      <c r="F34" s="13" t="n"/>
      <c r="G34" s="20" t="inlineStr">
        <is>
          <t>HM</t>
        </is>
      </c>
      <c r="H34" s="20">
        <f>INDEX(Data!$A$40:$F$40,1,MATCH($B$5,Data!$B$20:$F$20,0)+1)</f>
        <v/>
      </c>
      <c r="I34" s="21">
        <f>IF(VLOOKUP($B$5,Data!$A$2:$K$6,3,FALSE())=0,0,H34/VLOOKUP($B$5,Data!$A$2:$K$6,3,FALSE()))</f>
        <v/>
      </c>
      <c r="J34" s="21">
        <f>IF(VLOOKUP($B$5,Data!$A$2:$K$6,2,FALSE())=0,0,H34/VLOOKUP($B$5,Data!$A$2:$K$6,2,FALSE()))</f>
        <v/>
      </c>
      <c r="K34" s="6" t="n"/>
      <c r="L34" s="6" t="n"/>
      <c r="M34" s="6" t="n"/>
      <c r="N34" s="6" t="n"/>
    </row>
    <row r="35" ht="19.5" customHeight="1">
      <c r="A35" s="19" t="inlineStr">
        <is>
          <t>Job Abandonment</t>
        </is>
      </c>
      <c r="B35" s="20">
        <f>INDEX(Data!$A$63:$G$63,1,MATCH($B$5,Data!$C$55:$G$55,0)+2)</f>
        <v/>
      </c>
      <c r="C35" s="21">
        <f>IF(VLOOKUP($B$5,Data!$A$2:$K$6,3,FALSE())=0,0,B35/VLOOKUP($B$5,Data!$A$2:$K$6,3,FALSE()))</f>
        <v/>
      </c>
      <c r="D35" s="27" t="inlineStr">
        <is>
          <t>Other</t>
        </is>
      </c>
      <c r="E35" s="26" t="n"/>
      <c r="F35" s="13" t="n"/>
      <c r="G35" s="16" t="inlineStr">
        <is>
          <t>RM</t>
        </is>
      </c>
      <c r="H35" s="16">
        <f>INDEX(Data!$A$41:$F$41,1,MATCH($B$5,Data!$B$20:$F$20,0)+1)</f>
        <v/>
      </c>
      <c r="I35" s="17">
        <f>IF(VLOOKUP($B$5,Data!$A$2:$K$6,3,FALSE())=0,0,H35/VLOOKUP($B$5,Data!$A$2:$K$6,3,FALSE()))</f>
        <v/>
      </c>
      <c r="J35" s="17">
        <f>IF(VLOOKUP($B$5,Data!$A$2:$K$6,2,FALSE())=0,0,H35/VLOOKUP($B$5,Data!$A$2:$K$6,2,FALSE()))</f>
        <v/>
      </c>
      <c r="K35" s="6" t="n"/>
      <c r="L35" s="6" t="n"/>
      <c r="M35" s="6" t="n"/>
      <c r="N35" s="6" t="n"/>
    </row>
    <row r="36" ht="19.5" customHeight="1">
      <c r="A36" s="15" t="inlineStr">
        <is>
          <t>End of Contract</t>
        </is>
      </c>
      <c r="B36" s="16">
        <f>INDEX(Data!$A$64:$G$64,1,MATCH($B$5,Data!$C$55:$G$55,0)+2)</f>
        <v/>
      </c>
      <c r="C36" s="17">
        <f>IF(VLOOKUP($B$5,Data!$A$2:$K$6,3,FALSE())=0,0,B36/VLOOKUP($B$5,Data!$A$2:$K$6,3,FALSE()))</f>
        <v/>
      </c>
      <c r="D36" s="28" t="inlineStr">
        <is>
          <t>Other</t>
        </is>
      </c>
      <c r="E36" s="26" t="n"/>
      <c r="F36" s="13" t="n"/>
      <c r="G36" s="18" t="inlineStr">
        <is>
          <t>CLINICAL / PROGRAM</t>
        </is>
      </c>
      <c r="H36" s="18" t="n"/>
      <c r="I36" s="18" t="n"/>
      <c r="J36" s="18" t="n"/>
      <c r="K36" s="6" t="n"/>
      <c r="L36" s="6" t="n"/>
      <c r="M36" s="6" t="n"/>
      <c r="N36" s="6" t="n"/>
    </row>
    <row r="37" ht="19.5" customHeight="1">
      <c r="A37" s="19" t="inlineStr">
        <is>
          <t>Other</t>
        </is>
      </c>
      <c r="B37" s="20">
        <f>INDEX(Data!$A$65:$G$65,1,MATCH($B$5,Data!$C$55:$G$55,0)+2)</f>
        <v/>
      </c>
      <c r="C37" s="21">
        <f>IF(VLOOKUP($B$5,Data!$A$2:$K$6,3,FALSE())=0,0,B37/VLOOKUP($B$5,Data!$A$2:$K$6,3,FALSE()))</f>
        <v/>
      </c>
      <c r="D37" s="27" t="inlineStr">
        <is>
          <t>Other</t>
        </is>
      </c>
      <c r="E37" s="26" t="n"/>
      <c r="F37" s="13" t="n"/>
      <c r="G37" s="16" t="inlineStr">
        <is>
          <t>CM</t>
        </is>
      </c>
      <c r="H37" s="16">
        <f>INDEX(Data!$A$42:$F$42,1,MATCH($B$5,Data!$B$20:$F$20,0)+1)</f>
        <v/>
      </c>
      <c r="I37" s="17">
        <f>IF(VLOOKUP($B$5,Data!$A$2:$K$6,3,FALSE())=0,0,H37/VLOOKUP($B$5,Data!$A$2:$K$6,3,FALSE()))</f>
        <v/>
      </c>
      <c r="J37" s="17">
        <f>IF(VLOOKUP($B$5,Data!$A$2:$K$6,2,FALSE())=0,0,H37/VLOOKUP($B$5,Data!$A$2:$K$6,2,FALSE()))</f>
        <v/>
      </c>
      <c r="K37" s="6" t="n"/>
      <c r="L37" s="6" t="n"/>
      <c r="M37" s="6" t="n"/>
      <c r="N37" s="6" t="n"/>
    </row>
    <row r="38" ht="19.5" customHeight="1">
      <c r="A38" s="15" t="inlineStr">
        <is>
          <t>Performance Issues</t>
        </is>
      </c>
      <c r="B38" s="16">
        <f>INDEX(Data!$A$66:$G$66,1,MATCH($B$5,Data!$C$55:$G$55,0)+2)</f>
        <v/>
      </c>
      <c r="C38" s="17">
        <f>IF(VLOOKUP($B$5,Data!$A$2:$K$6,3,FALSE())=0,0,B38/VLOOKUP($B$5,Data!$A$2:$K$6,3,FALSE()))</f>
        <v/>
      </c>
      <c r="D38" s="28" t="inlineStr">
        <is>
          <t>Other</t>
        </is>
      </c>
      <c r="E38" s="26" t="n"/>
      <c r="F38" s="13" t="n"/>
      <c r="G38" s="20" t="inlineStr">
        <is>
          <t>EI</t>
        </is>
      </c>
      <c r="H38" s="20">
        <f>INDEX(Data!$A$43:$F$43,1,MATCH($B$5,Data!$B$20:$F$20,0)+1)</f>
        <v/>
      </c>
      <c r="I38" s="21">
        <f>IF(VLOOKUP($B$5,Data!$A$2:$K$6,3,FALSE())=0,0,H38/VLOOKUP($B$5,Data!$A$2:$K$6,3,FALSE()))</f>
        <v/>
      </c>
      <c r="J38" s="21">
        <f>IF(VLOOKUP($B$5,Data!$A$2:$K$6,2,FALSE())=0,0,H38/VLOOKUP($B$5,Data!$A$2:$K$6,2,FALSE()))</f>
        <v/>
      </c>
      <c r="K38" s="6" t="n"/>
      <c r="L38" s="6" t="n"/>
      <c r="M38" s="6" t="n"/>
      <c r="N38" s="6" t="n"/>
    </row>
    <row r="39" ht="19.5" customHeight="1">
      <c r="A39" s="19" t="inlineStr">
        <is>
          <t>Attendance Issues</t>
        </is>
      </c>
      <c r="B39" s="20">
        <f>INDEX(Data!$A$67:$G$67,1,MATCH($B$5,Data!$C$55:$G$55,0)+2)</f>
        <v/>
      </c>
      <c r="C39" s="21">
        <f>IF(VLOOKUP($B$5,Data!$A$2:$K$6,3,FALSE())=0,0,B39/VLOOKUP($B$5,Data!$A$2:$K$6,3,FALSE()))</f>
        <v/>
      </c>
      <c r="D39" s="27" t="inlineStr">
        <is>
          <t>Other</t>
        </is>
      </c>
      <c r="E39" s="26" t="n"/>
      <c r="F39" s="13" t="n"/>
      <c r="G39" s="16" t="inlineStr">
        <is>
          <t>Family Support</t>
        </is>
      </c>
      <c r="H39" s="16">
        <f>INDEX(Data!$A$44:$F$44,1,MATCH($B$5,Data!$B$20:$F$20,0)+1)</f>
        <v/>
      </c>
      <c r="I39" s="17">
        <f>IF(VLOOKUP($B$5,Data!$A$2:$K$6,3,FALSE())=0,0,H39/VLOOKUP($B$5,Data!$A$2:$K$6,3,FALSE()))</f>
        <v/>
      </c>
      <c r="J39" s="17">
        <f>IF(VLOOKUP($B$5,Data!$A$2:$K$6,2,FALSE())=0,0,H39/VLOOKUP($B$5,Data!$A$2:$K$6,2,FALSE()))</f>
        <v/>
      </c>
      <c r="K39" s="6" t="n"/>
      <c r="L39" s="6" t="n"/>
      <c r="M39" s="6" t="n"/>
      <c r="N39" s="6" t="n"/>
    </row>
    <row r="40" ht="19.5" customHeight="1">
      <c r="A40" s="6" t="n"/>
      <c r="B40" s="6" t="n"/>
      <c r="C40" s="6" t="n"/>
      <c r="D40" s="6" t="n"/>
      <c r="E40" s="6" t="n"/>
      <c r="F40" s="13" t="n"/>
      <c r="G40" s="18" t="inlineStr">
        <is>
          <t>EDUCATION</t>
        </is>
      </c>
      <c r="H40" s="18" t="n"/>
      <c r="I40" s="18" t="n"/>
      <c r="J40" s="18" t="n"/>
      <c r="K40" s="6" t="n"/>
      <c r="L40" s="6" t="n"/>
      <c r="M40" s="6" t="n"/>
      <c r="N40" s="6" t="n"/>
    </row>
    <row r="41" ht="19.5" customHeight="1">
      <c r="A41" s="29" t="n"/>
      <c r="B41" s="29" t="inlineStr">
        <is>
          <t>Voluntary</t>
        </is>
      </c>
      <c r="C41" s="30">
        <f>VLOOKUP($B$5,Data!$A$2:$K$6,6,FALSE())</f>
        <v/>
      </c>
      <c r="D41" s="31">
        <f>IF(VLOOKUP($B$5,Data!$A$2:$K$6,3,FALSE())=0,0,C41/VLOOKUP($B$5,Data!$A$2:$K$6,3,FALSE()))</f>
        <v/>
      </c>
      <c r="E41" s="6" t="n"/>
      <c r="F41" s="13" t="n"/>
      <c r="G41" s="16" t="inlineStr">
        <is>
          <t>Teacher</t>
        </is>
      </c>
      <c r="H41" s="16">
        <f>INDEX(Data!$A$45:$F$45,1,MATCH($B$5,Data!$B$20:$F$20,0)+1)</f>
        <v/>
      </c>
      <c r="I41" s="17">
        <f>IF(VLOOKUP($B$5,Data!$A$2:$K$6,3,FALSE())=0,0,H41/VLOOKUP($B$5,Data!$A$2:$K$6,3,FALSE()))</f>
        <v/>
      </c>
      <c r="J41" s="17">
        <f>IF(VLOOKUP($B$5,Data!$A$2:$K$6,2,FALSE())=0,0,H41/VLOOKUP($B$5,Data!$A$2:$K$6,2,FALSE()))</f>
        <v/>
      </c>
      <c r="K41" s="6" t="n"/>
      <c r="L41" s="6" t="n"/>
      <c r="M41" s="6" t="n"/>
      <c r="N41" s="6" t="n"/>
    </row>
    <row r="42" ht="19.5" customHeight="1">
      <c r="A42" s="29" t="n"/>
      <c r="B42" s="29" t="inlineStr">
        <is>
          <t>Involuntary</t>
        </is>
      </c>
      <c r="C42" s="30">
        <f>VLOOKUP($B$5,Data!$A$2:$K$6,7,FALSE())</f>
        <v/>
      </c>
      <c r="D42" s="31">
        <f>IF(VLOOKUP($B$5,Data!$A$2:$K$6,3,FALSE())=0,0,C42/VLOOKUP($B$5,Data!$A$2:$K$6,3,FALSE()))</f>
        <v/>
      </c>
      <c r="E42" s="6" t="n"/>
      <c r="F42" s="13" t="n"/>
      <c r="G42" s="20" t="inlineStr">
        <is>
          <t>Assistant Teacher</t>
        </is>
      </c>
      <c r="H42" s="20">
        <f>INDEX(Data!$A$46:$F$46,1,MATCH($B$5,Data!$B$20:$F$20,0)+1)</f>
        <v/>
      </c>
      <c r="I42" s="21">
        <f>IF(VLOOKUP($B$5,Data!$A$2:$K$6,3,FALSE())=0,0,H42/VLOOKUP($B$5,Data!$A$2:$K$6,3,FALSE()))</f>
        <v/>
      </c>
      <c r="J42" s="21">
        <f>IF(VLOOKUP($B$5,Data!$A$2:$K$6,2,FALSE())=0,0,H42/VLOOKUP($B$5,Data!$A$2:$K$6,2,FALSE()))</f>
        <v/>
      </c>
      <c r="K42" s="6" t="n"/>
      <c r="L42" s="6" t="n"/>
      <c r="M42" s="6" t="n"/>
      <c r="N42" s="6" t="n"/>
    </row>
    <row r="43" ht="19.5" customHeight="1">
      <c r="A43" s="29" t="n"/>
      <c r="B43" s="29" t="inlineStr">
        <is>
          <t>Other</t>
        </is>
      </c>
      <c r="C43" s="30">
        <f>VLOOKUP($B$5,Data!$A$2:$K$6,8,FALSE())</f>
        <v/>
      </c>
      <c r="D43" s="31">
        <f>IF(VLOOKUP($B$5,Data!$A$2:$K$6,3,FALSE())=0,0,C43/VLOOKUP($B$5,Data!$A$2:$K$6,3,FALSE()))</f>
        <v/>
      </c>
      <c r="E43" s="6" t="n"/>
      <c r="F43" s="13" t="n"/>
      <c r="G43" s="18" t="inlineStr">
        <is>
          <t>SUPPORT</t>
        </is>
      </c>
      <c r="H43" s="18" t="n"/>
      <c r="I43" s="18" t="n"/>
      <c r="J43" s="18" t="n"/>
      <c r="K43" s="6" t="n"/>
      <c r="L43" s="6" t="n"/>
      <c r="M43" s="6" t="n"/>
      <c r="N43" s="6" t="n"/>
    </row>
    <row r="44" ht="19.5" customHeight="1">
      <c r="A44" s="6" t="n"/>
      <c r="B44" s="6" t="n"/>
      <c r="C44" s="6" t="n"/>
      <c r="D44" s="6" t="n"/>
      <c r="E44" s="6" t="n"/>
      <c r="F44" s="13" t="n"/>
      <c r="G44" s="16" t="inlineStr">
        <is>
          <t>Sub/Floater</t>
        </is>
      </c>
      <c r="H44" s="16">
        <f>INDEX(Data!$A$47:$F$47,1,MATCH($B$5,Data!$B$20:$F$20,0)+1)</f>
        <v/>
      </c>
      <c r="I44" s="17">
        <f>IF(VLOOKUP($B$5,Data!$A$2:$K$6,3,FALSE())=0,0,H44/VLOOKUP($B$5,Data!$A$2:$K$6,3,FALSE()))</f>
        <v/>
      </c>
      <c r="J44" s="17">
        <f>IF(VLOOKUP($B$5,Data!$A$2:$K$6,2,FALSE())=0,0,H44/VLOOKUP($B$5,Data!$A$2:$K$6,2,FALSE()))</f>
        <v/>
      </c>
      <c r="K44" s="6" t="n"/>
      <c r="L44" s="6" t="n"/>
      <c r="M44" s="6" t="n"/>
      <c r="N44" s="6" t="n"/>
    </row>
    <row r="45" ht="19.5" customHeight="1">
      <c r="A45" s="6" t="n"/>
      <c r="B45" s="6" t="n"/>
      <c r="C45" s="6" t="n"/>
      <c r="D45" s="6" t="n"/>
      <c r="E45" s="6" t="n"/>
      <c r="F45" s="13" t="n"/>
      <c r="G45" s="20" t="inlineStr">
        <is>
          <t>Job Coach/WI</t>
        </is>
      </c>
      <c r="H45" s="20">
        <f>INDEX(Data!$A$48:$F$48,1,MATCH($B$5,Data!$B$20:$F$20,0)+1)</f>
        <v/>
      </c>
      <c r="I45" s="21">
        <f>IF(VLOOKUP($B$5,Data!$A$2:$K$6,3,FALSE())=0,0,H45/VLOOKUP($B$5,Data!$A$2:$K$6,3,FALSE()))</f>
        <v/>
      </c>
      <c r="J45" s="21">
        <f>IF(VLOOKUP($B$5,Data!$A$2:$K$6,2,FALSE())=0,0,H45/VLOOKUP($B$5,Data!$A$2:$K$6,2,FALSE()))</f>
        <v/>
      </c>
      <c r="K45" s="6" t="n"/>
      <c r="L45" s="6" t="n"/>
      <c r="M45" s="6" t="n"/>
      <c r="N45" s="6" t="n"/>
    </row>
    <row r="46" ht="27.75" customHeight="1">
      <c r="A46" s="146" t="inlineStr">
        <is>
          <t xml:space="preserve">  ADDITIONAL STATISTICS</t>
        </is>
      </c>
      <c r="F46" s="13" t="n"/>
      <c r="G46" s="18" t="inlineStr">
        <is>
          <t>ADMINISTRATIVE</t>
        </is>
      </c>
      <c r="H46" s="18" t="n"/>
      <c r="I46" s="18" t="n"/>
      <c r="J46" s="18" t="n"/>
      <c r="K46" s="6" t="n"/>
      <c r="L46" s="6" t="n"/>
      <c r="M46" s="6" t="n"/>
      <c r="N46" s="6" t="n"/>
    </row>
    <row r="47" ht="19.5" customHeight="1">
      <c r="A47" s="6" t="n"/>
      <c r="B47" s="6" t="n"/>
      <c r="C47" s="6" t="n"/>
      <c r="D47" s="6" t="n"/>
      <c r="E47" s="6" t="n"/>
      <c r="F47" s="13" t="n"/>
      <c r="G47" s="16" t="inlineStr">
        <is>
          <t>Finance</t>
        </is>
      </c>
      <c r="H47" s="16">
        <f>INDEX(Data!$A$49:$F$49,1,MATCH($B$5,Data!$B$20:$F$20,0)+1)</f>
        <v/>
      </c>
      <c r="I47" s="17">
        <f>IF(VLOOKUP($B$5,Data!$A$2:$K$6,3,FALSE())=0,0,H47/VLOOKUP($B$5,Data!$A$2:$K$6,3,FALSE()))</f>
        <v/>
      </c>
      <c r="J47" s="17">
        <f>IF(VLOOKUP($B$5,Data!$A$2:$K$6,2,FALSE())=0,0,H47/VLOOKUP($B$5,Data!$A$2:$K$6,2,FALSE()))</f>
        <v/>
      </c>
      <c r="K47" s="6" t="n"/>
      <c r="L47" s="6" t="n"/>
      <c r="M47" s="6" t="n"/>
      <c r="N47" s="6" t="n"/>
    </row>
    <row r="48" ht="21.75" customHeight="1">
      <c r="A48" s="32" t="inlineStr">
        <is>
          <t>Eligible for Rehire Rate:</t>
        </is>
      </c>
      <c r="B48" s="33" t="n"/>
      <c r="C48" s="34">
        <f>VLOOKUP($B$5,Data!$A$2:$K$6,10,FALSE())</f>
        <v/>
      </c>
      <c r="D48" s="33" t="n"/>
      <c r="E48" s="35" t="n"/>
      <c r="F48" s="13" t="n"/>
      <c r="G48" s="20" t="inlineStr">
        <is>
          <t>HR</t>
        </is>
      </c>
      <c r="H48" s="20">
        <f>INDEX(Data!$A$50:$F$50,1,MATCH($B$5,Data!$B$20:$F$20,0)+1)</f>
        <v/>
      </c>
      <c r="I48" s="21">
        <f>IF(VLOOKUP($B$5,Data!$A$2:$K$6,3,FALSE())=0,0,H48/VLOOKUP($B$5,Data!$A$2:$K$6,3,FALSE()))</f>
        <v/>
      </c>
      <c r="J48" s="21">
        <f>IF(VLOOKUP($B$5,Data!$A$2:$K$6,2,FALSE())=0,0,H48/VLOOKUP($B$5,Data!$A$2:$K$6,2,FALSE()))</f>
        <v/>
      </c>
      <c r="K48" s="6" t="n"/>
      <c r="L48" s="6" t="n"/>
      <c r="M48" s="6" t="n"/>
      <c r="N48" s="6" t="n"/>
    </row>
    <row r="49" ht="21.75" customHeight="1">
      <c r="A49" s="32" t="inlineStr">
        <is>
          <t>Exit Interview Completion Rate:</t>
        </is>
      </c>
      <c r="B49" s="33" t="n"/>
      <c r="C49" s="34">
        <f>VLOOKUP($B$5,Data!$A$2:$K$6,11,FALSE())</f>
        <v/>
      </c>
      <c r="D49" s="33" t="n"/>
      <c r="E49" s="35" t="n"/>
      <c r="F49" s="13" t="n"/>
      <c r="G49" s="16" t="inlineStr">
        <is>
          <t>QA</t>
        </is>
      </c>
      <c r="H49" s="16">
        <f>INDEX(Data!$A$51:$F$51,1,MATCH($B$5,Data!$B$20:$F$20,0)+1)</f>
        <v/>
      </c>
      <c r="I49" s="17">
        <f>IF(VLOOKUP($B$5,Data!$A$2:$K$6,3,FALSE())=0,0,H49/VLOOKUP($B$5,Data!$A$2:$K$6,3,FALSE()))</f>
        <v/>
      </c>
      <c r="J49" s="17">
        <f>IF(VLOOKUP($B$5,Data!$A$2:$K$6,2,FALSE())=0,0,H49/VLOOKUP($B$5,Data!$A$2:$K$6,2,FALSE()))</f>
        <v/>
      </c>
      <c r="K49" s="6" t="n"/>
      <c r="L49" s="6" t="n"/>
      <c r="M49" s="6" t="n"/>
      <c r="N49" s="6" t="n"/>
    </row>
    <row r="50" ht="19.5" customHeight="1">
      <c r="A50" s="6" t="inlineStr">
        <is>
          <t>Rolling 12-month Turnover:</t>
        </is>
      </c>
      <c r="B50" s="6" t="n"/>
      <c r="C50" s="6">
        <f>IFERROR((SUMPRODUCT((ISNUMBER('FY 2023 (Jan23-Dec23)'!$B$9:$B$412))*(('FY 2023 (Jan23-Dec23)'!$B$9:$B$412&gt;=TODAY()-365)*('FY 2023 (Jan23-Dec23)'!$B$9:$B$412&lt;=TODAY())))+SUMPRODUCT((ISNUMBER('FY 2024 (Jan24-Dec24)'!$B$9:$B$412))*(('FY 2024 (Jan24-Dec24)'!$B$9:$B$412&gt;=TODAY()-365)*('FY 2024 (Jan24-Dec24)'!$B$9:$B$412&lt;=TODAY())))+SUMPRODUCT((ISNUMBER('FY 2025 (Jan25-Dec25)'!$B$9:$B$412))*(('FY 2025 (Jan25-Dec25)'!$B$9:$B$412&gt;=TODAY()-365)*('FY 2025 (Jan25-Dec25)'!$B$9:$B$412&lt;=TODAY())))+SUMPRODUCT((ISNUMBER('FY 2026 (Jan26-Dec26)'!$B$9:$B$412))*(('FY 2026 (Jan26-Dec26)'!$B$9:$B$412&gt;=TODAY()-365)*('FY 2026 (Jan26-Dec26)'!$B$9:$B$412&lt;=TODAY())))+SUMPRODUCT((ISNUMBER('FY 2027 (Jan27-Dec27)'!$B$9:$B$412))*(('FY 2027 (Jan27-Dec27)'!$B$9:$B$412&gt;=TODAY()-365)*('FY 2027 (Jan27-Dec27)'!$B$9:$B$412&lt;=TODAY()))))/VLOOKUP($B$5,Data!$A$2:$K$6,2,FALSE),0)</f>
        <v/>
      </c>
      <c r="D50" s="6" t="n"/>
      <c r="E50" s="6" t="n"/>
      <c r="F50" s="13" t="n"/>
      <c r="G50" s="18" t="inlineStr">
        <is>
          <t>OTHER</t>
        </is>
      </c>
      <c r="H50" s="18" t="n"/>
      <c r="I50" s="18" t="n"/>
      <c r="J50" s="18" t="n"/>
      <c r="K50" s="6" t="n"/>
      <c r="L50" s="6" t="n"/>
      <c r="M50" s="6" t="n"/>
      <c r="N50" s="6" t="n"/>
    </row>
    <row r="51" ht="19.5" customHeight="1">
      <c r="A51" s="6" t="inlineStr">
        <is>
          <t>Avg Tenure at Separation:</t>
        </is>
      </c>
      <c r="B51" s="6" t="n"/>
      <c r="C51" s="6">
        <f>IFERROR(IF(SUMPRODUCT((INDIRECT("'"&amp;$B$5&amp;" (Jan"&amp;RIGHT($B$5,2)&amp;"-Dec"&amp;RIGHT($B$5,2)&amp;")'!B9:B412")&lt;&gt;"")*(INDIRECT("'"&amp;$B$5&amp;" (Jan"&amp;RIGHT($B$5,2)&amp;"-Dec"&amp;RIGHT($B$5,2)&amp;")'!C9:C412")&lt;&gt;""))=0,"N/A (no DOH data)",(SUMPRODUCT((INDIRECT("'"&amp;$B$5&amp;" (Jan"&amp;RIGHT($B$5,2)&amp;"-Dec"&amp;RIGHT($B$5,2)&amp;")'!B9:B412")&lt;&gt;"")*(INDIRECT("'"&amp;$B$5&amp;" (Jan"&amp;RIGHT($B$5,2)&amp;"-Dec"&amp;RIGHT($B$5,2)&amp;")'!C9:C412")&lt;&gt;"")*(INDIRECT("'"&amp;$B$5&amp;" (Jan"&amp;RIGHT($B$5,2)&amp;"-Dec"&amp;RIGHT($B$5,2)&amp;")'!B9:B412")-INDIRECT("'"&amp;$B$5&amp;" (Jan"&amp;RIGHT($B$5,2)&amp;"-Dec"&amp;RIGHT($B$5,2)&amp;")'!C9:C412"))))/SUMPRODUCT((INDIRECT("'"&amp;$B$5&amp;" (Jan"&amp;RIGHT($B$5,2)&amp;"-Dec"&amp;RIGHT($B$5,2)&amp;")'!B9:B412")&lt;&gt;"")*(INDIRECT("'"&amp;$B$5&amp;" (Jan"&amp;RIGHT($B$5,2)&amp;"-Dec"&amp;RIGHT($B$5,2)&amp;")'!C9:C412")&lt;&gt;""))/365.25),"N/A (no DOH data)")</f>
        <v/>
      </c>
      <c r="D51" s="6" t="n"/>
      <c r="E51" s="6" t="n"/>
      <c r="F51" s="13" t="n"/>
      <c r="G51" s="16" t="inlineStr">
        <is>
          <t>Other</t>
        </is>
      </c>
      <c r="H51" s="16">
        <f>INDEX(Data!$A$52:$F$52,1,MATCH($B$5,Data!$B$20:$F$20,0)+1)</f>
        <v/>
      </c>
      <c r="I51" s="17">
        <f>IF(VLOOKUP($B$5,Data!$A$2:$K$6,3,FALSE())=0,0,H51/VLOOKUP($B$5,Data!$A$2:$K$6,3,FALSE()))</f>
        <v/>
      </c>
      <c r="J51" s="17">
        <f>IF(VLOOKUP($B$5,Data!$A$2:$K$6,2,FALSE())=0,0,H51/VLOOKUP($B$5,Data!$A$2:$K$6,2,FALSE()))</f>
        <v/>
      </c>
      <c r="K51" s="6" t="n"/>
      <c r="L51" s="6" t="n"/>
      <c r="M51" s="6" t="n"/>
      <c r="N51" s="6" t="n"/>
    </row>
    <row r="52" ht="9.75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6" t="n"/>
      <c r="L52" s="6" t="n"/>
      <c r="M52" s="6" t="n"/>
      <c r="N52" s="6" t="n"/>
    </row>
    <row r="53" ht="36" customHeight="1">
      <c r="A53" s="36" t="inlineStr">
        <is>
          <t xml:space="preserve">  ▼  MULTI-YEAR COMPARISON &amp; TRENDS</t>
        </is>
      </c>
      <c r="B53" s="37" t="n"/>
      <c r="C53" s="37" t="n"/>
      <c r="D53" s="148" t="inlineStr">
        <is>
          <t>Calendar Year &amp; EVC Fiscal Year</t>
        </is>
      </c>
      <c r="E53" s="173" t="n"/>
      <c r="F53" s="173" t="n"/>
      <c r="G53" s="173" t="n"/>
      <c r="H53" s="173" t="n"/>
      <c r="I53" s="37" t="n"/>
      <c r="J53" s="37" t="n"/>
      <c r="K53" s="6" t="n"/>
      <c r="L53" s="6" t="n"/>
      <c r="M53" s="6" t="n"/>
      <c r="N53" s="6" t="n"/>
    </row>
    <row r="54" ht="27.75" customHeight="1">
      <c r="A54" s="146" t="inlineStr">
        <is>
          <t xml:space="preserve">  CALENDAR YEAR COMPARISON (January 1 — December 31)</t>
        </is>
      </c>
      <c r="B54" s="146" t="n"/>
      <c r="C54" s="146" t="n"/>
      <c r="D54" s="146" t="n"/>
      <c r="E54" s="146" t="n"/>
      <c r="F54" s="146" t="n"/>
      <c r="G54" s="146" t="n"/>
      <c r="H54" s="146" t="n"/>
      <c r="I54" s="146" t="n"/>
      <c r="J54" s="6" t="n"/>
      <c r="K54" s="6" t="n"/>
      <c r="L54" s="6" t="n"/>
      <c r="M54" s="6" t="n"/>
      <c r="N54" s="6" t="n"/>
    </row>
    <row r="55" ht="24" customHeight="1">
      <c r="A55" s="14" t="inlineStr">
        <is>
          <t>Fiscal Year</t>
        </is>
      </c>
      <c r="B55" s="14" t="inlineStr">
        <is>
          <t>Active Emp</t>
        </is>
      </c>
      <c r="C55" s="14" t="inlineStr">
        <is>
          <t>Total Sep</t>
        </is>
      </c>
      <c r="D55" s="14" t="inlineStr">
        <is>
          <t>TOR %</t>
        </is>
      </c>
      <c r="E55" s="14" t="inlineStr">
        <is>
          <t>Avg Monthly</t>
        </is>
      </c>
      <c r="F55" s="14" t="inlineStr">
        <is>
          <t>Vol</t>
        </is>
      </c>
      <c r="G55" s="14" t="inlineStr">
        <is>
          <t>Involuntary</t>
        </is>
      </c>
      <c r="H55" s="14" t="inlineStr">
        <is>
          <t>Vol %</t>
        </is>
      </c>
      <c r="I55" s="14" t="inlineStr">
        <is>
          <t>YoY Change</t>
        </is>
      </c>
      <c r="J55" s="6" t="n"/>
      <c r="K55" s="6" t="n"/>
      <c r="L55" s="6" t="n"/>
      <c r="M55" s="6" t="n"/>
      <c r="N55" s="6" t="n"/>
    </row>
    <row r="56" ht="19.5" customHeight="1">
      <c r="A56" s="15" t="inlineStr">
        <is>
          <t>FY 2023</t>
        </is>
      </c>
      <c r="B56" s="16">
        <f>Data!B76</f>
        <v/>
      </c>
      <c r="C56" s="16">
        <f>Data!C76</f>
        <v/>
      </c>
      <c r="D56" s="17">
        <f>Data!D76</f>
        <v/>
      </c>
      <c r="E56" s="38">
        <f>Data!E76</f>
        <v/>
      </c>
      <c r="F56" s="16">
        <f>Data!F76</f>
        <v/>
      </c>
      <c r="G56" s="16">
        <f>Data!G76</f>
        <v/>
      </c>
      <c r="H56" s="17">
        <f>Data!H76</f>
        <v/>
      </c>
      <c r="I56" s="16">
        <f>Data!I76</f>
        <v/>
      </c>
      <c r="J56" s="6" t="n"/>
      <c r="K56" s="6" t="n"/>
      <c r="L56" s="6" t="n"/>
      <c r="M56" s="6" t="n"/>
      <c r="N56" s="6" t="n"/>
    </row>
    <row r="57" ht="19.5" customHeight="1">
      <c r="A57" s="19" t="inlineStr">
        <is>
          <t>FY 2024</t>
        </is>
      </c>
      <c r="B57" s="20">
        <f>Data!B77</f>
        <v/>
      </c>
      <c r="C57" s="20">
        <f>Data!C77</f>
        <v/>
      </c>
      <c r="D57" s="21">
        <f>Data!D77</f>
        <v/>
      </c>
      <c r="E57" s="39">
        <f>Data!E77</f>
        <v/>
      </c>
      <c r="F57" s="20">
        <f>Data!F77</f>
        <v/>
      </c>
      <c r="G57" s="20">
        <f>Data!G77</f>
        <v/>
      </c>
      <c r="H57" s="21">
        <f>Data!H77</f>
        <v/>
      </c>
      <c r="I57" s="40">
        <f>Data!I77</f>
        <v/>
      </c>
      <c r="J57" s="6" t="n"/>
      <c r="K57" s="6" t="n"/>
      <c r="L57" s="6" t="n"/>
      <c r="M57" s="6" t="n"/>
      <c r="N57" s="6" t="n"/>
    </row>
    <row r="58" ht="19.5" customHeight="1">
      <c r="A58" s="15" t="inlineStr">
        <is>
          <t>FY 2025</t>
        </is>
      </c>
      <c r="B58" s="16">
        <f>Data!B78</f>
        <v/>
      </c>
      <c r="C58" s="16">
        <f>Data!C78</f>
        <v/>
      </c>
      <c r="D58" s="17">
        <f>Data!D78</f>
        <v/>
      </c>
      <c r="E58" s="38">
        <f>Data!E78</f>
        <v/>
      </c>
      <c r="F58" s="16">
        <f>Data!F78</f>
        <v/>
      </c>
      <c r="G58" s="16">
        <f>Data!G78</f>
        <v/>
      </c>
      <c r="H58" s="17">
        <f>Data!H78</f>
        <v/>
      </c>
      <c r="I58" s="41">
        <f>Data!I78</f>
        <v/>
      </c>
      <c r="J58" s="6" t="n"/>
      <c r="K58" s="6" t="n"/>
      <c r="L58" s="6" t="n"/>
      <c r="M58" s="6" t="n"/>
      <c r="N58" s="6" t="n"/>
    </row>
    <row r="59" ht="19.5" customHeight="1">
      <c r="A59" s="19" t="inlineStr">
        <is>
          <t>FY 2026</t>
        </is>
      </c>
      <c r="B59" s="20">
        <f>Data!B79</f>
        <v/>
      </c>
      <c r="C59" s="20">
        <f>Data!C79</f>
        <v/>
      </c>
      <c r="D59" s="21">
        <f>Data!D79</f>
        <v/>
      </c>
      <c r="E59" s="39">
        <f>Data!E79</f>
        <v/>
      </c>
      <c r="F59" s="20">
        <f>Data!F79</f>
        <v/>
      </c>
      <c r="G59" s="20">
        <f>Data!G79</f>
        <v/>
      </c>
      <c r="H59" s="21">
        <f>Data!H79</f>
        <v/>
      </c>
      <c r="I59" s="40">
        <f>Data!I79</f>
        <v/>
      </c>
      <c r="J59" s="6" t="n"/>
      <c r="K59" s="6" t="n"/>
      <c r="L59" s="6" t="n"/>
      <c r="M59" s="6" t="n"/>
      <c r="N59" s="6" t="n"/>
    </row>
    <row r="60" ht="19.5" customHeight="1">
      <c r="A60" s="15" t="inlineStr">
        <is>
          <t>FY 2027</t>
        </is>
      </c>
      <c r="B60" s="16">
        <f>Data!B80</f>
        <v/>
      </c>
      <c r="C60" s="16">
        <f>Data!C80</f>
        <v/>
      </c>
      <c r="D60" s="17">
        <f>Data!D80</f>
        <v/>
      </c>
      <c r="E60" s="38">
        <f>Data!E80</f>
        <v/>
      </c>
      <c r="F60" s="16">
        <f>Data!F80</f>
        <v/>
      </c>
      <c r="G60" s="16">
        <f>Data!G80</f>
        <v/>
      </c>
      <c r="H60" s="17">
        <f>Data!H80</f>
        <v/>
      </c>
      <c r="I60" s="41">
        <f>Data!I80</f>
        <v/>
      </c>
      <c r="J60" s="6" t="n"/>
      <c r="K60" s="6" t="n"/>
      <c r="L60" s="6" t="n"/>
      <c r="M60" s="6" t="n"/>
      <c r="N60" s="6" t="n"/>
    </row>
    <row r="61" ht="15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21.75" customHeight="1">
      <c r="A62" s="42" t="inlineStr">
        <is>
          <t>5-YEAR AVERAGE</t>
        </is>
      </c>
      <c r="B62" s="42">
        <f>AVERAGE(B56:B60)</f>
        <v/>
      </c>
      <c r="C62" s="42">
        <f>AVERAGE(C56:C60)</f>
        <v/>
      </c>
      <c r="D62" s="43">
        <f>AVERAGE(D56:D60)</f>
        <v/>
      </c>
      <c r="E62" s="42">
        <f>AVERAGE(E56:E60)</f>
        <v/>
      </c>
      <c r="F62" s="42" t="n"/>
      <c r="G62" s="42" t="n"/>
      <c r="H62" s="43">
        <f>AVERAGE(H56:H60)</f>
        <v/>
      </c>
      <c r="I62" s="42" t="n"/>
      <c r="J62" s="6" t="n"/>
      <c r="K62" s="6" t="n"/>
      <c r="L62" s="6" t="n"/>
      <c r="M62" s="6" t="n"/>
      <c r="N62" s="6" t="n"/>
    </row>
    <row r="63" ht="7.5" customHeight="1">
      <c r="A63" s="13" t="n"/>
      <c r="B63" s="13" t="n"/>
      <c r="C63" s="13" t="n"/>
      <c r="D63" s="13" t="n"/>
      <c r="E63" s="13" t="n"/>
      <c r="F63" s="44" t="n"/>
      <c r="G63" s="13" t="n"/>
      <c r="H63" s="13" t="n"/>
      <c r="I63" s="13" t="n"/>
      <c r="J63" s="13" t="n"/>
      <c r="K63" s="6" t="n"/>
      <c r="L63" s="6" t="n"/>
      <c r="M63" s="6" t="n"/>
      <c r="N63" s="6" t="n"/>
    </row>
    <row r="64" ht="15" customHeight="1">
      <c r="A64" s="13" t="n"/>
      <c r="B64" s="13" t="n"/>
      <c r="C64" s="13" t="n"/>
      <c r="D64" s="13" t="n"/>
      <c r="E64" s="13" t="n"/>
      <c r="F64" s="45" t="n"/>
      <c r="G64" s="46" t="n"/>
      <c r="H64" s="45" t="n"/>
      <c r="I64" s="47" t="n"/>
      <c r="J64" s="13" t="n"/>
      <c r="K64" s="6" t="n"/>
      <c r="L64" s="6" t="n"/>
      <c r="M64" s="6" t="n"/>
      <c r="N64" s="6" t="n"/>
    </row>
    <row r="65" ht="27.75" customHeight="1">
      <c r="A65" s="146" t="inlineStr">
        <is>
          <t xml:space="preserve">  EVC FISCAL YEAR COMPARISON (July 1 — June 30)</t>
        </is>
      </c>
      <c r="B65" s="146" t="n"/>
      <c r="C65" s="146" t="n"/>
      <c r="D65" s="146" t="n"/>
      <c r="E65" s="146" t="n"/>
      <c r="F65" s="146" t="n"/>
      <c r="G65" s="146" t="n"/>
      <c r="H65" s="146" t="n"/>
      <c r="I65" s="146" t="n"/>
      <c r="J65" s="6" t="n"/>
      <c r="K65" s="6" t="n"/>
      <c r="L65" s="6" t="n"/>
      <c r="M65" s="6" t="n"/>
      <c r="N65" s="6" t="n"/>
    </row>
    <row r="66" ht="24" customHeight="1">
      <c r="A66" s="14" t="inlineStr">
        <is>
          <t>Fiscal Year</t>
        </is>
      </c>
      <c r="B66" s="14" t="inlineStr">
        <is>
          <t>Active Emp</t>
        </is>
      </c>
      <c r="C66" s="14" t="inlineStr">
        <is>
          <t>Total Sep</t>
        </is>
      </c>
      <c r="D66" s="14" t="inlineStr">
        <is>
          <t>TOR %</t>
        </is>
      </c>
      <c r="E66" s="14" t="inlineStr">
        <is>
          <t>Avg Monthly</t>
        </is>
      </c>
      <c r="F66" s="14" t="inlineStr">
        <is>
          <t>Vol</t>
        </is>
      </c>
      <c r="G66" s="14" t="inlineStr">
        <is>
          <t>Involuntary</t>
        </is>
      </c>
      <c r="H66" s="14" t="inlineStr">
        <is>
          <t>Vol %</t>
        </is>
      </c>
      <c r="I66" s="14" t="inlineStr">
        <is>
          <t>YoY Change</t>
        </is>
      </c>
      <c r="J66" s="6" t="n"/>
      <c r="K66" s="6" t="n"/>
      <c r="L66" s="6" t="n"/>
      <c r="M66" s="6" t="n"/>
      <c r="N66" s="6" t="n"/>
    </row>
    <row r="67" ht="19.5" customHeight="1">
      <c r="A67" s="15" t="inlineStr">
        <is>
          <t>FY EVC 2024</t>
        </is>
      </c>
      <c r="B67" s="16">
        <f>Data!B111</f>
        <v/>
      </c>
      <c r="C67" s="16">
        <f>Data!C111</f>
        <v/>
      </c>
      <c r="D67" s="17">
        <f>Data!D111</f>
        <v/>
      </c>
      <c r="E67" s="38">
        <f>Data!E111</f>
        <v/>
      </c>
      <c r="F67" s="16">
        <f>Data!F111</f>
        <v/>
      </c>
      <c r="G67" s="16">
        <f>Data!G111</f>
        <v/>
      </c>
      <c r="H67" s="17">
        <f>Data!I111</f>
        <v/>
      </c>
      <c r="I67" s="16" t="inlineStr">
        <is>
          <t>N/A</t>
        </is>
      </c>
      <c r="J67" s="6" t="n"/>
      <c r="K67" s="6" t="n"/>
      <c r="L67" s="6" t="n"/>
      <c r="M67" s="6" t="n"/>
      <c r="N67" s="6" t="n"/>
    </row>
    <row r="68" ht="19.5" customHeight="1">
      <c r="A68" s="19" t="inlineStr">
        <is>
          <t>FY EVC 2025</t>
        </is>
      </c>
      <c r="B68" s="20">
        <f>Data!B112</f>
        <v/>
      </c>
      <c r="C68" s="20">
        <f>Data!C112</f>
        <v/>
      </c>
      <c r="D68" s="21">
        <f>Data!D112</f>
        <v/>
      </c>
      <c r="E68" s="39">
        <f>Data!E112</f>
        <v/>
      </c>
      <c r="F68" s="20">
        <f>Data!F112</f>
        <v/>
      </c>
      <c r="G68" s="20">
        <f>Data!G112</f>
        <v/>
      </c>
      <c r="H68" s="21">
        <f>Data!I112</f>
        <v/>
      </c>
      <c r="I68" s="21">
        <f>D68-D67</f>
        <v/>
      </c>
      <c r="J68" s="6" t="n"/>
      <c r="K68" s="6" t="n"/>
      <c r="L68" s="6" t="n"/>
      <c r="M68" s="6" t="n"/>
      <c r="N68" s="6" t="n"/>
    </row>
    <row r="69" ht="19.5" customHeight="1">
      <c r="A69" s="15" t="inlineStr">
        <is>
          <t>FY EVC 2026</t>
        </is>
      </c>
      <c r="B69" s="16">
        <f>Data!B113</f>
        <v/>
      </c>
      <c r="C69" s="16">
        <f>Data!C113</f>
        <v/>
      </c>
      <c r="D69" s="17">
        <f>Data!D113</f>
        <v/>
      </c>
      <c r="E69" s="38">
        <f>Data!E113</f>
        <v/>
      </c>
      <c r="F69" s="16">
        <f>Data!F113</f>
        <v/>
      </c>
      <c r="G69" s="16">
        <f>Data!G113</f>
        <v/>
      </c>
      <c r="H69" s="17">
        <f>Data!I113</f>
        <v/>
      </c>
      <c r="I69" s="17">
        <f>D69-D68</f>
        <v/>
      </c>
      <c r="J69" s="6" t="n"/>
      <c r="K69" s="6" t="n"/>
      <c r="L69" s="6" t="n"/>
      <c r="M69" s="6" t="n"/>
      <c r="N69" s="6" t="n"/>
    </row>
    <row r="70" ht="19.5" customHeight="1">
      <c r="A70" s="19" t="inlineStr">
        <is>
          <t>FY EVC 2027</t>
        </is>
      </c>
      <c r="B70" s="20">
        <f>Data!B114</f>
        <v/>
      </c>
      <c r="C70" s="20">
        <f>Data!C114</f>
        <v/>
      </c>
      <c r="D70" s="21">
        <f>Data!D114</f>
        <v/>
      </c>
      <c r="E70" s="39">
        <f>Data!E114</f>
        <v/>
      </c>
      <c r="F70" s="20">
        <f>Data!F114</f>
        <v/>
      </c>
      <c r="G70" s="20">
        <f>Data!G114</f>
        <v/>
      </c>
      <c r="H70" s="21">
        <f>Data!I114</f>
        <v/>
      </c>
      <c r="I70" s="21">
        <f>D70-D69</f>
        <v/>
      </c>
      <c r="J70" s="6" t="n"/>
      <c r="K70" s="6" t="n"/>
      <c r="L70" s="6" t="n"/>
      <c r="M70" s="6" t="n"/>
      <c r="N70" s="6" t="n"/>
    </row>
    <row r="71" ht="7.5" customHeight="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6" t="n"/>
      <c r="L71" s="6" t="n"/>
      <c r="M71" s="6" t="n"/>
      <c r="N71" s="6" t="n"/>
    </row>
    <row r="72" ht="27.75" customHeight="1">
      <c r="A72" s="146" t="inlineStr">
        <is>
          <t xml:space="preserve">  EVC FISCAL YEAR MONTHLY SEPARATIONS</t>
        </is>
      </c>
      <c r="B72" s="146" t="n"/>
      <c r="C72" s="146" t="n"/>
      <c r="D72" s="146" t="n"/>
      <c r="E72" s="146" t="n"/>
      <c r="F72" s="13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 ht="24" customHeight="1">
      <c r="A73" s="14" t="inlineStr">
        <is>
          <t>Month</t>
        </is>
      </c>
      <c r="B73" s="14" t="inlineStr">
        <is>
          <t>Separations</t>
        </is>
      </c>
      <c r="C73" s="14" t="inlineStr">
        <is>
          <t>% of YTD</t>
        </is>
      </c>
      <c r="D73" s="14" t="inlineStr">
        <is>
          <t>TOR %</t>
        </is>
      </c>
      <c r="E73" s="14" t="inlineStr">
        <is>
          <t>Cumulative</t>
        </is>
      </c>
      <c r="F73" s="24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 ht="19.5" customHeight="1">
      <c r="A74" s="15" t="inlineStr">
        <is>
          <t>July</t>
        </is>
      </c>
      <c r="B74" s="16">
        <f>INDEX(Data!$A$88:$N$91,MATCH($G$5,Data!$A$88:$A$91,0),2)</f>
        <v/>
      </c>
      <c r="C74" s="17">
        <f>IF(INDEX(Data!$A$111:$J$114,MATCH($G$5,Data!$A$111:$A$114,0),3)=0,0,B74/INDEX(Data!$A$111:$J$114,MATCH($G$5,Data!$A$111:$A$114,0),3))</f>
        <v/>
      </c>
      <c r="D74" s="17">
        <f>IF(INDEX(Data!$A$111:$J$114,MATCH($G$5,Data!$A$111:$A$114,0),2)=0,0,B74/INDEX(Data!$A$111:$J$114,MATCH($G$5,Data!$A$111:$A$114,0),2))</f>
        <v/>
      </c>
      <c r="E74" s="16">
        <f>B74</f>
        <v/>
      </c>
      <c r="F74" s="48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 ht="19.5" customHeight="1">
      <c r="A75" s="19" t="inlineStr">
        <is>
          <t>August</t>
        </is>
      </c>
      <c r="B75" s="20">
        <f>INDEX(Data!$A$88:$N$91,MATCH($G$5,Data!$A$88:$A$91,0),3)</f>
        <v/>
      </c>
      <c r="C75" s="21">
        <f>IF(INDEX(Data!$A$111:$J$114,MATCH($G$5,Data!$A$111:$A$114,0),3)=0,0,B75/INDEX(Data!$A$111:$J$114,MATCH($G$5,Data!$A$111:$A$114,0),3))</f>
        <v/>
      </c>
      <c r="D75" s="21">
        <f>IF(INDEX(Data!$A$111:$J$114,MATCH($G$5,Data!$A$111:$A$114,0),2)=0,0,B75/INDEX(Data!$A$111:$J$114,MATCH($G$5,Data!$A$111:$A$114,0),2))</f>
        <v/>
      </c>
      <c r="E75" s="20">
        <f>E74+B75</f>
        <v/>
      </c>
      <c r="F75" s="48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 ht="19.5" customHeight="1">
      <c r="A76" s="15" t="inlineStr">
        <is>
          <t>September</t>
        </is>
      </c>
      <c r="B76" s="16">
        <f>INDEX(Data!$A$88:$N$91,MATCH($G$5,Data!$A$88:$A$91,0),4)</f>
        <v/>
      </c>
      <c r="C76" s="17">
        <f>IF(INDEX(Data!$A$111:$J$114,MATCH($G$5,Data!$A$111:$A$114,0),3)=0,0,B76/INDEX(Data!$A$111:$J$114,MATCH($G$5,Data!$A$111:$A$114,0),3))</f>
        <v/>
      </c>
      <c r="D76" s="17">
        <f>IF(INDEX(Data!$A$111:$J$114,MATCH($G$5,Data!$A$111:$A$114,0),2)=0,0,B76/INDEX(Data!$A$111:$J$114,MATCH($G$5,Data!$A$111:$A$114,0),2))</f>
        <v/>
      </c>
      <c r="E76" s="16">
        <f>E75+B76</f>
        <v/>
      </c>
      <c r="F76" s="48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 ht="19.5" customHeight="1">
      <c r="A77" s="19" t="inlineStr">
        <is>
          <t>October</t>
        </is>
      </c>
      <c r="B77" s="20">
        <f>INDEX(Data!$A$88:$N$91,MATCH($G$5,Data!$A$88:$A$91,0),5)</f>
        <v/>
      </c>
      <c r="C77" s="21">
        <f>IF(INDEX(Data!$A$111:$J$114,MATCH($G$5,Data!$A$111:$A$114,0),3)=0,0,B77/INDEX(Data!$A$111:$J$114,MATCH($G$5,Data!$A$111:$A$114,0),3))</f>
        <v/>
      </c>
      <c r="D77" s="21">
        <f>IF(INDEX(Data!$A$111:$J$114,MATCH($G$5,Data!$A$111:$A$114,0),2)=0,0,B77/INDEX(Data!$A$111:$J$114,MATCH($G$5,Data!$A$111:$A$114,0),2))</f>
        <v/>
      </c>
      <c r="E77" s="20">
        <f>E76+B77</f>
        <v/>
      </c>
      <c r="F77" s="48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 ht="19.5" customHeight="1">
      <c r="A78" s="15" t="inlineStr">
        <is>
          <t>November</t>
        </is>
      </c>
      <c r="B78" s="16">
        <f>INDEX(Data!$A$88:$N$91,MATCH($G$5,Data!$A$88:$A$91,0),6)</f>
        <v/>
      </c>
      <c r="C78" s="17">
        <f>IF(INDEX(Data!$A$111:$J$114,MATCH($G$5,Data!$A$111:$A$114,0),3)=0,0,B78/INDEX(Data!$A$111:$J$114,MATCH($G$5,Data!$A$111:$A$114,0),3))</f>
        <v/>
      </c>
      <c r="D78" s="17">
        <f>IF(INDEX(Data!$A$111:$J$114,MATCH($G$5,Data!$A$111:$A$114,0),2)=0,0,B78/INDEX(Data!$A$111:$J$114,MATCH($G$5,Data!$A$111:$A$114,0),2))</f>
        <v/>
      </c>
      <c r="E78" s="16">
        <f>E77+B78</f>
        <v/>
      </c>
      <c r="F78" s="48" t="n"/>
      <c r="G78" s="6" t="n"/>
      <c r="H78" s="6" t="n"/>
      <c r="I78" s="6" t="n"/>
      <c r="J78" s="6" t="n"/>
      <c r="K78" s="6" t="n"/>
      <c r="L78" s="6" t="n"/>
      <c r="M78" s="6" t="n"/>
      <c r="N78" s="6" t="n"/>
    </row>
    <row r="79" ht="19.5" customHeight="1">
      <c r="A79" s="19" t="inlineStr">
        <is>
          <t>December</t>
        </is>
      </c>
      <c r="B79" s="20">
        <f>INDEX(Data!$A$88:$N$91,MATCH($G$5,Data!$A$88:$A$91,0),7)</f>
        <v/>
      </c>
      <c r="C79" s="21">
        <f>IF(INDEX(Data!$A$111:$J$114,MATCH($G$5,Data!$A$111:$A$114,0),3)=0,0,B79/INDEX(Data!$A$111:$J$114,MATCH($G$5,Data!$A$111:$A$114,0),3))</f>
        <v/>
      </c>
      <c r="D79" s="21">
        <f>IF(INDEX(Data!$A$111:$J$114,MATCH($G$5,Data!$A$111:$A$114,0),2)=0,0,B79/INDEX(Data!$A$111:$J$114,MATCH($G$5,Data!$A$111:$A$114,0),2))</f>
        <v/>
      </c>
      <c r="E79" s="20">
        <f>E78+B79</f>
        <v/>
      </c>
      <c r="F79" s="48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 ht="19.5" customHeight="1">
      <c r="A80" s="49" t="inlineStr">
        <is>
          <t>January</t>
        </is>
      </c>
      <c r="B80" s="50">
        <f>INDEX(Data!$A$88:$N$91,MATCH($G$5,Data!$A$88:$A$91,0),8)</f>
        <v/>
      </c>
      <c r="C80" s="51">
        <f>IF(INDEX(Data!$A$111:$J$114,MATCH($G$5,Data!$A$111:$A$114,0),3)=0,0,B80/INDEX(Data!$A$111:$J$114,MATCH($G$5,Data!$A$111:$A$114,0),3))</f>
        <v/>
      </c>
      <c r="D80" s="51">
        <f>IF(INDEX(Data!$A$111:$J$114,MATCH($G$5,Data!$A$111:$A$114,0),2)=0,0,B80/INDEX(Data!$A$111:$J$114,MATCH($G$5,Data!$A$111:$A$114,0),2))</f>
        <v/>
      </c>
      <c r="E80" s="50">
        <f>E79+B80</f>
        <v/>
      </c>
      <c r="F80" s="48" t="n"/>
      <c r="G80" s="6" t="n"/>
      <c r="H80" s="6" t="n"/>
      <c r="I80" s="6" t="n"/>
      <c r="J80" s="6" t="n"/>
      <c r="K80" s="6" t="n"/>
      <c r="L80" s="6" t="n"/>
      <c r="M80" s="6" t="n"/>
      <c r="N80" s="6" t="n"/>
    </row>
    <row r="81" ht="19.5" customHeight="1">
      <c r="A81" s="19" t="inlineStr">
        <is>
          <t>February</t>
        </is>
      </c>
      <c r="B81" s="20">
        <f>INDEX(Data!$A$88:$N$91,MATCH($G$5,Data!$A$88:$A$91,0),9)</f>
        <v/>
      </c>
      <c r="C81" s="21">
        <f>IF(INDEX(Data!$A$111:$J$114,MATCH($G$5,Data!$A$111:$A$114,0),3)=0,0,B81/INDEX(Data!$A$111:$J$114,MATCH($G$5,Data!$A$111:$A$114,0),3))</f>
        <v/>
      </c>
      <c r="D81" s="21">
        <f>IF(INDEX(Data!$A$111:$J$114,MATCH($G$5,Data!$A$111:$A$114,0),2)=0,0,B81/INDEX(Data!$A$111:$J$114,MATCH($G$5,Data!$A$111:$A$114,0),2))</f>
        <v/>
      </c>
      <c r="E81" s="20">
        <f>E80+B81</f>
        <v/>
      </c>
      <c r="F81" s="48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 ht="19.5" customHeight="1">
      <c r="A82" s="15" t="inlineStr">
        <is>
          <t>March</t>
        </is>
      </c>
      <c r="B82" s="16">
        <f>INDEX(Data!$A$88:$N$91,MATCH($G$5,Data!$A$88:$A$91,0),10)</f>
        <v/>
      </c>
      <c r="C82" s="17">
        <f>IF(INDEX(Data!$A$111:$J$114,MATCH($G$5,Data!$A$111:$A$114,0),3)=0,0,B82/INDEX(Data!$A$111:$J$114,MATCH($G$5,Data!$A$111:$A$114,0),3))</f>
        <v/>
      </c>
      <c r="D82" s="17">
        <f>IF(INDEX(Data!$A$111:$J$114,MATCH($G$5,Data!$A$111:$A$114,0),2)=0,0,B82/INDEX(Data!$A$111:$J$114,MATCH($G$5,Data!$A$111:$A$114,0),2))</f>
        <v/>
      </c>
      <c r="E82" s="16">
        <f>E81+B82</f>
        <v/>
      </c>
      <c r="F82" s="48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 ht="19.5" customHeight="1">
      <c r="A83" s="19" t="inlineStr">
        <is>
          <t>April</t>
        </is>
      </c>
      <c r="B83" s="20">
        <f>INDEX(Data!$A$88:$N$91,MATCH($G$5,Data!$A$88:$A$91,0),11)</f>
        <v/>
      </c>
      <c r="C83" s="21">
        <f>IF(INDEX(Data!$A$111:$J$114,MATCH($G$5,Data!$A$111:$A$114,0),3)=0,0,B83/INDEX(Data!$A$111:$J$114,MATCH($G$5,Data!$A$111:$A$114,0),3))</f>
        <v/>
      </c>
      <c r="D83" s="21">
        <f>IF(INDEX(Data!$A$111:$J$114,MATCH($G$5,Data!$A$111:$A$114,0),2)=0,0,B83/INDEX(Data!$A$111:$J$114,MATCH($G$5,Data!$A$111:$A$114,0),2))</f>
        <v/>
      </c>
      <c r="E83" s="20">
        <f>E82+B83</f>
        <v/>
      </c>
      <c r="F83" s="48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 ht="19.5" customHeight="1">
      <c r="A84" s="15" t="inlineStr">
        <is>
          <t>May</t>
        </is>
      </c>
      <c r="B84" s="16">
        <f>INDEX(Data!$A$88:$N$91,MATCH($G$5,Data!$A$88:$A$91,0),12)</f>
        <v/>
      </c>
      <c r="C84" s="17">
        <f>IF(INDEX(Data!$A$111:$J$114,MATCH($G$5,Data!$A$111:$A$114,0),3)=0,0,B84/INDEX(Data!$A$111:$J$114,MATCH($G$5,Data!$A$111:$A$114,0),3))</f>
        <v/>
      </c>
      <c r="D84" s="17">
        <f>IF(INDEX(Data!$A$111:$J$114,MATCH($G$5,Data!$A$111:$A$114,0),2)=0,0,B84/INDEX(Data!$A$111:$J$114,MATCH($G$5,Data!$A$111:$A$114,0),2))</f>
        <v/>
      </c>
      <c r="E84" s="16">
        <f>E83+B84</f>
        <v/>
      </c>
      <c r="F84" s="48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 ht="19.5" customHeight="1">
      <c r="A85" s="19" t="inlineStr">
        <is>
          <t>June</t>
        </is>
      </c>
      <c r="B85" s="20">
        <f>INDEX(Data!$A$88:$N$91,MATCH($G$5,Data!$A$88:$A$91,0),13)</f>
        <v/>
      </c>
      <c r="C85" s="21">
        <f>IF(INDEX(Data!$A$111:$J$114,MATCH($G$5,Data!$A$111:$A$114,0),3)=0,0,B85/INDEX(Data!$A$111:$J$114,MATCH($G$5,Data!$A$111:$A$114,0),3))</f>
        <v/>
      </c>
      <c r="D85" s="21">
        <f>IF(INDEX(Data!$A$111:$J$114,MATCH($G$5,Data!$A$111:$A$114,0),2)=0,0,B85/INDEX(Data!$A$111:$J$114,MATCH($G$5,Data!$A$111:$A$114,0),2))</f>
        <v/>
      </c>
      <c r="E85" s="20">
        <f>E84+B85</f>
        <v/>
      </c>
      <c r="F85" s="48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 ht="9.75" customHeight="1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6" t="n"/>
      <c r="L86" s="6" t="n"/>
      <c r="M86" s="6" t="n"/>
      <c r="N86" s="6" t="n"/>
    </row>
    <row r="87" ht="27.75" customHeight="1">
      <c r="A87" s="146" t="inlineStr">
        <is>
          <t xml:space="preserve">  EVC FISCAL YEAR SNAPSHOT</t>
        </is>
      </c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6" t="n"/>
      <c r="L87" s="6" t="n"/>
      <c r="M87" s="6" t="n"/>
      <c r="N87" s="6" t="n"/>
    </row>
    <row r="88" ht="19.5" customHeight="1">
      <c r="A88" s="53" t="inlineStr">
        <is>
          <t>TOTAL SEPARATIONS</t>
        </is>
      </c>
      <c r="B88" s="54" t="n"/>
      <c r="C88" s="53" t="inlineStr">
        <is>
          <t>TURNOVER RATE</t>
        </is>
      </c>
      <c r="D88" s="54" t="n"/>
      <c r="E88" s="53" t="inlineStr">
        <is>
          <t>VOLUNTARY %</t>
        </is>
      </c>
      <c r="F88" s="54" t="n"/>
      <c r="G88" s="53" t="inlineStr">
        <is>
          <t>AVG MONTHLY</t>
        </is>
      </c>
      <c r="H88" s="54" t="n"/>
      <c r="I88" s="53" t="inlineStr">
        <is>
          <t>REHIRE RATE</t>
        </is>
      </c>
      <c r="J88" s="54" t="n"/>
      <c r="K88" s="6" t="n"/>
      <c r="L88" s="6" t="n"/>
      <c r="M88" s="6" t="n"/>
      <c r="N88" s="6" t="n"/>
    </row>
    <row r="89" ht="36" customHeight="1">
      <c r="A89" s="55">
        <f>INDEX(Data!$A$111:$J$114,MATCH($G$5,Data!$A$111:$A$114,0),3)</f>
        <v/>
      </c>
      <c r="B89" s="54" t="n"/>
      <c r="C89" s="56">
        <f>INDEX(Data!$A$111:$J$114,MATCH($G$5,Data!$A$111:$A$114,0),4)</f>
        <v/>
      </c>
      <c r="D89" s="54" t="n"/>
      <c r="E89" s="56">
        <f>INDEX(Data!$A$111:$J$114,MATCH($G$5,Data!$A$111:$A$114,0),9)</f>
        <v/>
      </c>
      <c r="F89" s="54" t="n"/>
      <c r="G89" s="57">
        <f>INDEX(Data!$A$111:$J$114,MATCH($G$5,Data!$A$111:$A$114,0),5)</f>
        <v/>
      </c>
      <c r="H89" s="54" t="n"/>
      <c r="I89" s="56">
        <f>INDEX(Data!$A$111:$J$114,MATCH($G$5,Data!$A$111:$A$114,0),10)</f>
        <v/>
      </c>
      <c r="J89" s="54" t="n"/>
      <c r="K89" s="6" t="n"/>
      <c r="L89" s="6" t="n"/>
      <c r="M89" s="6" t="n"/>
      <c r="N89" s="6" t="n"/>
    </row>
    <row r="90" ht="15.75" customHeight="1">
      <c r="A90" s="58">
        <f>INDEX(Data!$A$111:$J$114,MATCH($G$5,Data!$A$111:$A$114,0),6)&amp;" voluntary / "&amp;INDEX(Data!$A$111:$J$114,MATCH($G$5,Data!$A$111:$A$114,0),7)&amp;" involuntary"</f>
        <v/>
      </c>
      <c r="B90" s="54" t="n"/>
      <c r="C90" s="59" t="n"/>
      <c r="D90" s="54" t="n"/>
      <c r="E90" s="60">
        <f>"Active employees: "&amp;INDEX(Data!$A$111:$J$114,MATCH($G$5,Data!$A$111:$A$114,0),2)</f>
        <v/>
      </c>
      <c r="F90" s="54" t="n"/>
      <c r="G90" s="61">
        <f>"Avg "&amp;TEXT(INDEX(Data!$A$111:$J$114,MATCH($G$5,Data!$A$111:$A$114,0),5),"0.0")&amp;"/month"</f>
        <v/>
      </c>
      <c r="H90" s="54" t="n"/>
      <c r="I90" s="59" t="n"/>
      <c r="J90" s="54" t="n"/>
      <c r="K90" s="6" t="n"/>
      <c r="L90" s="6" t="n"/>
      <c r="M90" s="6" t="n"/>
      <c r="N90" s="6" t="n"/>
    </row>
    <row r="91" ht="7.5" customHeight="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6" t="n"/>
      <c r="L91" s="6" t="n"/>
      <c r="M91" s="6" t="n"/>
      <c r="N91" s="6" t="n"/>
    </row>
    <row r="92" ht="7.5" customHeight="1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6" t="n"/>
      <c r="L92" s="6" t="n"/>
      <c r="M92" s="6" t="n"/>
      <c r="N92" s="6" t="n"/>
    </row>
    <row r="93" ht="27.75" customHeight="1">
      <c r="A93" s="146" t="inlineStr">
        <is>
          <t xml:space="preserve">  EVC FY: SEPARATIONS BY JOB</t>
        </is>
      </c>
      <c r="B93" s="146" t="n"/>
      <c r="C93" s="146" t="n"/>
      <c r="D93" s="146" t="n"/>
      <c r="E93" s="13" t="n"/>
      <c r="F93" s="146" t="inlineStr">
        <is>
          <t xml:space="preserve">  EVC FY: SEPARATIONS BY REASON</t>
        </is>
      </c>
      <c r="G93" s="146" t="n"/>
      <c r="H93" s="146" t="n"/>
      <c r="I93" s="146" t="n"/>
      <c r="J93" s="146" t="n"/>
      <c r="K93" s="6" t="n"/>
      <c r="L93" s="6" t="n"/>
      <c r="M93" s="6" t="n"/>
      <c r="N93" s="6" t="n"/>
    </row>
    <row r="94" ht="24" customHeight="1">
      <c r="A94" s="14" t="inlineStr">
        <is>
          <t>Job Title</t>
        </is>
      </c>
      <c r="B94" s="14" t="inlineStr">
        <is>
          <t>Count</t>
        </is>
      </c>
      <c r="C94" s="14" t="inlineStr">
        <is>
          <t>% of Total</t>
        </is>
      </c>
      <c r="D94" s="14" t="inlineStr">
        <is>
          <t>TOR %</t>
        </is>
      </c>
      <c r="E94" s="13" t="n"/>
      <c r="F94" s="14" t="inlineStr">
        <is>
          <t>Reason</t>
        </is>
      </c>
      <c r="G94" s="14" t="inlineStr">
        <is>
          <t>Count</t>
        </is>
      </c>
      <c r="H94" s="14" t="inlineStr">
        <is>
          <t>% of Total</t>
        </is>
      </c>
      <c r="I94" s="14" t="inlineStr">
        <is>
          <t>Category</t>
        </is>
      </c>
      <c r="J94" s="6" t="n"/>
      <c r="K94" s="6" t="n"/>
      <c r="L94" s="6" t="n"/>
      <c r="M94" s="6" t="n"/>
      <c r="N94" s="6" t="n"/>
    </row>
    <row r="95" ht="21.75" customHeight="1">
      <c r="A95" s="18" t="inlineStr">
        <is>
          <t>LEADERSHIP</t>
        </is>
      </c>
      <c r="B95" s="18" t="n"/>
      <c r="C95" s="18" t="n"/>
      <c r="D95" s="18" t="n"/>
      <c r="E95" s="13" t="n"/>
      <c r="F95" s="15" t="inlineStr">
        <is>
          <t>Resignation</t>
        </is>
      </c>
      <c r="G95" s="16">
        <f>INDEX(Data!$A$176:$G$187,MATCH(F95,Data!$A$176:$A$187,0),MATCH($G$5,Data!$C$175:$F$175,0)+2)</f>
        <v/>
      </c>
      <c r="H95" s="17">
        <f>IF(INDEX(Data!$A$111:$J$114,MATCH($G$5,Data!$A$111:$A$114,0),3)=0,0,G95/INDEX(Data!$A$111:$J$114,MATCH($G$5,Data!$A$111:$A$114,0),3))</f>
        <v/>
      </c>
      <c r="I95" s="16" t="inlineStr">
        <is>
          <t>Voluntary</t>
        </is>
      </c>
      <c r="J95" s="6" t="n"/>
      <c r="K95" s="6" t="n"/>
      <c r="L95" s="6" t="n"/>
      <c r="M95" s="6" t="n"/>
      <c r="N95" s="6" t="n"/>
    </row>
    <row r="96" ht="19.5" customHeight="1">
      <c r="A96" s="16">
        <f>Data!A136</f>
        <v/>
      </c>
      <c r="B96" s="16">
        <f>INDEX(Data!$A$136:$F$167,MATCH(A96,Data!$A$136:$A$167,0),MATCH($G$5,Data!$B$135:$E$135,0)+1)</f>
        <v/>
      </c>
      <c r="C96" s="17">
        <f>IF(INDEX(Data!$A$111:$J$114,MATCH($G$5,Data!$A$111:$A$114,0),3)=0,0,B96/INDEX(Data!$A$111:$J$114,MATCH($G$5,Data!$A$111:$A$114,0),3))</f>
        <v/>
      </c>
      <c r="D96" s="17">
        <f>IF(INDEX(Data!$A$111:$J$114,MATCH($G$5,Data!$A$111:$A$114,0),2)=0,0,B96/INDEX(Data!$A$111:$J$114,MATCH($G$5,Data!$A$111:$A$114,0),2))</f>
        <v/>
      </c>
      <c r="E96" s="13" t="n"/>
      <c r="F96" s="19" t="inlineStr">
        <is>
          <t>Better Opportunity</t>
        </is>
      </c>
      <c r="G96" s="20">
        <f>INDEX(Data!$A$176:$G$187,MATCH(F96,Data!$A$176:$A$187,0),MATCH($G$5,Data!$C$175:$F$175,0)+2)</f>
        <v/>
      </c>
      <c r="H96" s="21">
        <f>IF(INDEX(Data!$A$111:$J$114,MATCH($G$5,Data!$A$111:$A$114,0),3)=0,0,G96/INDEX(Data!$A$111:$J$114,MATCH($G$5,Data!$A$111:$A$114,0),3))</f>
        <v/>
      </c>
      <c r="I96" s="20" t="inlineStr">
        <is>
          <t>Voluntary</t>
        </is>
      </c>
      <c r="J96" s="6" t="n"/>
      <c r="K96" s="6" t="n"/>
      <c r="L96" s="6" t="n"/>
      <c r="M96" s="6" t="n"/>
      <c r="N96" s="6" t="n"/>
    </row>
    <row r="97" ht="19.5" customHeight="1">
      <c r="A97" s="20">
        <f>Data!A137</f>
        <v/>
      </c>
      <c r="B97" s="20">
        <f>INDEX(Data!$A$136:$F$167,MATCH(A97,Data!$A$136:$A$167,0),MATCH($G$5,Data!$B$135:$E$135,0)+1)</f>
        <v/>
      </c>
      <c r="C97" s="21">
        <f>IF(INDEX(Data!$A$111:$J$114,MATCH($G$5,Data!$A$111:$A$114,0),3)=0,0,B97/INDEX(Data!$A$111:$J$114,MATCH($G$5,Data!$A$111:$A$114,0),3))</f>
        <v/>
      </c>
      <c r="D97" s="21">
        <f>IF(INDEX(Data!$A$111:$J$114,MATCH($G$5,Data!$A$111:$A$114,0),2)=0,0,B97/INDEX(Data!$A$111:$J$114,MATCH($G$5,Data!$A$111:$A$114,0),2))</f>
        <v/>
      </c>
      <c r="E97" s="13" t="n"/>
      <c r="F97" s="15" t="inlineStr">
        <is>
          <t>Personal Reasons</t>
        </is>
      </c>
      <c r="G97" s="16">
        <f>INDEX(Data!$A$176:$G$187,MATCH(F97,Data!$A$176:$A$187,0),MATCH($G$5,Data!$C$175:$F$175,0)+2)</f>
        <v/>
      </c>
      <c r="H97" s="17">
        <f>IF(INDEX(Data!$A$111:$J$114,MATCH($G$5,Data!$A$111:$A$114,0),3)=0,0,G97/INDEX(Data!$A$111:$J$114,MATCH($G$5,Data!$A$111:$A$114,0),3))</f>
        <v/>
      </c>
      <c r="I97" s="16" t="inlineStr">
        <is>
          <t>Voluntary</t>
        </is>
      </c>
      <c r="J97" s="6" t="n"/>
      <c r="K97" s="6" t="n"/>
      <c r="L97" s="6" t="n"/>
      <c r="M97" s="6" t="n"/>
      <c r="N97" s="6" t="n"/>
    </row>
    <row r="98" ht="19.5" customHeight="1">
      <c r="A98" s="16">
        <f>Data!A138</f>
        <v/>
      </c>
      <c r="B98" s="16">
        <f>INDEX(Data!$A$136:$F$167,MATCH(A98,Data!$A$136:$A$167,0),MATCH($G$5,Data!$B$135:$E$135,0)+1)</f>
        <v/>
      </c>
      <c r="C98" s="17">
        <f>IF(INDEX(Data!$A$111:$J$114,MATCH($G$5,Data!$A$111:$A$114,0),3)=0,0,B98/INDEX(Data!$A$111:$J$114,MATCH($G$5,Data!$A$111:$A$114,0),3))</f>
        <v/>
      </c>
      <c r="D98" s="17">
        <f>IF(INDEX(Data!$A$111:$J$114,MATCH($G$5,Data!$A$111:$A$114,0),2)=0,0,B98/INDEX(Data!$A$111:$J$114,MATCH($G$5,Data!$A$111:$A$114,0),2))</f>
        <v/>
      </c>
      <c r="E98" s="13" t="n"/>
      <c r="F98" s="19" t="inlineStr">
        <is>
          <t>Relocation</t>
        </is>
      </c>
      <c r="G98" s="20">
        <f>INDEX(Data!$A$176:$G$187,MATCH(F98,Data!$A$176:$A$187,0),MATCH($G$5,Data!$C$175:$F$175,0)+2)</f>
        <v/>
      </c>
      <c r="H98" s="21">
        <f>IF(INDEX(Data!$A$111:$J$114,MATCH($G$5,Data!$A$111:$A$114,0),3)=0,0,G98/INDEX(Data!$A$111:$J$114,MATCH($G$5,Data!$A$111:$A$114,0),3))</f>
        <v/>
      </c>
      <c r="I98" s="20" t="inlineStr">
        <is>
          <t>Voluntary</t>
        </is>
      </c>
      <c r="J98" s="6" t="n"/>
      <c r="K98" s="6" t="n"/>
      <c r="L98" s="6" t="n"/>
      <c r="M98" s="6" t="n"/>
      <c r="N98" s="6" t="n"/>
    </row>
    <row r="99" ht="19.5" customHeight="1">
      <c r="A99" s="20">
        <f>Data!A139</f>
        <v/>
      </c>
      <c r="B99" s="20">
        <f>INDEX(Data!$A$136:$F$167,MATCH(A99,Data!$A$136:$A$167,0),MATCH($G$5,Data!$B$135:$E$135,0)+1)</f>
        <v/>
      </c>
      <c r="C99" s="21">
        <f>IF(INDEX(Data!$A$111:$J$114,MATCH($G$5,Data!$A$111:$A$114,0),3)=0,0,B99/INDEX(Data!$A$111:$J$114,MATCH($G$5,Data!$A$111:$A$114,0),3))</f>
        <v/>
      </c>
      <c r="D99" s="21">
        <f>IF(INDEX(Data!$A$111:$J$114,MATCH($G$5,Data!$A$111:$A$114,0),2)=0,0,B99/INDEX(Data!$A$111:$J$114,MATCH($G$5,Data!$A$111:$A$114,0),2))</f>
        <v/>
      </c>
      <c r="E99" s="13" t="n"/>
      <c r="F99" s="15" t="inlineStr">
        <is>
          <t>Retirement</t>
        </is>
      </c>
      <c r="G99" s="16">
        <f>INDEX(Data!$A$176:$G$187,MATCH(F99,Data!$A$176:$A$187,0),MATCH($G$5,Data!$C$175:$F$175,0)+2)</f>
        <v/>
      </c>
      <c r="H99" s="17">
        <f>IF(INDEX(Data!$A$111:$J$114,MATCH($G$5,Data!$A$111:$A$114,0),3)=0,0,G99/INDEX(Data!$A$111:$J$114,MATCH($G$5,Data!$A$111:$A$114,0),3))</f>
        <v/>
      </c>
      <c r="I99" s="16" t="inlineStr">
        <is>
          <t>Voluntary</t>
        </is>
      </c>
      <c r="J99" s="6" t="n"/>
      <c r="K99" s="6" t="n"/>
      <c r="L99" s="6" t="n"/>
      <c r="M99" s="6" t="n"/>
      <c r="N99" s="6" t="n"/>
    </row>
    <row r="100" ht="19.5" customHeight="1">
      <c r="A100" s="16">
        <f>Data!A140</f>
        <v/>
      </c>
      <c r="B100" s="16">
        <f>INDEX(Data!$A$136:$F$167,MATCH(A100,Data!$A$136:$A$167,0),MATCH($G$5,Data!$B$135:$E$135,0)+1)</f>
        <v/>
      </c>
      <c r="C100" s="17">
        <f>IF(INDEX(Data!$A$111:$J$114,MATCH($G$5,Data!$A$111:$A$114,0),3)=0,0,B100/INDEX(Data!$A$111:$J$114,MATCH($G$5,Data!$A$111:$A$114,0),3))</f>
        <v/>
      </c>
      <c r="D100" s="17">
        <f>IF(INDEX(Data!$A$111:$J$114,MATCH($G$5,Data!$A$111:$A$114,0),2)=0,0,B100/INDEX(Data!$A$111:$J$114,MATCH($G$5,Data!$A$111:$A$114,0),2))</f>
        <v/>
      </c>
      <c r="E100" s="13" t="n"/>
      <c r="F100" s="19" t="inlineStr">
        <is>
          <t>Termination</t>
        </is>
      </c>
      <c r="G100" s="20">
        <f>INDEX(Data!$A$176:$G$187,MATCH(F100,Data!$A$176:$A$187,0),MATCH($G$5,Data!$C$175:$F$175,0)+2)</f>
        <v/>
      </c>
      <c r="H100" s="21">
        <f>IF(INDEX(Data!$A$111:$J$114,MATCH($G$5,Data!$A$111:$A$114,0),3)=0,0,G100/INDEX(Data!$A$111:$J$114,MATCH($G$5,Data!$A$111:$A$114,0),3))</f>
        <v/>
      </c>
      <c r="I100" s="20" t="inlineStr">
        <is>
          <t>Involuntary</t>
        </is>
      </c>
      <c r="J100" s="6" t="n"/>
      <c r="K100" s="6" t="n"/>
      <c r="L100" s="6" t="n"/>
      <c r="M100" s="6" t="n"/>
      <c r="N100" s="6" t="n"/>
    </row>
    <row r="101" ht="19.5" customHeight="1">
      <c r="A101" s="20">
        <f>Data!A141</f>
        <v/>
      </c>
      <c r="B101" s="20">
        <f>INDEX(Data!$A$136:$F$167,MATCH(A101,Data!$A$136:$A$167,0),MATCH($G$5,Data!$B$135:$E$135,0)+1)</f>
        <v/>
      </c>
      <c r="C101" s="21">
        <f>IF(INDEX(Data!$A$111:$J$114,MATCH($G$5,Data!$A$111:$A$114,0),3)=0,0,B101/INDEX(Data!$A$111:$J$114,MATCH($G$5,Data!$A$111:$A$114,0),3))</f>
        <v/>
      </c>
      <c r="D101" s="21">
        <f>IF(INDEX(Data!$A$111:$J$114,MATCH($G$5,Data!$A$111:$A$114,0),2)=0,0,B101/INDEX(Data!$A$111:$J$114,MATCH($G$5,Data!$A$111:$A$114,0),2))</f>
        <v/>
      </c>
      <c r="E101" s="13" t="n"/>
      <c r="F101" s="15" t="inlineStr">
        <is>
          <t>Layoff</t>
        </is>
      </c>
      <c r="G101" s="16">
        <f>INDEX(Data!$A$176:$G$187,MATCH(F101,Data!$A$176:$A$187,0),MATCH($G$5,Data!$C$175:$F$175,0)+2)</f>
        <v/>
      </c>
      <c r="H101" s="17">
        <f>IF(INDEX(Data!$A$111:$J$114,MATCH($G$5,Data!$A$111:$A$114,0),3)=0,0,G101/INDEX(Data!$A$111:$J$114,MATCH($G$5,Data!$A$111:$A$114,0),3))</f>
        <v/>
      </c>
      <c r="I101" s="16" t="inlineStr">
        <is>
          <t>Involuntary</t>
        </is>
      </c>
      <c r="J101" s="6" t="n"/>
      <c r="K101" s="6" t="n"/>
      <c r="L101" s="6" t="n"/>
      <c r="M101" s="6" t="n"/>
      <c r="N101" s="6" t="n"/>
    </row>
    <row r="102" ht="19.5" customHeight="1">
      <c r="A102" s="16">
        <f>Data!A142</f>
        <v/>
      </c>
      <c r="B102" s="16">
        <f>INDEX(Data!$A$136:$F$167,MATCH(A102,Data!$A$136:$A$167,0),MATCH($G$5,Data!$B$135:$E$135,0)+1)</f>
        <v/>
      </c>
      <c r="C102" s="17">
        <f>IF(INDEX(Data!$A$111:$J$114,MATCH($G$5,Data!$A$111:$A$114,0),3)=0,0,B102/INDEX(Data!$A$111:$J$114,MATCH($G$5,Data!$A$111:$A$114,0),3))</f>
        <v/>
      </c>
      <c r="D102" s="17">
        <f>IF(INDEX(Data!$A$111:$J$114,MATCH($G$5,Data!$A$111:$A$114,0),2)=0,0,B102/INDEX(Data!$A$111:$J$114,MATCH($G$5,Data!$A$111:$A$114,0),2))</f>
        <v/>
      </c>
      <c r="E102" s="13" t="n"/>
      <c r="F102" s="19" t="inlineStr">
        <is>
          <t>Job Abandonment</t>
        </is>
      </c>
      <c r="G102" s="20">
        <f>INDEX(Data!$A$176:$G$187,MATCH(F102,Data!$A$176:$A$187,0),MATCH($G$5,Data!$C$175:$F$175,0)+2)</f>
        <v/>
      </c>
      <c r="H102" s="21">
        <f>IF(INDEX(Data!$A$111:$J$114,MATCH($G$5,Data!$A$111:$A$114,0),3)=0,0,G102/INDEX(Data!$A$111:$J$114,MATCH($G$5,Data!$A$111:$A$114,0),3))</f>
        <v/>
      </c>
      <c r="I102" s="20" t="inlineStr">
        <is>
          <t>Other</t>
        </is>
      </c>
      <c r="J102" s="6" t="n"/>
      <c r="K102" s="6" t="n"/>
      <c r="L102" s="6" t="n"/>
      <c r="M102" s="6" t="n"/>
      <c r="N102" s="6" t="n"/>
    </row>
    <row r="103" ht="19.5" customHeight="1">
      <c r="A103" s="20">
        <f>Data!A143</f>
        <v/>
      </c>
      <c r="B103" s="20">
        <f>INDEX(Data!$A$136:$F$167,MATCH(A103,Data!$A$136:$A$167,0),MATCH($G$5,Data!$B$135:$E$135,0)+1)</f>
        <v/>
      </c>
      <c r="C103" s="21">
        <f>IF(INDEX(Data!$A$111:$J$114,MATCH($G$5,Data!$A$111:$A$114,0),3)=0,0,B103/INDEX(Data!$A$111:$J$114,MATCH($G$5,Data!$A$111:$A$114,0),3))</f>
        <v/>
      </c>
      <c r="D103" s="21">
        <f>IF(INDEX(Data!$A$111:$J$114,MATCH($G$5,Data!$A$111:$A$114,0),2)=0,0,B103/INDEX(Data!$A$111:$J$114,MATCH($G$5,Data!$A$111:$A$114,0),2))</f>
        <v/>
      </c>
      <c r="E103" s="13" t="n"/>
      <c r="F103" s="15" t="inlineStr">
        <is>
          <t>End of Contract</t>
        </is>
      </c>
      <c r="G103" s="16">
        <f>INDEX(Data!$A$176:$G$187,MATCH(F103,Data!$A$176:$A$187,0),MATCH($G$5,Data!$C$175:$F$175,0)+2)</f>
        <v/>
      </c>
      <c r="H103" s="17">
        <f>IF(INDEX(Data!$A$111:$J$114,MATCH($G$5,Data!$A$111:$A$114,0),3)=0,0,G103/INDEX(Data!$A$111:$J$114,MATCH($G$5,Data!$A$111:$A$114,0),3))</f>
        <v/>
      </c>
      <c r="I103" s="16" t="inlineStr">
        <is>
          <t>Other</t>
        </is>
      </c>
      <c r="J103" s="6" t="n"/>
      <c r="K103" s="6" t="n"/>
      <c r="L103" s="6" t="n"/>
      <c r="M103" s="6" t="n"/>
      <c r="N103" s="6" t="n"/>
    </row>
    <row r="104" ht="19.5" customHeight="1">
      <c r="A104" s="16">
        <f>Data!A144</f>
        <v/>
      </c>
      <c r="B104" s="16">
        <f>INDEX(Data!$A$136:$F$167,MATCH(A104,Data!$A$136:$A$167,0),MATCH($G$5,Data!$B$135:$E$135,0)+1)</f>
        <v/>
      </c>
      <c r="C104" s="17">
        <f>IF(INDEX(Data!$A$111:$J$114,MATCH($G$5,Data!$A$111:$A$114,0),3)=0,0,B104/INDEX(Data!$A$111:$J$114,MATCH($G$5,Data!$A$111:$A$114,0),3))</f>
        <v/>
      </c>
      <c r="D104" s="17">
        <f>IF(INDEX(Data!$A$111:$J$114,MATCH($G$5,Data!$A$111:$A$114,0),2)=0,0,B104/INDEX(Data!$A$111:$J$114,MATCH($G$5,Data!$A$111:$A$114,0),2))</f>
        <v/>
      </c>
      <c r="E104" s="13" t="n"/>
      <c r="F104" s="19" t="inlineStr">
        <is>
          <t>Other</t>
        </is>
      </c>
      <c r="G104" s="20">
        <f>INDEX(Data!$A$176:$G$187,MATCH(F104,Data!$A$176:$A$187,0),MATCH($G$5,Data!$C$175:$F$175,0)+2)</f>
        <v/>
      </c>
      <c r="H104" s="21">
        <f>IF(INDEX(Data!$A$111:$J$114,MATCH($G$5,Data!$A$111:$A$114,0),3)=0,0,G104/INDEX(Data!$A$111:$J$114,MATCH($G$5,Data!$A$111:$A$114,0),3))</f>
        <v/>
      </c>
      <c r="I104" s="20" t="inlineStr">
        <is>
          <t>Other</t>
        </is>
      </c>
      <c r="J104" s="6" t="n"/>
      <c r="K104" s="6" t="n"/>
      <c r="L104" s="6" t="n"/>
      <c r="M104" s="6" t="n"/>
      <c r="N104" s="6" t="n"/>
    </row>
    <row r="105" ht="19.5" customHeight="1">
      <c r="A105" s="20">
        <f>Data!A145</f>
        <v/>
      </c>
      <c r="B105" s="20">
        <f>INDEX(Data!$A$136:$F$167,MATCH(A105,Data!$A$136:$A$167,0),MATCH($G$5,Data!$B$135:$E$135,0)+1)</f>
        <v/>
      </c>
      <c r="C105" s="21">
        <f>IF(INDEX(Data!$A$111:$J$114,MATCH($G$5,Data!$A$111:$A$114,0),3)=0,0,B105/INDEX(Data!$A$111:$J$114,MATCH($G$5,Data!$A$111:$A$114,0),3))</f>
        <v/>
      </c>
      <c r="D105" s="21">
        <f>IF(INDEX(Data!$A$111:$J$114,MATCH($G$5,Data!$A$111:$A$114,0),2)=0,0,B105/INDEX(Data!$A$111:$J$114,MATCH($G$5,Data!$A$111:$A$114,0),2))</f>
        <v/>
      </c>
      <c r="E105" s="13" t="n"/>
      <c r="F105" s="15" t="inlineStr">
        <is>
          <t>Performance Issues</t>
        </is>
      </c>
      <c r="G105" s="16">
        <f>INDEX(Data!$A$176:$G$187,MATCH(F105,Data!$A$176:$A$187,0),MATCH($G$5,Data!$C$175:$F$175,0)+2)</f>
        <v/>
      </c>
      <c r="H105" s="17">
        <f>IF(INDEX(Data!$A$111:$J$114,MATCH($G$5,Data!$A$111:$A$114,0),3)=0,0,G105/INDEX(Data!$A$111:$J$114,MATCH($G$5,Data!$A$111:$A$114,0),3))</f>
        <v/>
      </c>
      <c r="I105" s="16" t="inlineStr">
        <is>
          <t>Other</t>
        </is>
      </c>
      <c r="J105" s="6" t="n"/>
      <c r="K105" s="6" t="n"/>
      <c r="L105" s="6" t="n"/>
      <c r="M105" s="6" t="n"/>
      <c r="N105" s="6" t="n"/>
    </row>
    <row r="106" ht="19.5" customHeight="1">
      <c r="A106" s="16">
        <f>Data!A146</f>
        <v/>
      </c>
      <c r="B106" s="16">
        <f>INDEX(Data!$A$136:$F$167,MATCH(A106,Data!$A$136:$A$167,0),MATCH($G$5,Data!$B$135:$E$135,0)+1)</f>
        <v/>
      </c>
      <c r="C106" s="17">
        <f>IF(INDEX(Data!$A$111:$J$114,MATCH($G$5,Data!$A$111:$A$114,0),3)=0,0,B106/INDEX(Data!$A$111:$J$114,MATCH($G$5,Data!$A$111:$A$114,0),3))</f>
        <v/>
      </c>
      <c r="D106" s="17">
        <f>IF(INDEX(Data!$A$111:$J$114,MATCH($G$5,Data!$A$111:$A$114,0),2)=0,0,B106/INDEX(Data!$A$111:$J$114,MATCH($G$5,Data!$A$111:$A$114,0),2))</f>
        <v/>
      </c>
      <c r="E106" s="13" t="n"/>
      <c r="F106" s="19" t="inlineStr">
        <is>
          <t>Attendance Issues</t>
        </is>
      </c>
      <c r="G106" s="20">
        <f>INDEX(Data!$A$176:$G$187,MATCH(F106,Data!$A$176:$A$187,0),MATCH($G$5,Data!$C$175:$F$175,0)+2)</f>
        <v/>
      </c>
      <c r="H106" s="21">
        <f>IF(INDEX(Data!$A$111:$J$114,MATCH($G$5,Data!$A$111:$A$114,0),3)=0,0,G106/INDEX(Data!$A$111:$J$114,MATCH($G$5,Data!$A$111:$A$114,0),3))</f>
        <v/>
      </c>
      <c r="I106" s="20" t="inlineStr">
        <is>
          <t>Other</t>
        </is>
      </c>
      <c r="J106" s="6" t="n"/>
      <c r="K106" s="6" t="n"/>
      <c r="L106" s="6" t="n"/>
      <c r="M106" s="6" t="n"/>
      <c r="N106" s="6" t="n"/>
    </row>
    <row r="107" ht="19.5" customHeight="1">
      <c r="A107" s="20">
        <f>Data!A147</f>
        <v/>
      </c>
      <c r="B107" s="20">
        <f>INDEX(Data!$A$136:$F$167,MATCH(A107,Data!$A$136:$A$167,0),MATCH($G$5,Data!$B$135:$E$135,0)+1)</f>
        <v/>
      </c>
      <c r="C107" s="21">
        <f>IF(INDEX(Data!$A$111:$J$114,MATCH($G$5,Data!$A$111:$A$114,0),3)=0,0,B107/INDEX(Data!$A$111:$J$114,MATCH($G$5,Data!$A$111:$A$114,0),3))</f>
        <v/>
      </c>
      <c r="D107" s="21">
        <f>IF(INDEX(Data!$A$111:$J$114,MATCH($G$5,Data!$A$111:$A$114,0),2)=0,0,B107/INDEX(Data!$A$111:$J$114,MATCH($G$5,Data!$A$111:$A$114,0),2))</f>
        <v/>
      </c>
      <c r="E107" s="13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 ht="19.5" customHeight="1">
      <c r="A108" s="16">
        <f>Data!A148</f>
        <v/>
      </c>
      <c r="B108" s="16">
        <f>INDEX(Data!$A$136:$F$167,MATCH(A108,Data!$A$136:$A$167,0),MATCH($G$5,Data!$B$135:$E$135,0)+1)</f>
        <v/>
      </c>
      <c r="C108" s="17">
        <f>IF(INDEX(Data!$A$111:$J$114,MATCH($G$5,Data!$A$111:$A$114,0),3)=0,0,B108/INDEX(Data!$A$111:$J$114,MATCH($G$5,Data!$A$111:$A$114,0),3))</f>
        <v/>
      </c>
      <c r="D108" s="17">
        <f>IF(INDEX(Data!$A$111:$J$114,MATCH($G$5,Data!$A$111:$A$114,0),2)=0,0,B108/INDEX(Data!$A$111:$J$114,MATCH($G$5,Data!$A$111:$A$114,0),2))</f>
        <v/>
      </c>
      <c r="E108" s="13" t="n"/>
      <c r="F108" s="42" t="inlineStr">
        <is>
          <t>Voluntary Total</t>
        </is>
      </c>
      <c r="G108" s="42">
        <f>INDEX(Data!$A$111:$J$114,MATCH($G$5,Data!$A$111:$A$114,0),6)</f>
        <v/>
      </c>
      <c r="H108" s="43">
        <f>IF(INDEX(Data!$A$111:$J$114,MATCH($G$5,Data!$A$111:$A$114,0),3)=0,0,G108/INDEX(Data!$A$111:$J$114,MATCH($G$5,Data!$A$111:$A$114,0),3))</f>
        <v/>
      </c>
      <c r="I108" s="62" t="n"/>
      <c r="J108" s="6" t="n"/>
      <c r="K108" s="6" t="n"/>
      <c r="L108" s="6" t="n"/>
      <c r="M108" s="6" t="n"/>
      <c r="N108" s="6" t="n"/>
    </row>
    <row r="109" ht="19.5" customHeight="1">
      <c r="A109" s="20">
        <f>Data!A149</f>
        <v/>
      </c>
      <c r="B109" s="20">
        <f>INDEX(Data!$A$136:$F$167,MATCH(A109,Data!$A$136:$A$167,0),MATCH($G$5,Data!$B$135:$E$135,0)+1)</f>
        <v/>
      </c>
      <c r="C109" s="21">
        <f>IF(INDEX(Data!$A$111:$J$114,MATCH($G$5,Data!$A$111:$A$114,0),3)=0,0,B109/INDEX(Data!$A$111:$J$114,MATCH($G$5,Data!$A$111:$A$114,0),3))</f>
        <v/>
      </c>
      <c r="D109" s="21">
        <f>IF(INDEX(Data!$A$111:$J$114,MATCH($G$5,Data!$A$111:$A$114,0),2)=0,0,B109/INDEX(Data!$A$111:$J$114,MATCH($G$5,Data!$A$111:$A$114,0),2))</f>
        <v/>
      </c>
      <c r="E109" s="13" t="n"/>
      <c r="F109" s="42" t="inlineStr">
        <is>
          <t>Involuntary Total</t>
        </is>
      </c>
      <c r="G109" s="42">
        <f>INDEX(Data!$A$111:$J$114,MATCH($G$5,Data!$A$111:$A$114,0),7)</f>
        <v/>
      </c>
      <c r="H109" s="43">
        <f>IF(INDEX(Data!$A$111:$J$114,MATCH($G$5,Data!$A$111:$A$114,0),3)=0,0,G109/INDEX(Data!$A$111:$J$114,MATCH($G$5,Data!$A$111:$A$114,0),3))</f>
        <v/>
      </c>
      <c r="I109" s="62" t="n"/>
      <c r="J109" s="6" t="n"/>
      <c r="K109" s="6" t="n"/>
      <c r="L109" s="6" t="n"/>
      <c r="M109" s="6" t="n"/>
      <c r="N109" s="6" t="n"/>
    </row>
    <row r="110" ht="19.5" customHeight="1">
      <c r="A110" s="16">
        <f>Data!A150</f>
        <v/>
      </c>
      <c r="B110" s="16">
        <f>INDEX(Data!$A$136:$F$167,MATCH(A110,Data!$A$136:$A$167,0),MATCH($G$5,Data!$B$135:$E$135,0)+1)</f>
        <v/>
      </c>
      <c r="C110" s="17">
        <f>IF(INDEX(Data!$A$111:$J$114,MATCH($G$5,Data!$A$111:$A$114,0),3)=0,0,B110/INDEX(Data!$A$111:$J$114,MATCH($G$5,Data!$A$111:$A$114,0),3))</f>
        <v/>
      </c>
      <c r="D110" s="17">
        <f>IF(INDEX(Data!$A$111:$J$114,MATCH($G$5,Data!$A$111:$A$114,0),2)=0,0,B110/INDEX(Data!$A$111:$J$114,MATCH($G$5,Data!$A$111:$A$114,0),2))</f>
        <v/>
      </c>
      <c r="E110" s="13" t="n"/>
      <c r="F110" s="42" t="inlineStr">
        <is>
          <t>Other Total</t>
        </is>
      </c>
      <c r="G110" s="42">
        <f>INDEX(Data!$A$111:$J$114,MATCH($G$5,Data!$A$111:$A$114,0),8)</f>
        <v/>
      </c>
      <c r="H110" s="43">
        <f>IF(INDEX(Data!$A$111:$J$114,MATCH($G$5,Data!$A$111:$A$114,0),3)=0,0,G110/INDEX(Data!$A$111:$J$114,MATCH($G$5,Data!$A$111:$A$114,0),3))</f>
        <v/>
      </c>
      <c r="I110" s="62" t="n"/>
      <c r="J110" s="6" t="n"/>
      <c r="K110" s="6" t="n"/>
      <c r="L110" s="6" t="n"/>
      <c r="M110" s="6" t="n"/>
      <c r="N110" s="6" t="n"/>
    </row>
    <row r="111" ht="19.5" customHeight="1">
      <c r="A111" s="20">
        <f>Data!A151</f>
        <v/>
      </c>
      <c r="B111" s="20">
        <f>INDEX(Data!$A$136:$F$167,MATCH(A111,Data!$A$136:$A$167,0),MATCH($G$5,Data!$B$135:$E$135,0)+1)</f>
        <v/>
      </c>
      <c r="C111" s="21">
        <f>IF(INDEX(Data!$A$111:$J$114,MATCH($G$5,Data!$A$111:$A$114,0),3)=0,0,B111/INDEX(Data!$A$111:$J$114,MATCH($G$5,Data!$A$111:$A$114,0),3))</f>
        <v/>
      </c>
      <c r="D111" s="21">
        <f>IF(INDEX(Data!$A$111:$J$114,MATCH($G$5,Data!$A$111:$A$114,0),2)=0,0,B111/INDEX(Data!$A$111:$J$114,MATCH($G$5,Data!$A$111:$A$114,0),2))</f>
        <v/>
      </c>
      <c r="E111" s="13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 ht="19.5" customHeight="1">
      <c r="A112" s="16">
        <f>Data!A152</f>
        <v/>
      </c>
      <c r="B112" s="16">
        <f>INDEX(Data!$A$136:$F$167,MATCH(A112,Data!$A$136:$A$167,0),MATCH($G$5,Data!$B$135:$E$135,0)+1)</f>
        <v/>
      </c>
      <c r="C112" s="17">
        <f>IF(INDEX(Data!$A$111:$J$114,MATCH($G$5,Data!$A$111:$A$114,0),3)=0,0,B112/INDEX(Data!$A$111:$J$114,MATCH($G$5,Data!$A$111:$A$114,0),3))</f>
        <v/>
      </c>
      <c r="D112" s="17">
        <f>IF(INDEX(Data!$A$111:$J$114,MATCH($G$5,Data!$A$111:$A$114,0),2)=0,0,B112/INDEX(Data!$A$111:$J$114,MATCH($G$5,Data!$A$111:$A$114,0),2))</f>
        <v/>
      </c>
      <c r="E112" s="13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 ht="19.5" customHeight="1">
      <c r="A113" s="20">
        <f>Data!A153</f>
        <v/>
      </c>
      <c r="B113" s="20">
        <f>INDEX(Data!$A$136:$F$167,MATCH(A113,Data!$A$136:$A$167,0),MATCH($G$5,Data!$B$135:$E$135,0)+1)</f>
        <v/>
      </c>
      <c r="C113" s="21">
        <f>IF(INDEX(Data!$A$111:$J$114,MATCH($G$5,Data!$A$111:$A$114,0),3)=0,0,B113/INDEX(Data!$A$111:$J$114,MATCH($G$5,Data!$A$111:$A$114,0),3))</f>
        <v/>
      </c>
      <c r="D113" s="21">
        <f>IF(INDEX(Data!$A$111:$J$114,MATCH($G$5,Data!$A$111:$A$114,0),2)=0,0,B113/INDEX(Data!$A$111:$J$114,MATCH($G$5,Data!$A$111:$A$114,0),2))</f>
        <v/>
      </c>
      <c r="E113" s="13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 ht="21.75" customHeight="1">
      <c r="A114" s="18" t="inlineStr">
        <is>
          <t>DIRECT CARE</t>
        </is>
      </c>
      <c r="B114" s="18" t="n"/>
      <c r="C114" s="18" t="n"/>
      <c r="D114" s="18" t="n"/>
      <c r="E114" s="13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 ht="19.5" customHeight="1">
      <c r="A115" s="16">
        <f>Data!A154</f>
        <v/>
      </c>
      <c r="B115" s="16">
        <f>INDEX(Data!$A$136:$F$167,MATCH(A115,Data!$A$136:$A$167,0),MATCH($G$5,Data!$B$135:$E$135,0)+1)</f>
        <v/>
      </c>
      <c r="C115" s="17">
        <f>IF(INDEX(Data!$A$111:$J$114,MATCH($G$5,Data!$A$111:$A$114,0),3)=0,0,B115/INDEX(Data!$A$111:$J$114,MATCH($G$5,Data!$A$111:$A$114,0),3))</f>
        <v/>
      </c>
      <c r="D115" s="17">
        <f>IF(INDEX(Data!$A$111:$J$114,MATCH($G$5,Data!$A$111:$A$114,0),2)=0,0,B115/INDEX(Data!$A$111:$J$114,MATCH($G$5,Data!$A$111:$A$114,0),2))</f>
        <v/>
      </c>
      <c r="E115" s="13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 ht="19.5" customHeight="1">
      <c r="A116" s="20">
        <f>Data!A155</f>
        <v/>
      </c>
      <c r="B116" s="20">
        <f>INDEX(Data!$A$136:$F$167,MATCH(A116,Data!$A$136:$A$167,0),MATCH($G$5,Data!$B$135:$E$135,0)+1)</f>
        <v/>
      </c>
      <c r="C116" s="21">
        <f>IF(INDEX(Data!$A$111:$J$114,MATCH($G$5,Data!$A$111:$A$114,0),3)=0,0,B116/INDEX(Data!$A$111:$J$114,MATCH($G$5,Data!$A$111:$A$114,0),3))</f>
        <v/>
      </c>
      <c r="D116" s="21">
        <f>IF(INDEX(Data!$A$111:$J$114,MATCH($G$5,Data!$A$111:$A$114,0),2)=0,0,B116/INDEX(Data!$A$111:$J$114,MATCH($G$5,Data!$A$111:$A$114,0),2))</f>
        <v/>
      </c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 ht="19.5" customHeight="1">
      <c r="A117" s="16">
        <f>Data!A156</f>
        <v/>
      </c>
      <c r="B117" s="16">
        <f>INDEX(Data!$A$136:$F$167,MATCH(A117,Data!$A$136:$A$167,0),MATCH($G$5,Data!$B$135:$E$135,0)+1)</f>
        <v/>
      </c>
      <c r="C117" s="17">
        <f>IF(INDEX(Data!$A$111:$J$114,MATCH($G$5,Data!$A$111:$A$114,0),3)=0,0,B117/INDEX(Data!$A$111:$J$114,MATCH($G$5,Data!$A$111:$A$114,0),3))</f>
        <v/>
      </c>
      <c r="D117" s="17">
        <f>IF(INDEX(Data!$A$111:$J$114,MATCH($G$5,Data!$A$111:$A$114,0),2)=0,0,B117/INDEX(Data!$A$111:$J$114,MATCH($G$5,Data!$A$111:$A$114,0),2))</f>
        <v/>
      </c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 ht="21.75" customHeight="1">
      <c r="A118" s="18" t="inlineStr">
        <is>
          <t>CLINICAL / PROGRAM</t>
        </is>
      </c>
      <c r="B118" s="18" t="n"/>
      <c r="C118" s="18" t="n"/>
      <c r="D118" s="18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</row>
    <row r="119" ht="19.5" customHeight="1">
      <c r="A119" s="20">
        <f>Data!A157</f>
        <v/>
      </c>
      <c r="B119" s="20">
        <f>INDEX(Data!$A$136:$F$167,MATCH(A119,Data!$A$136:$A$167,0),MATCH($G$5,Data!$B$135:$E$135,0)+1)</f>
        <v/>
      </c>
      <c r="C119" s="21">
        <f>IF(INDEX(Data!$A$111:$J$114,MATCH($G$5,Data!$A$111:$A$114,0),3)=0,0,B119/INDEX(Data!$A$111:$J$114,MATCH($G$5,Data!$A$111:$A$114,0),3))</f>
        <v/>
      </c>
      <c r="D119" s="21">
        <f>IF(INDEX(Data!$A$111:$J$114,MATCH($G$5,Data!$A$111:$A$114,0),2)=0,0,B119/INDEX(Data!$A$111:$J$114,MATCH($G$5,Data!$A$111:$A$114,0),2))</f>
        <v/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 ht="19.5" customHeight="1">
      <c r="A120" s="16">
        <f>Data!A158</f>
        <v/>
      </c>
      <c r="B120" s="16">
        <f>INDEX(Data!$A$136:$F$167,MATCH(A120,Data!$A$136:$A$167,0),MATCH($G$5,Data!$B$135:$E$135,0)+1)</f>
        <v/>
      </c>
      <c r="C120" s="17">
        <f>IF(INDEX(Data!$A$111:$J$114,MATCH($G$5,Data!$A$111:$A$114,0),3)=0,0,B120/INDEX(Data!$A$111:$J$114,MATCH($G$5,Data!$A$111:$A$114,0),3))</f>
        <v/>
      </c>
      <c r="D120" s="17">
        <f>IF(INDEX(Data!$A$111:$J$114,MATCH($G$5,Data!$A$111:$A$114,0),2)=0,0,B120/INDEX(Data!$A$111:$J$114,MATCH($G$5,Data!$A$111:$A$114,0),2))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</row>
    <row r="121" ht="19.5" customHeight="1">
      <c r="A121" s="20">
        <f>Data!A159</f>
        <v/>
      </c>
      <c r="B121" s="20">
        <f>INDEX(Data!$A$136:$F$167,MATCH(A121,Data!$A$136:$A$167,0),MATCH($G$5,Data!$B$135:$E$135,0)+1)</f>
        <v/>
      </c>
      <c r="C121" s="21">
        <f>IF(INDEX(Data!$A$111:$J$114,MATCH($G$5,Data!$A$111:$A$114,0),3)=0,0,B121/INDEX(Data!$A$111:$J$114,MATCH($G$5,Data!$A$111:$A$114,0),3))</f>
        <v/>
      </c>
      <c r="D121" s="21">
        <f>IF(INDEX(Data!$A$111:$J$114,MATCH($G$5,Data!$A$111:$A$114,0),2)=0,0,B121/INDEX(Data!$A$111:$J$114,MATCH($G$5,Data!$A$111:$A$114,0),2))</f>
        <v/>
      </c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 ht="21.75" customHeight="1">
      <c r="A122" s="18" t="inlineStr">
        <is>
          <t>EDUCATION</t>
        </is>
      </c>
      <c r="B122" s="18" t="n"/>
      <c r="C122" s="18" t="n"/>
      <c r="D122" s="18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 ht="19.5" customHeight="1">
      <c r="A123" s="16">
        <f>Data!A160</f>
        <v/>
      </c>
      <c r="B123" s="16">
        <f>INDEX(Data!$A$136:$F$167,MATCH(A123,Data!$A$136:$A$167,0),MATCH($G$5,Data!$B$135:$E$135,0)+1)</f>
        <v/>
      </c>
      <c r="C123" s="17">
        <f>IF(INDEX(Data!$A$111:$J$114,MATCH($G$5,Data!$A$111:$A$114,0),3)=0,0,B123/INDEX(Data!$A$111:$J$114,MATCH($G$5,Data!$A$111:$A$114,0),3))</f>
        <v/>
      </c>
      <c r="D123" s="17">
        <f>IF(INDEX(Data!$A$111:$J$114,MATCH($G$5,Data!$A$111:$A$114,0),2)=0,0,B123/INDEX(Data!$A$111:$J$114,MATCH($G$5,Data!$A$111:$A$114,0),2))</f>
        <v/>
      </c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 ht="19.5" customHeight="1">
      <c r="A124" s="20">
        <f>Data!A161</f>
        <v/>
      </c>
      <c r="B124" s="20">
        <f>INDEX(Data!$A$136:$F$167,MATCH(A124,Data!$A$136:$A$167,0),MATCH($G$5,Data!$B$135:$E$135,0)+1)</f>
        <v/>
      </c>
      <c r="C124" s="21">
        <f>IF(INDEX(Data!$A$111:$J$114,MATCH($G$5,Data!$A$111:$A$114,0),3)=0,0,B124/INDEX(Data!$A$111:$J$114,MATCH($G$5,Data!$A$111:$A$114,0),3))</f>
        <v/>
      </c>
      <c r="D124" s="21">
        <f>IF(INDEX(Data!$A$111:$J$114,MATCH($G$5,Data!$A$111:$A$114,0),2)=0,0,B124/INDEX(Data!$A$111:$J$114,MATCH($G$5,Data!$A$111:$A$114,0),2))</f>
        <v/>
      </c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 ht="21.75" customHeight="1">
      <c r="A125" s="18" t="inlineStr">
        <is>
          <t>SUPPORT</t>
        </is>
      </c>
      <c r="B125" s="18" t="n"/>
      <c r="C125" s="18" t="n"/>
      <c r="D125" s="18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 ht="19.5" customHeight="1">
      <c r="A126" s="16">
        <f>Data!A162</f>
        <v/>
      </c>
      <c r="B126" s="16">
        <f>INDEX(Data!$A$136:$F$167,MATCH(A126,Data!$A$136:$A$167,0),MATCH($G$5,Data!$B$135:$E$135,0)+1)</f>
        <v/>
      </c>
      <c r="C126" s="17">
        <f>IF(INDEX(Data!$A$111:$J$114,MATCH($G$5,Data!$A$111:$A$114,0),3)=0,0,B126/INDEX(Data!$A$111:$J$114,MATCH($G$5,Data!$A$111:$A$114,0),3))</f>
        <v/>
      </c>
      <c r="D126" s="17">
        <f>IF(INDEX(Data!$A$111:$J$114,MATCH($G$5,Data!$A$111:$A$114,0),2)=0,0,B126/INDEX(Data!$A$111:$J$114,MATCH($G$5,Data!$A$111:$A$114,0),2))</f>
        <v/>
      </c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 ht="19.5" customHeight="1">
      <c r="A127" s="20">
        <f>Data!A163</f>
        <v/>
      </c>
      <c r="B127" s="20">
        <f>INDEX(Data!$A$136:$F$167,MATCH(A127,Data!$A$136:$A$167,0),MATCH($G$5,Data!$B$135:$E$135,0)+1)</f>
        <v/>
      </c>
      <c r="C127" s="21">
        <f>IF(INDEX(Data!$A$111:$J$114,MATCH($G$5,Data!$A$111:$A$114,0),3)=0,0,B127/INDEX(Data!$A$111:$J$114,MATCH($G$5,Data!$A$111:$A$114,0),3))</f>
        <v/>
      </c>
      <c r="D127" s="21">
        <f>IF(INDEX(Data!$A$111:$J$114,MATCH($G$5,Data!$A$111:$A$114,0),2)=0,0,B127/INDEX(Data!$A$111:$J$114,MATCH($G$5,Data!$A$111:$A$114,0),2))</f>
        <v/>
      </c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 ht="21.75" customHeight="1">
      <c r="A128" s="18" t="inlineStr">
        <is>
          <t>ADMINISTRATIVE</t>
        </is>
      </c>
      <c r="B128" s="18" t="n"/>
      <c r="C128" s="18" t="n"/>
      <c r="D128" s="18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</row>
    <row r="129" ht="19.5" customHeight="1">
      <c r="A129" s="16">
        <f>Data!A164</f>
        <v/>
      </c>
      <c r="B129" s="16">
        <f>INDEX(Data!$A$136:$F$167,MATCH(A129,Data!$A$136:$A$167,0),MATCH($G$5,Data!$B$135:$E$135,0)+1)</f>
        <v/>
      </c>
      <c r="C129" s="17">
        <f>IF(INDEX(Data!$A$111:$J$114,MATCH($G$5,Data!$A$111:$A$114,0),3)=0,0,B129/INDEX(Data!$A$111:$J$114,MATCH($G$5,Data!$A$111:$A$114,0),3))</f>
        <v/>
      </c>
      <c r="D129" s="17">
        <f>IF(INDEX(Data!$A$111:$J$114,MATCH($G$5,Data!$A$111:$A$114,0),2)=0,0,B129/INDEX(Data!$A$111:$J$114,MATCH($G$5,Data!$A$111:$A$114,0),2))</f>
        <v/>
      </c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 ht="19.5" customHeight="1">
      <c r="A130" s="20">
        <f>Data!A165</f>
        <v/>
      </c>
      <c r="B130" s="20">
        <f>INDEX(Data!$A$136:$F$167,MATCH(A130,Data!$A$136:$A$167,0),MATCH($G$5,Data!$B$135:$E$135,0)+1)</f>
        <v/>
      </c>
      <c r="C130" s="21">
        <f>IF(INDEX(Data!$A$111:$J$114,MATCH($G$5,Data!$A$111:$A$114,0),3)=0,0,B130/INDEX(Data!$A$111:$J$114,MATCH($G$5,Data!$A$111:$A$114,0),3))</f>
        <v/>
      </c>
      <c r="D130" s="21">
        <f>IF(INDEX(Data!$A$111:$J$114,MATCH($G$5,Data!$A$111:$A$114,0),2)=0,0,B130/INDEX(Data!$A$111:$J$114,MATCH($G$5,Data!$A$111:$A$114,0),2))</f>
        <v/>
      </c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</row>
    <row r="131" ht="19.5" customHeight="1">
      <c r="A131" s="16">
        <f>Data!A166</f>
        <v/>
      </c>
      <c r="B131" s="16">
        <f>INDEX(Data!$A$136:$F$167,MATCH(A131,Data!$A$136:$A$167,0),MATCH($G$5,Data!$B$135:$E$135,0)+1)</f>
        <v/>
      </c>
      <c r="C131" s="17">
        <f>IF(INDEX(Data!$A$111:$J$114,MATCH($G$5,Data!$A$111:$A$114,0),3)=0,0,B131/INDEX(Data!$A$111:$J$114,MATCH($G$5,Data!$A$111:$A$114,0),3))</f>
        <v/>
      </c>
      <c r="D131" s="17">
        <f>IF(INDEX(Data!$A$111:$J$114,MATCH($G$5,Data!$A$111:$A$114,0),2)=0,0,B131/INDEX(Data!$A$111:$J$114,MATCH($G$5,Data!$A$111:$A$114,0),2))</f>
        <v/>
      </c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 ht="21.75" customHeight="1">
      <c r="A132" s="18" t="inlineStr">
        <is>
          <t>OTHER</t>
        </is>
      </c>
      <c r="B132" s="18" t="n"/>
      <c r="C132" s="18" t="n"/>
      <c r="D132" s="18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 ht="19.5" customHeight="1">
      <c r="A133" s="20">
        <f>Data!A167</f>
        <v/>
      </c>
      <c r="B133" s="20">
        <f>INDEX(Data!$A$136:$F$167,MATCH(A133,Data!$A$136:$A$167,0),MATCH($G$5,Data!$B$135:$E$135,0)+1)</f>
        <v/>
      </c>
      <c r="C133" s="21">
        <f>IF(INDEX(Data!$A$111:$J$114,MATCH($G$5,Data!$A$111:$A$114,0),3)=0,0,B133/INDEX(Data!$A$111:$J$114,MATCH($G$5,Data!$A$111:$A$114,0),3))</f>
        <v/>
      </c>
      <c r="D133" s="21">
        <f>IF(INDEX(Data!$A$111:$J$114,MATCH($G$5,Data!$A$111:$A$114,0),2)=0,0,B133/INDEX(Data!$A$111:$J$114,MATCH($G$5,Data!$A$111:$A$114,0),2))</f>
        <v/>
      </c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</sheetData>
  <mergeCells count="19">
    <mergeCell ref="A11:E11"/>
    <mergeCell ref="D7:F7"/>
    <mergeCell ref="J7:L7"/>
    <mergeCell ref="A8:C8"/>
    <mergeCell ref="D9:F9"/>
    <mergeCell ref="A46:E46"/>
    <mergeCell ref="G11:J11"/>
    <mergeCell ref="D8:F8"/>
    <mergeCell ref="D53:H53"/>
    <mergeCell ref="A3:N3"/>
    <mergeCell ref="A2:N2"/>
    <mergeCell ref="A9:C9"/>
    <mergeCell ref="G9:I9"/>
    <mergeCell ref="J8:L8"/>
    <mergeCell ref="A26:D26"/>
    <mergeCell ref="G8:I8"/>
    <mergeCell ref="J9:L9"/>
    <mergeCell ref="A7:C7"/>
    <mergeCell ref="G7:I7"/>
  </mergeCells>
  <dataValidations count="2">
    <dataValidation sqref="B5" showDropDown="0" showInputMessage="0" showErrorMessage="0" allowBlank="0" error="Please select a valid calendar year" prompt="Select Calendar Year" type="list">
      <formula1>"FY 2023,FY 2024,FY 2025,FY 2026,FY 2027"</formula1>
      <formula2>0</formula2>
    </dataValidation>
    <dataValidation sqref="G5" showDropDown="0" showInputMessage="0" showErrorMessage="0" allowBlank="0" error="Please select a valid EVC fiscal year" prompt="Select EVC Fiscal Year" type="list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in="0" max="16383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E86AB"/>
    <outlinePr summaryBelow="1" summaryRight="1"/>
    <pageSetUpPr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baseColWidth="8" defaultColWidth="8.7109375" defaultRowHeight="15"/>
  <cols>
    <col width="28" customWidth="1" min="1" max="1"/>
    <col width="14" customWidth="1" min="2" max="9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</row>
    <row r="2" ht="31.5" customHeight="1">
      <c r="A2" s="160" t="inlineStr">
        <is>
          <t>MULTI-YEAR TURNOVER ANALYTICS &amp; TRENDS</t>
        </is>
      </c>
    </row>
    <row r="3" ht="19.5" customHeight="1">
      <c r="A3" s="161" t="inlineStr">
        <is>
          <t>Comparative Analysis Across Calendar Years  |  January 1 — December 31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1.75" customHeight="1">
      <c r="A5" s="162" t="inlineStr">
        <is>
          <t>YEAR-OVER-YEAR TURNOVER COMPARISON</t>
        </is>
      </c>
    </row>
    <row r="6" ht="3.75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15" customHeight="1">
      <c r="A7" s="64" t="inlineStr">
        <is>
          <t>Metric</t>
        </is>
      </c>
      <c r="B7" s="64" t="inlineStr">
        <is>
          <t>FY 2023</t>
        </is>
      </c>
      <c r="C7" s="64" t="inlineStr">
        <is>
          <t>FY 2024</t>
        </is>
      </c>
      <c r="D7" s="64" t="inlineStr">
        <is>
          <t>FY 2025</t>
        </is>
      </c>
      <c r="E7" s="64" t="inlineStr">
        <is>
          <t>FY 2026</t>
        </is>
      </c>
      <c r="F7" s="64" t="inlineStr">
        <is>
          <t>FY 2027</t>
        </is>
      </c>
      <c r="G7" s="64" t="inlineStr">
        <is>
          <t>Avg</t>
        </is>
      </c>
      <c r="H7" s="64" t="inlineStr">
        <is>
          <t>Trend</t>
        </is>
      </c>
    </row>
    <row r="8" ht="15.75" customHeight="1">
      <c r="A8" s="65" t="inlineStr">
        <is>
          <t>Turnover Rate %</t>
        </is>
      </c>
      <c r="B8" s="66">
        <f>Data!D2</f>
        <v/>
      </c>
      <c r="C8" s="66">
        <f>Data!D3</f>
        <v/>
      </c>
      <c r="D8" s="66">
        <f>Data!D4</f>
        <v/>
      </c>
      <c r="E8" s="66">
        <f>Data!D5</f>
        <v/>
      </c>
      <c r="F8" s="66">
        <f>Data!D6</f>
        <v/>
      </c>
      <c r="G8" s="67">
        <f>AVERAGE(B8:F8)</f>
        <v/>
      </c>
      <c r="H8" s="68">
        <f>IF(F8&gt;E8,"↑",IF(F8&lt;E8,"↓","→"))</f>
        <v/>
      </c>
    </row>
    <row r="9" ht="15.75" customHeight="1">
      <c r="A9" s="69" t="inlineStr">
        <is>
          <t>Total Separations</t>
        </is>
      </c>
      <c r="B9" s="70">
        <f>Data!C2</f>
        <v/>
      </c>
      <c r="C9" s="70">
        <f>Data!C3</f>
        <v/>
      </c>
      <c r="D9" s="70">
        <f>Data!C4</f>
        <v/>
      </c>
      <c r="E9" s="70">
        <f>Data!C5</f>
        <v/>
      </c>
      <c r="F9" s="70">
        <f>Data!C6</f>
        <v/>
      </c>
      <c r="G9" s="71">
        <f>AVERAGE(B9:F9)</f>
        <v/>
      </c>
      <c r="H9" s="72">
        <f>IF(F9&gt;E9,"↑",IF(F9&lt;E9,"↓","→"))</f>
        <v/>
      </c>
    </row>
    <row r="10" ht="15.75" customHeight="1">
      <c r="A10" s="65" t="inlineStr">
        <is>
          <t>Voluntary %</t>
        </is>
      </c>
      <c r="B10" s="66">
        <f>Data!I2</f>
        <v/>
      </c>
      <c r="C10" s="66">
        <f>Data!I3</f>
        <v/>
      </c>
      <c r="D10" s="66">
        <f>Data!I4</f>
        <v/>
      </c>
      <c r="E10" s="66">
        <f>Data!I5</f>
        <v/>
      </c>
      <c r="F10" s="66">
        <f>Data!I6</f>
        <v/>
      </c>
      <c r="G10" s="67">
        <f>AVERAGE(B10:F10)</f>
        <v/>
      </c>
      <c r="H10" s="68">
        <f>IF(F10&gt;E10,"↑",IF(F10&lt;E10,"↓","→"))</f>
        <v/>
      </c>
    </row>
    <row r="11" ht="15.75" customHeight="1">
      <c r="A11" s="69" t="inlineStr">
        <is>
          <t>Avg Monthly Separations</t>
        </is>
      </c>
      <c r="B11" s="73">
        <f>Data!E2</f>
        <v/>
      </c>
      <c r="C11" s="73">
        <f>Data!E3</f>
        <v/>
      </c>
      <c r="D11" s="73">
        <f>Data!E4</f>
        <v/>
      </c>
      <c r="E11" s="73">
        <f>Data!E5</f>
        <v/>
      </c>
      <c r="F11" s="73">
        <f>Data!E6</f>
        <v/>
      </c>
      <c r="G11" s="74">
        <f>AVERAGE(B11:F11)</f>
        <v/>
      </c>
      <c r="H11" s="72">
        <f>IF(F11&gt;E11,"↑",IF(F11&lt;E11,"↓","→"))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 ht="21.75" customHeight="1">
      <c r="A13" s="162" t="inlineStr">
        <is>
          <t>JOB/DEPARTMENT TURNOVER ACROSS YEARS</t>
        </is>
      </c>
      <c r="H13" s="6" t="n"/>
    </row>
    <row r="14" ht="3.75" customHeight="1">
      <c r="A14" s="6" t="n"/>
      <c r="B14" s="6" t="n"/>
      <c r="C14" s="6" t="n"/>
      <c r="D14" s="6" t="n"/>
      <c r="E14" s="6" t="n"/>
      <c r="F14" s="6" t="n"/>
      <c r="G14" s="6" t="n"/>
      <c r="H14" s="6" t="n"/>
    </row>
    <row r="15" ht="15" customHeight="1">
      <c r="A15" s="64" t="inlineStr">
        <is>
          <t>Job</t>
        </is>
      </c>
      <c r="B15" s="64" t="inlineStr">
        <is>
          <t>FY 2023</t>
        </is>
      </c>
      <c r="C15" s="64" t="inlineStr">
        <is>
          <t>FY 2024</t>
        </is>
      </c>
      <c r="D15" s="64" t="inlineStr">
        <is>
          <t>FY 2025</t>
        </is>
      </c>
      <c r="E15" s="64" t="inlineStr">
        <is>
          <t>FY 2026</t>
        </is>
      </c>
      <c r="F15" s="64" t="inlineStr">
        <is>
          <t>FY 2027</t>
        </is>
      </c>
      <c r="G15" s="64" t="inlineStr">
        <is>
          <t>Total</t>
        </is>
      </c>
      <c r="H15" s="6" t="n"/>
    </row>
    <row r="16" ht="15" customHeight="1">
      <c r="A16" s="75" t="inlineStr">
        <is>
          <t>LEADERSHIP</t>
        </is>
      </c>
      <c r="B16" s="75" t="n"/>
      <c r="C16" s="75" t="n"/>
      <c r="D16" s="75" t="n"/>
      <c r="E16" s="75" t="n"/>
      <c r="F16" s="75" t="n"/>
      <c r="G16" s="75" t="n"/>
      <c r="H16" s="6" t="n"/>
    </row>
    <row r="17" ht="15" customHeight="1">
      <c r="A17" s="76" t="inlineStr">
        <is>
          <t>President</t>
        </is>
      </c>
      <c r="B17" s="77">
        <f>Data!B21</f>
        <v/>
      </c>
      <c r="C17" s="77">
        <f>Data!C21</f>
        <v/>
      </c>
      <c r="D17" s="77">
        <f>Data!D21</f>
        <v/>
      </c>
      <c r="E17" s="77">
        <f>Data!E21</f>
        <v/>
      </c>
      <c r="F17" s="77">
        <f>Data!F21</f>
        <v/>
      </c>
      <c r="G17" s="78">
        <f>SUM(B17:F17)</f>
        <v/>
      </c>
      <c r="H17" s="6" t="n"/>
    </row>
    <row r="18" ht="15" customHeight="1">
      <c r="A18" s="79" t="inlineStr">
        <is>
          <t>VP of Operations</t>
        </is>
      </c>
      <c r="B18" s="80">
        <f>Data!B22</f>
        <v/>
      </c>
      <c r="C18" s="80">
        <f>Data!C22</f>
        <v/>
      </c>
      <c r="D18" s="80">
        <f>Data!D22</f>
        <v/>
      </c>
      <c r="E18" s="80">
        <f>Data!E22</f>
        <v/>
      </c>
      <c r="F18" s="80">
        <f>Data!F22</f>
        <v/>
      </c>
      <c r="G18" s="81">
        <f>SUM(B18:F18)</f>
        <v/>
      </c>
      <c r="H18" s="6" t="n"/>
    </row>
    <row r="19" ht="15" customHeight="1">
      <c r="A19" s="76" t="inlineStr">
        <is>
          <t>VP of Children Services</t>
        </is>
      </c>
      <c r="B19" s="77">
        <f>Data!B23</f>
        <v/>
      </c>
      <c r="C19" s="77">
        <f>Data!C23</f>
        <v/>
      </c>
      <c r="D19" s="77">
        <f>Data!D23</f>
        <v/>
      </c>
      <c r="E19" s="77">
        <f>Data!E23</f>
        <v/>
      </c>
      <c r="F19" s="77">
        <f>Data!F23</f>
        <v/>
      </c>
      <c r="G19" s="78">
        <f>SUM(B19:F19)</f>
        <v/>
      </c>
      <c r="H19" s="6" t="n"/>
    </row>
    <row r="20" ht="15" customHeight="1">
      <c r="A20" s="79" t="inlineStr">
        <is>
          <t>VP of Professional Services</t>
        </is>
      </c>
      <c r="B20" s="80">
        <f>Data!B24</f>
        <v/>
      </c>
      <c r="C20" s="80">
        <f>Data!C24</f>
        <v/>
      </c>
      <c r="D20" s="80">
        <f>Data!D24</f>
        <v/>
      </c>
      <c r="E20" s="80">
        <f>Data!E24</f>
        <v/>
      </c>
      <c r="F20" s="80">
        <f>Data!F24</f>
        <v/>
      </c>
      <c r="G20" s="81">
        <f>SUM(B20:F20)</f>
        <v/>
      </c>
      <c r="H20" s="6" t="n"/>
    </row>
    <row r="21" ht="15" customHeight="1">
      <c r="A21" s="76" t="inlineStr">
        <is>
          <t>VP of Behavioral Health</t>
        </is>
      </c>
      <c r="B21" s="77">
        <f>Data!B25</f>
        <v/>
      </c>
      <c r="C21" s="77">
        <f>Data!C25</f>
        <v/>
      </c>
      <c r="D21" s="77">
        <f>Data!D25</f>
        <v/>
      </c>
      <c r="E21" s="77">
        <f>Data!E25</f>
        <v/>
      </c>
      <c r="F21" s="77">
        <f>Data!F25</f>
        <v/>
      </c>
      <c r="G21" s="78">
        <f>SUM(B21:F21)</f>
        <v/>
      </c>
      <c r="H21" s="6" t="n"/>
    </row>
    <row r="22" ht="15" customHeight="1">
      <c r="A22" s="79" t="inlineStr">
        <is>
          <t>VP of Human Resources</t>
        </is>
      </c>
      <c r="B22" s="80">
        <f>Data!B26</f>
        <v/>
      </c>
      <c r="C22" s="80">
        <f>Data!C26</f>
        <v/>
      </c>
      <c r="D22" s="80">
        <f>Data!D26</f>
        <v/>
      </c>
      <c r="E22" s="80">
        <f>Data!E26</f>
        <v/>
      </c>
      <c r="F22" s="80">
        <f>Data!F26</f>
        <v/>
      </c>
      <c r="G22" s="81">
        <f>SUM(B22:F22)</f>
        <v/>
      </c>
      <c r="H22" s="6" t="n"/>
    </row>
    <row r="23" ht="15" customHeight="1">
      <c r="A23" s="76" t="inlineStr">
        <is>
          <t>VP of Employment Services</t>
        </is>
      </c>
      <c r="B23" s="77">
        <f>Data!B27</f>
        <v/>
      </c>
      <c r="C23" s="77">
        <f>Data!C27</f>
        <v/>
      </c>
      <c r="D23" s="77">
        <f>Data!D27</f>
        <v/>
      </c>
      <c r="E23" s="77">
        <f>Data!E27</f>
        <v/>
      </c>
      <c r="F23" s="77">
        <f>Data!F27</f>
        <v/>
      </c>
      <c r="G23" s="78">
        <f>SUM(B23:F23)</f>
        <v/>
      </c>
      <c r="H23" s="6" t="n"/>
    </row>
    <row r="24" ht="15" customHeight="1">
      <c r="A24" s="79" t="inlineStr">
        <is>
          <t>VP of Family Support</t>
        </is>
      </c>
      <c r="B24" s="80">
        <f>Data!B28</f>
        <v/>
      </c>
      <c r="C24" s="80">
        <f>Data!C28</f>
        <v/>
      </c>
      <c r="D24" s="80">
        <f>Data!D28</f>
        <v/>
      </c>
      <c r="E24" s="80">
        <f>Data!E28</f>
        <v/>
      </c>
      <c r="F24" s="80">
        <f>Data!F28</f>
        <v/>
      </c>
      <c r="G24" s="81">
        <f>SUM(B24:F24)</f>
        <v/>
      </c>
      <c r="H24" s="6" t="n"/>
    </row>
    <row r="25" ht="15" customHeight="1">
      <c r="A25" s="76" t="inlineStr">
        <is>
          <t>VP of Finance</t>
        </is>
      </c>
      <c r="B25" s="77">
        <f>Data!B29</f>
        <v/>
      </c>
      <c r="C25" s="77">
        <f>Data!C29</f>
        <v/>
      </c>
      <c r="D25" s="77">
        <f>Data!D29</f>
        <v/>
      </c>
      <c r="E25" s="77">
        <f>Data!E29</f>
        <v/>
      </c>
      <c r="F25" s="77">
        <f>Data!F29</f>
        <v/>
      </c>
      <c r="G25" s="78">
        <f>SUM(B25:F25)</f>
        <v/>
      </c>
      <c r="H25" s="6" t="n"/>
    </row>
    <row r="26" ht="15" customHeight="1">
      <c r="A26" s="79" t="inlineStr">
        <is>
          <t>Director of Operations</t>
        </is>
      </c>
      <c r="B26" s="80">
        <f>Data!B30</f>
        <v/>
      </c>
      <c r="C26" s="80">
        <f>Data!C30</f>
        <v/>
      </c>
      <c r="D26" s="80">
        <f>Data!D30</f>
        <v/>
      </c>
      <c r="E26" s="80">
        <f>Data!E30</f>
        <v/>
      </c>
      <c r="F26" s="80">
        <f>Data!F30</f>
        <v/>
      </c>
      <c r="G26" s="81">
        <f>SUM(B26:F26)</f>
        <v/>
      </c>
      <c r="H26" s="6" t="n"/>
    </row>
    <row r="27" ht="15" customHeight="1">
      <c r="A27" s="76" t="inlineStr">
        <is>
          <t>Director of Children Services</t>
        </is>
      </c>
      <c r="B27" s="77">
        <f>Data!B31</f>
        <v/>
      </c>
      <c r="C27" s="77">
        <f>Data!C31</f>
        <v/>
      </c>
      <c r="D27" s="77">
        <f>Data!D31</f>
        <v/>
      </c>
      <c r="E27" s="77">
        <f>Data!E31</f>
        <v/>
      </c>
      <c r="F27" s="77">
        <f>Data!F31</f>
        <v/>
      </c>
      <c r="G27" s="78">
        <f>SUM(B27:F27)</f>
        <v/>
      </c>
      <c r="H27" s="6" t="n"/>
    </row>
    <row r="28" ht="15" customHeight="1">
      <c r="A28" s="79" t="inlineStr">
        <is>
          <t>Director of Professional Services</t>
        </is>
      </c>
      <c r="B28" s="80">
        <f>Data!B32</f>
        <v/>
      </c>
      <c r="C28" s="80">
        <f>Data!C32</f>
        <v/>
      </c>
      <c r="D28" s="80">
        <f>Data!D32</f>
        <v/>
      </c>
      <c r="E28" s="80">
        <f>Data!E32</f>
        <v/>
      </c>
      <c r="F28" s="80">
        <f>Data!F32</f>
        <v/>
      </c>
      <c r="G28" s="81">
        <f>SUM(B28:F28)</f>
        <v/>
      </c>
      <c r="H28" s="6" t="n"/>
    </row>
    <row r="29" ht="15" customHeight="1">
      <c r="A29" s="76" t="inlineStr">
        <is>
          <t>Director of Behavioral Health</t>
        </is>
      </c>
      <c r="B29" s="77">
        <f>Data!B33</f>
        <v/>
      </c>
      <c r="C29" s="77">
        <f>Data!C33</f>
        <v/>
      </c>
      <c r="D29" s="77">
        <f>Data!D33</f>
        <v/>
      </c>
      <c r="E29" s="77">
        <f>Data!E33</f>
        <v/>
      </c>
      <c r="F29" s="77">
        <f>Data!F33</f>
        <v/>
      </c>
      <c r="G29" s="78">
        <f>SUM(B29:F29)</f>
        <v/>
      </c>
      <c r="H29" s="6" t="n"/>
    </row>
    <row r="30" ht="15" customHeight="1">
      <c r="A30" s="79" t="inlineStr">
        <is>
          <t>Director of Human Resources</t>
        </is>
      </c>
      <c r="B30" s="80">
        <f>Data!B34</f>
        <v/>
      </c>
      <c r="C30" s="80">
        <f>Data!C34</f>
        <v/>
      </c>
      <c r="D30" s="80">
        <f>Data!D34</f>
        <v/>
      </c>
      <c r="E30" s="80">
        <f>Data!E34</f>
        <v/>
      </c>
      <c r="F30" s="80">
        <f>Data!F34</f>
        <v/>
      </c>
      <c r="G30" s="81">
        <f>SUM(B30:F30)</f>
        <v/>
      </c>
      <c r="H30" s="6" t="n"/>
    </row>
    <row r="31" ht="15" customHeight="1">
      <c r="A31" s="76" t="inlineStr">
        <is>
          <t>Director of Finance</t>
        </is>
      </c>
      <c r="B31" s="77">
        <f>Data!B35</f>
        <v/>
      </c>
      <c r="C31" s="77">
        <f>Data!C35</f>
        <v/>
      </c>
      <c r="D31" s="77">
        <f>Data!D35</f>
        <v/>
      </c>
      <c r="E31" s="77">
        <f>Data!E35</f>
        <v/>
      </c>
      <c r="F31" s="77">
        <f>Data!F35</f>
        <v/>
      </c>
      <c r="G31" s="78">
        <f>SUM(B31:F31)</f>
        <v/>
      </c>
      <c r="H31" s="6" t="n"/>
    </row>
    <row r="32" ht="15" customHeight="1">
      <c r="A32" s="79" t="inlineStr">
        <is>
          <t>Director of Employment Services</t>
        </is>
      </c>
      <c r="B32" s="80">
        <f>Data!B36</f>
        <v/>
      </c>
      <c r="C32" s="80">
        <f>Data!C36</f>
        <v/>
      </c>
      <c r="D32" s="80">
        <f>Data!D36</f>
        <v/>
      </c>
      <c r="E32" s="80">
        <f>Data!E36</f>
        <v/>
      </c>
      <c r="F32" s="80">
        <f>Data!F36</f>
        <v/>
      </c>
      <c r="G32" s="81">
        <f>SUM(B32:F32)</f>
        <v/>
      </c>
      <c r="H32" s="6" t="n"/>
    </row>
    <row r="33" ht="15" customHeight="1">
      <c r="A33" s="76" t="inlineStr">
        <is>
          <t>Director of Family Support</t>
        </is>
      </c>
      <c r="B33" s="77">
        <f>Data!B37</f>
        <v/>
      </c>
      <c r="C33" s="77">
        <f>Data!C37</f>
        <v/>
      </c>
      <c r="D33" s="77">
        <f>Data!D37</f>
        <v/>
      </c>
      <c r="E33" s="77">
        <f>Data!E37</f>
        <v/>
      </c>
      <c r="F33" s="77">
        <f>Data!F37</f>
        <v/>
      </c>
      <c r="G33" s="78">
        <f>SUM(B33:F33)</f>
        <v/>
      </c>
      <c r="H33" s="6" t="n"/>
    </row>
    <row r="34" ht="15" customHeight="1">
      <c r="A34" s="79" t="inlineStr">
        <is>
          <t>Director of QA</t>
        </is>
      </c>
      <c r="B34" s="80">
        <f>Data!B38</f>
        <v/>
      </c>
      <c r="C34" s="80">
        <f>Data!C38</f>
        <v/>
      </c>
      <c r="D34" s="80">
        <f>Data!D38</f>
        <v/>
      </c>
      <c r="E34" s="80">
        <f>Data!E38</f>
        <v/>
      </c>
      <c r="F34" s="80">
        <f>Data!F38</f>
        <v/>
      </c>
      <c r="G34" s="81">
        <f>SUM(B34:F34)</f>
        <v/>
      </c>
      <c r="H34" s="6" t="n"/>
    </row>
    <row r="35" ht="15" customHeight="1">
      <c r="A35" s="75" t="inlineStr">
        <is>
          <t>DIRECT CARE</t>
        </is>
      </c>
      <c r="B35" s="75" t="n"/>
      <c r="C35" s="75" t="n"/>
      <c r="D35" s="75" t="n"/>
      <c r="E35" s="75" t="n"/>
      <c r="F35" s="75" t="n"/>
      <c r="G35" s="75" t="n"/>
      <c r="H35" s="6" t="n"/>
    </row>
    <row r="36" ht="15" customHeight="1">
      <c r="A36" s="65" t="inlineStr">
        <is>
          <t>DSP</t>
        </is>
      </c>
      <c r="B36" s="77">
        <f>Data!B39</f>
        <v/>
      </c>
      <c r="C36" s="77">
        <f>Data!C39</f>
        <v/>
      </c>
      <c r="D36" s="77">
        <f>Data!D39</f>
        <v/>
      </c>
      <c r="E36" s="77">
        <f>Data!E39</f>
        <v/>
      </c>
      <c r="F36" s="77">
        <f>Data!F39</f>
        <v/>
      </c>
      <c r="G36" s="78">
        <f>SUM(B36:F36)</f>
        <v/>
      </c>
      <c r="H36" s="6" t="n"/>
    </row>
    <row r="37" ht="15" customHeight="1">
      <c r="A37" s="69" t="inlineStr">
        <is>
          <t>HM</t>
        </is>
      </c>
      <c r="B37" s="80">
        <f>Data!B40</f>
        <v/>
      </c>
      <c r="C37" s="80">
        <f>Data!C40</f>
        <v/>
      </c>
      <c r="D37" s="80">
        <f>Data!D40</f>
        <v/>
      </c>
      <c r="E37" s="80">
        <f>Data!E40</f>
        <v/>
      </c>
      <c r="F37" s="80">
        <f>Data!F40</f>
        <v/>
      </c>
      <c r="G37" s="81">
        <f>SUM(B37:F37)</f>
        <v/>
      </c>
      <c r="H37" s="6" t="n"/>
    </row>
    <row r="38" ht="15" customHeight="1">
      <c r="A38" s="65" t="inlineStr">
        <is>
          <t>RM</t>
        </is>
      </c>
      <c r="B38" s="77">
        <f>Data!B41</f>
        <v/>
      </c>
      <c r="C38" s="77">
        <f>Data!C41</f>
        <v/>
      </c>
      <c r="D38" s="77">
        <f>Data!D41</f>
        <v/>
      </c>
      <c r="E38" s="77">
        <f>Data!E41</f>
        <v/>
      </c>
      <c r="F38" s="77">
        <f>Data!F41</f>
        <v/>
      </c>
      <c r="G38" s="78">
        <f>SUM(B38:F38)</f>
        <v/>
      </c>
      <c r="H38" s="6" t="n"/>
    </row>
    <row r="39" ht="15" customHeight="1">
      <c r="A39" s="75" t="inlineStr">
        <is>
          <t>CLINICAL / PROGRAM</t>
        </is>
      </c>
      <c r="B39" s="75" t="n"/>
      <c r="C39" s="75" t="n"/>
      <c r="D39" s="75" t="n"/>
      <c r="E39" s="75" t="n"/>
      <c r="F39" s="75" t="n"/>
      <c r="G39" s="75" t="n"/>
      <c r="H39" s="6" t="n"/>
    </row>
    <row r="40" ht="15" customHeight="1">
      <c r="A40" s="65" t="inlineStr">
        <is>
          <t>CM</t>
        </is>
      </c>
      <c r="B40" s="77">
        <f>Data!B42</f>
        <v/>
      </c>
      <c r="C40" s="77">
        <f>Data!C42</f>
        <v/>
      </c>
      <c r="D40" s="77">
        <f>Data!D42</f>
        <v/>
      </c>
      <c r="E40" s="77">
        <f>Data!E42</f>
        <v/>
      </c>
      <c r="F40" s="77">
        <f>Data!F42</f>
        <v/>
      </c>
      <c r="G40" s="78">
        <f>SUM(B40:F40)</f>
        <v/>
      </c>
      <c r="H40" s="6" t="n"/>
    </row>
    <row r="41" ht="15" customHeight="1">
      <c r="A41" s="69" t="inlineStr">
        <is>
          <t>EI</t>
        </is>
      </c>
      <c r="B41" s="80">
        <f>Data!B43</f>
        <v/>
      </c>
      <c r="C41" s="80">
        <f>Data!C43</f>
        <v/>
      </c>
      <c r="D41" s="80">
        <f>Data!D43</f>
        <v/>
      </c>
      <c r="E41" s="80">
        <f>Data!E43</f>
        <v/>
      </c>
      <c r="F41" s="80">
        <f>Data!F43</f>
        <v/>
      </c>
      <c r="G41" s="81">
        <f>SUM(B41:F41)</f>
        <v/>
      </c>
      <c r="H41" s="6" t="n"/>
    </row>
    <row r="42" ht="15" customHeight="1">
      <c r="A42" s="65" t="inlineStr">
        <is>
          <t>Family Support</t>
        </is>
      </c>
      <c r="B42" s="77">
        <f>Data!B44</f>
        <v/>
      </c>
      <c r="C42" s="77">
        <f>Data!C44</f>
        <v/>
      </c>
      <c r="D42" s="77">
        <f>Data!D44</f>
        <v/>
      </c>
      <c r="E42" s="77">
        <f>Data!E44</f>
        <v/>
      </c>
      <c r="F42" s="77">
        <f>Data!F44</f>
        <v/>
      </c>
      <c r="G42" s="78">
        <f>SUM(B42:F42)</f>
        <v/>
      </c>
      <c r="H42" s="6" t="n"/>
    </row>
    <row r="43" ht="15" customHeight="1">
      <c r="A43" s="75" t="inlineStr">
        <is>
          <t>EDUCATION</t>
        </is>
      </c>
      <c r="B43" s="75" t="n"/>
      <c r="C43" s="75" t="n"/>
      <c r="D43" s="75" t="n"/>
      <c r="E43" s="75" t="n"/>
      <c r="F43" s="75" t="n"/>
      <c r="G43" s="75" t="n"/>
      <c r="H43" s="6" t="n"/>
    </row>
    <row r="44" ht="15" customHeight="1">
      <c r="A44" s="65" t="inlineStr">
        <is>
          <t>Teacher</t>
        </is>
      </c>
      <c r="B44" s="77">
        <f>Data!B45</f>
        <v/>
      </c>
      <c r="C44" s="77">
        <f>Data!C45</f>
        <v/>
      </c>
      <c r="D44" s="77">
        <f>Data!D45</f>
        <v/>
      </c>
      <c r="E44" s="77">
        <f>Data!E45</f>
        <v/>
      </c>
      <c r="F44" s="77">
        <f>Data!F45</f>
        <v/>
      </c>
      <c r="G44" s="78">
        <f>SUM(B44:F44)</f>
        <v/>
      </c>
      <c r="H44" s="6" t="n"/>
    </row>
    <row r="45" ht="15" customHeight="1">
      <c r="A45" s="69" t="inlineStr">
        <is>
          <t>Assistant Teacher</t>
        </is>
      </c>
      <c r="B45" s="80">
        <f>Data!B46</f>
        <v/>
      </c>
      <c r="C45" s="80">
        <f>Data!C46</f>
        <v/>
      </c>
      <c r="D45" s="80">
        <f>Data!D46</f>
        <v/>
      </c>
      <c r="E45" s="80">
        <f>Data!E46</f>
        <v/>
      </c>
      <c r="F45" s="80">
        <f>Data!F46</f>
        <v/>
      </c>
      <c r="G45" s="81">
        <f>SUM(B45:F45)</f>
        <v/>
      </c>
      <c r="H45" s="6" t="n"/>
    </row>
    <row r="46" ht="15" customHeight="1">
      <c r="A46" s="75" t="inlineStr">
        <is>
          <t>SUPPORT</t>
        </is>
      </c>
      <c r="B46" s="75" t="n"/>
      <c r="C46" s="75" t="n"/>
      <c r="D46" s="75" t="n"/>
      <c r="E46" s="75" t="n"/>
      <c r="F46" s="75" t="n"/>
      <c r="G46" s="75" t="n"/>
      <c r="H46" s="6" t="n"/>
    </row>
    <row r="47" ht="15" customHeight="1">
      <c r="A47" s="65" t="inlineStr">
        <is>
          <t>Sub/Floater</t>
        </is>
      </c>
      <c r="B47" s="77">
        <f>Data!B47</f>
        <v/>
      </c>
      <c r="C47" s="77">
        <f>Data!C47</f>
        <v/>
      </c>
      <c r="D47" s="77">
        <f>Data!D47</f>
        <v/>
      </c>
      <c r="E47" s="77">
        <f>Data!E47</f>
        <v/>
      </c>
      <c r="F47" s="77">
        <f>Data!F47</f>
        <v/>
      </c>
      <c r="G47" s="78">
        <f>SUM(B47:F47)</f>
        <v/>
      </c>
      <c r="H47" s="6" t="n"/>
    </row>
    <row r="48" ht="15" customHeight="1">
      <c r="A48" s="69" t="inlineStr">
        <is>
          <t>Job Coach/WI</t>
        </is>
      </c>
      <c r="B48" s="80">
        <f>Data!B48</f>
        <v/>
      </c>
      <c r="C48" s="80">
        <f>Data!C48</f>
        <v/>
      </c>
      <c r="D48" s="80">
        <f>Data!D48</f>
        <v/>
      </c>
      <c r="E48" s="80">
        <f>Data!E48</f>
        <v/>
      </c>
      <c r="F48" s="80">
        <f>Data!F48</f>
        <v/>
      </c>
      <c r="G48" s="81">
        <f>SUM(B48:F48)</f>
        <v/>
      </c>
      <c r="H48" s="6" t="n"/>
    </row>
    <row r="49" ht="15" customHeight="1">
      <c r="A49" s="75" t="inlineStr">
        <is>
          <t>ADMINISTRATIVE</t>
        </is>
      </c>
      <c r="B49" s="75" t="n"/>
      <c r="C49" s="75" t="n"/>
      <c r="D49" s="75" t="n"/>
      <c r="E49" s="75" t="n"/>
      <c r="F49" s="75" t="n"/>
      <c r="G49" s="75" t="n"/>
      <c r="H49" s="6" t="n"/>
    </row>
    <row r="50" ht="15" customHeight="1">
      <c r="A50" s="65" t="inlineStr">
        <is>
          <t>Finance</t>
        </is>
      </c>
      <c r="B50" s="77">
        <f>Data!B49</f>
        <v/>
      </c>
      <c r="C50" s="77">
        <f>Data!C49</f>
        <v/>
      </c>
      <c r="D50" s="77">
        <f>Data!D49</f>
        <v/>
      </c>
      <c r="E50" s="77">
        <f>Data!E49</f>
        <v/>
      </c>
      <c r="F50" s="77">
        <f>Data!F49</f>
        <v/>
      </c>
      <c r="G50" s="78">
        <f>SUM(B50:F50)</f>
        <v/>
      </c>
      <c r="H50" s="6" t="n"/>
    </row>
    <row r="51" ht="15" customHeight="1">
      <c r="A51" s="69" t="inlineStr">
        <is>
          <t>HR</t>
        </is>
      </c>
      <c r="B51" s="80">
        <f>Data!B50</f>
        <v/>
      </c>
      <c r="C51" s="80">
        <f>Data!C50</f>
        <v/>
      </c>
      <c r="D51" s="80">
        <f>Data!D50</f>
        <v/>
      </c>
      <c r="E51" s="80">
        <f>Data!E50</f>
        <v/>
      </c>
      <c r="F51" s="80">
        <f>Data!F50</f>
        <v/>
      </c>
      <c r="G51" s="81">
        <f>SUM(B51:F51)</f>
        <v/>
      </c>
      <c r="H51" s="6" t="n"/>
    </row>
    <row r="52" ht="15" customHeight="1">
      <c r="A52" s="65" t="inlineStr">
        <is>
          <t>QA</t>
        </is>
      </c>
      <c r="B52" s="77">
        <f>Data!B51</f>
        <v/>
      </c>
      <c r="C52" s="77">
        <f>Data!C51</f>
        <v/>
      </c>
      <c r="D52" s="77">
        <f>Data!D51</f>
        <v/>
      </c>
      <c r="E52" s="77">
        <f>Data!E51</f>
        <v/>
      </c>
      <c r="F52" s="77">
        <f>Data!F51</f>
        <v/>
      </c>
      <c r="G52" s="78">
        <f>SUM(B52:F52)</f>
        <v/>
      </c>
      <c r="H52" s="6" t="n"/>
    </row>
    <row r="53" ht="15" customHeight="1">
      <c r="A53" s="75" t="inlineStr">
        <is>
          <t>OTHER</t>
        </is>
      </c>
      <c r="B53" s="75" t="n"/>
      <c r="C53" s="75" t="n"/>
      <c r="D53" s="75" t="n"/>
      <c r="E53" s="75" t="n"/>
      <c r="F53" s="75" t="n"/>
      <c r="G53" s="75" t="n"/>
      <c r="H53" s="6" t="n"/>
    </row>
    <row r="54" ht="15" customHeight="1">
      <c r="A54" s="65" t="inlineStr">
        <is>
          <t>Other</t>
        </is>
      </c>
      <c r="B54" s="77">
        <f>Data!B52</f>
        <v/>
      </c>
      <c r="C54" s="77">
        <f>Data!C52</f>
        <v/>
      </c>
      <c r="D54" s="77">
        <f>Data!D52</f>
        <v/>
      </c>
      <c r="E54" s="77">
        <f>Data!E52</f>
        <v/>
      </c>
      <c r="F54" s="77">
        <f>Data!F52</f>
        <v/>
      </c>
      <c r="G54" s="78">
        <f>SUM(B54:F54)</f>
        <v/>
      </c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 ht="21.75" customHeight="1">
      <c r="A57" s="162" t="inlineStr">
        <is>
          <t>SEASONAL TURNOVER PATTERNS (Average Across Years)</t>
        </is>
      </c>
      <c r="H57" s="6" t="n"/>
    </row>
    <row r="58" ht="3.75" customHeight="1">
      <c r="A58" s="6" t="n"/>
      <c r="B58" s="6" t="n"/>
      <c r="C58" s="6" t="n"/>
      <c r="D58" s="6" t="n"/>
      <c r="E58" s="6" t="n"/>
      <c r="F58" s="6" t="n"/>
      <c r="G58" s="6" t="n"/>
      <c r="H58" s="6" t="n"/>
    </row>
    <row r="59" ht="15" customHeight="1">
      <c r="A59" s="64" t="inlineStr">
        <is>
          <t>Month</t>
        </is>
      </c>
      <c r="B59" s="64" t="inlineStr">
        <is>
          <t>FY 2023</t>
        </is>
      </c>
      <c r="C59" s="64" t="inlineStr">
        <is>
          <t>FY 2024</t>
        </is>
      </c>
      <c r="D59" s="64" t="inlineStr">
        <is>
          <t>FY 2025</t>
        </is>
      </c>
      <c r="E59" s="64" t="inlineStr">
        <is>
          <t>FY 2026</t>
        </is>
      </c>
      <c r="F59" s="64" t="inlineStr">
        <is>
          <t>FY 2027</t>
        </is>
      </c>
      <c r="G59" s="64" t="inlineStr">
        <is>
          <t>Avg</t>
        </is>
      </c>
      <c r="H59" s="6" t="n"/>
    </row>
    <row r="60" ht="15" customHeight="1">
      <c r="A60" s="65" t="inlineStr">
        <is>
          <t>January</t>
        </is>
      </c>
      <c r="B60" s="77">
        <f>Data!B11</f>
        <v/>
      </c>
      <c r="C60" s="77">
        <f>Data!B12</f>
        <v/>
      </c>
      <c r="D60" s="77">
        <f>Data!B13</f>
        <v/>
      </c>
      <c r="E60" s="77">
        <f>Data!B14</f>
        <v/>
      </c>
      <c r="F60" s="77">
        <f>Data!B15</f>
        <v/>
      </c>
      <c r="G60" s="65">
        <f>AVERAGE(B60:F60)</f>
        <v/>
      </c>
      <c r="H60" s="6" t="n"/>
    </row>
    <row r="61" ht="15" customHeight="1">
      <c r="A61" s="69" t="inlineStr">
        <is>
          <t>February</t>
        </is>
      </c>
      <c r="B61" s="80">
        <f>Data!C11</f>
        <v/>
      </c>
      <c r="C61" s="80">
        <f>Data!C12</f>
        <v/>
      </c>
      <c r="D61" s="80">
        <f>Data!C13</f>
        <v/>
      </c>
      <c r="E61" s="80">
        <f>Data!C14</f>
        <v/>
      </c>
      <c r="F61" s="80">
        <f>Data!C15</f>
        <v/>
      </c>
      <c r="G61" s="69">
        <f>AVERAGE(B61:F61)</f>
        <v/>
      </c>
      <c r="H61" s="6" t="n"/>
    </row>
    <row r="62" ht="15" customHeight="1">
      <c r="A62" s="65" t="inlineStr">
        <is>
          <t>March</t>
        </is>
      </c>
      <c r="B62" s="77">
        <f>Data!D11</f>
        <v/>
      </c>
      <c r="C62" s="77">
        <f>Data!D12</f>
        <v/>
      </c>
      <c r="D62" s="77">
        <f>Data!D13</f>
        <v/>
      </c>
      <c r="E62" s="77">
        <f>Data!D14</f>
        <v/>
      </c>
      <c r="F62" s="77">
        <f>Data!D15</f>
        <v/>
      </c>
      <c r="G62" s="65">
        <f>AVERAGE(B62:F62)</f>
        <v/>
      </c>
      <c r="H62" s="6" t="n"/>
    </row>
    <row r="63" ht="15" customHeight="1">
      <c r="A63" s="69" t="inlineStr">
        <is>
          <t>April</t>
        </is>
      </c>
      <c r="B63" s="80">
        <f>Data!E11</f>
        <v/>
      </c>
      <c r="C63" s="80">
        <f>Data!E12</f>
        <v/>
      </c>
      <c r="D63" s="80">
        <f>Data!E13</f>
        <v/>
      </c>
      <c r="E63" s="80">
        <f>Data!E14</f>
        <v/>
      </c>
      <c r="F63" s="80">
        <f>Data!E15</f>
        <v/>
      </c>
      <c r="G63" s="69">
        <f>AVERAGE(B63:F63)</f>
        <v/>
      </c>
      <c r="H63" s="6" t="n"/>
    </row>
    <row r="64" ht="15" customHeight="1">
      <c r="A64" s="65" t="inlineStr">
        <is>
          <t>May</t>
        </is>
      </c>
      <c r="B64" s="77">
        <f>Data!F11</f>
        <v/>
      </c>
      <c r="C64" s="77">
        <f>Data!F12</f>
        <v/>
      </c>
      <c r="D64" s="77">
        <f>Data!F13</f>
        <v/>
      </c>
      <c r="E64" s="77">
        <f>Data!F14</f>
        <v/>
      </c>
      <c r="F64" s="77">
        <f>Data!F15</f>
        <v/>
      </c>
      <c r="G64" s="65">
        <f>AVERAGE(B64:F64)</f>
        <v/>
      </c>
      <c r="H64" s="6" t="n"/>
    </row>
    <row r="65" ht="15" customHeight="1">
      <c r="A65" s="69" t="inlineStr">
        <is>
          <t>June</t>
        </is>
      </c>
      <c r="B65" s="80">
        <f>Data!G11</f>
        <v/>
      </c>
      <c r="C65" s="80">
        <f>Data!G12</f>
        <v/>
      </c>
      <c r="D65" s="80">
        <f>Data!G13</f>
        <v/>
      </c>
      <c r="E65" s="80">
        <f>Data!G14</f>
        <v/>
      </c>
      <c r="F65" s="80">
        <f>Data!G15</f>
        <v/>
      </c>
      <c r="G65" s="69">
        <f>AVERAGE(B65:F65)</f>
        <v/>
      </c>
      <c r="H65" s="6" t="n"/>
    </row>
    <row r="66" ht="15" customHeight="1">
      <c r="A66" s="65" t="inlineStr">
        <is>
          <t>July</t>
        </is>
      </c>
      <c r="B66" s="77">
        <f>Data!H11</f>
        <v/>
      </c>
      <c r="C66" s="77">
        <f>Data!H12</f>
        <v/>
      </c>
      <c r="D66" s="77">
        <f>Data!H13</f>
        <v/>
      </c>
      <c r="E66" s="77">
        <f>Data!H14</f>
        <v/>
      </c>
      <c r="F66" s="77">
        <f>Data!H15</f>
        <v/>
      </c>
      <c r="G66" s="65">
        <f>AVERAGE(B66:F66)</f>
        <v/>
      </c>
      <c r="H66" s="6" t="n"/>
    </row>
    <row r="67" ht="15" customHeight="1">
      <c r="A67" s="69" t="inlineStr">
        <is>
          <t>August</t>
        </is>
      </c>
      <c r="B67" s="80">
        <f>Data!I11</f>
        <v/>
      </c>
      <c r="C67" s="80">
        <f>Data!I12</f>
        <v/>
      </c>
      <c r="D67" s="80">
        <f>Data!I13</f>
        <v/>
      </c>
      <c r="E67" s="80">
        <f>Data!I14</f>
        <v/>
      </c>
      <c r="F67" s="80">
        <f>Data!I15</f>
        <v/>
      </c>
      <c r="G67" s="69">
        <f>AVERAGE(B67:F67)</f>
        <v/>
      </c>
      <c r="H67" s="6" t="n"/>
    </row>
    <row r="68" ht="15" customHeight="1">
      <c r="A68" s="65" t="inlineStr">
        <is>
          <t>September</t>
        </is>
      </c>
      <c r="B68" s="77">
        <f>Data!J11</f>
        <v/>
      </c>
      <c r="C68" s="77">
        <f>Data!J12</f>
        <v/>
      </c>
      <c r="D68" s="77">
        <f>Data!J13</f>
        <v/>
      </c>
      <c r="E68" s="77">
        <f>Data!J14</f>
        <v/>
      </c>
      <c r="F68" s="77">
        <f>Data!J15</f>
        <v/>
      </c>
      <c r="G68" s="65">
        <f>AVERAGE(B68:F68)</f>
        <v/>
      </c>
      <c r="H68" s="6" t="n"/>
    </row>
    <row r="69" ht="15" customHeight="1">
      <c r="A69" s="69" t="inlineStr">
        <is>
          <t>October</t>
        </is>
      </c>
      <c r="B69" s="80">
        <f>Data!K11</f>
        <v/>
      </c>
      <c r="C69" s="80">
        <f>Data!K12</f>
        <v/>
      </c>
      <c r="D69" s="80">
        <f>Data!K13</f>
        <v/>
      </c>
      <c r="E69" s="80">
        <f>Data!K14</f>
        <v/>
      </c>
      <c r="F69" s="80">
        <f>Data!K15</f>
        <v/>
      </c>
      <c r="G69" s="69">
        <f>AVERAGE(B69:F69)</f>
        <v/>
      </c>
      <c r="H69" s="6" t="n"/>
    </row>
    <row r="70" ht="15" customHeight="1">
      <c r="A70" s="65" t="inlineStr">
        <is>
          <t>November</t>
        </is>
      </c>
      <c r="B70" s="77">
        <f>Data!L11</f>
        <v/>
      </c>
      <c r="C70" s="77">
        <f>Data!L12</f>
        <v/>
      </c>
      <c r="D70" s="77">
        <f>Data!L13</f>
        <v/>
      </c>
      <c r="E70" s="77">
        <f>Data!L14</f>
        <v/>
      </c>
      <c r="F70" s="77">
        <f>Data!L15</f>
        <v/>
      </c>
      <c r="G70" s="65">
        <f>AVERAGE(B70:F70)</f>
        <v/>
      </c>
      <c r="H70" s="6" t="n"/>
    </row>
    <row r="71" ht="15" customHeight="1">
      <c r="A71" s="69" t="inlineStr">
        <is>
          <t>December</t>
        </is>
      </c>
      <c r="B71" s="80">
        <f>Data!M11</f>
        <v/>
      </c>
      <c r="C71" s="80">
        <f>Data!M12</f>
        <v/>
      </c>
      <c r="D71" s="80">
        <f>Data!M13</f>
        <v/>
      </c>
      <c r="E71" s="80">
        <f>Data!M14</f>
        <v/>
      </c>
      <c r="F71" s="80">
        <f>Data!M15</f>
        <v/>
      </c>
      <c r="G71" s="69">
        <f>AVERAGE(B71:F71)</f>
        <v/>
      </c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 ht="27.75" customHeight="1">
      <c r="A74" s="157" t="inlineStr">
        <is>
          <t xml:space="preserve">  FISCAL YEAR ANALYSIS (July 1 — June 30)</t>
        </is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 ht="21.75" customHeight="1">
      <c r="A76" s="158" t="inlineStr">
        <is>
          <t>FISCAL YEAR OVERVIEW</t>
        </is>
      </c>
      <c r="B76" s="172" t="n"/>
      <c r="C76" s="172" t="n"/>
      <c r="D76" s="172" t="n"/>
      <c r="E76" s="172" t="n"/>
      <c r="F76" s="172" t="n"/>
      <c r="G76" s="172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 ht="21.75" customHeight="1">
      <c r="A78" s="82" t="inlineStr">
        <is>
          <t>Metric</t>
        </is>
      </c>
      <c r="B78" s="82" t="inlineStr">
        <is>
          <t>FY 2024</t>
        </is>
      </c>
      <c r="C78" s="82" t="inlineStr">
        <is>
          <t>FY 2025</t>
        </is>
      </c>
      <c r="D78" s="82" t="inlineStr">
        <is>
          <t>FY 2026</t>
        </is>
      </c>
      <c r="E78" s="82" t="inlineStr">
        <is>
          <t>FY 2027</t>
        </is>
      </c>
      <c r="F78" s="82" t="inlineStr">
        <is>
          <t>Avg</t>
        </is>
      </c>
      <c r="G78" s="82" t="inlineStr">
        <is>
          <t>Trend</t>
        </is>
      </c>
      <c r="H78" s="6" t="n"/>
    </row>
    <row r="79" ht="15" customHeight="1">
      <c r="A79" s="83" t="inlineStr">
        <is>
          <t>Turnover Rate %</t>
        </is>
      </c>
      <c r="B79" s="84" t="n">
        <v>0.451327433628319</v>
      </c>
      <c r="C79" s="84" t="n">
        <v>0.40117994100295</v>
      </c>
      <c r="D79" s="84" t="n">
        <v>0.286127167630058</v>
      </c>
      <c r="E79" s="84" t="n">
        <v>0</v>
      </c>
      <c r="F79" s="84" t="n">
        <v>0.284658635565332</v>
      </c>
      <c r="G79" s="85" t="inlineStr">
        <is>
          <t>↓</t>
        </is>
      </c>
      <c r="H79" s="6" t="n"/>
    </row>
    <row r="80" ht="15" customHeight="1">
      <c r="A80" s="86" t="inlineStr">
        <is>
          <t>Total Separations</t>
        </is>
      </c>
      <c r="B80" s="87" t="n">
        <v>153</v>
      </c>
      <c r="C80" s="87" t="n">
        <v>136</v>
      </c>
      <c r="D80" s="87" t="n">
        <v>99</v>
      </c>
      <c r="E80" s="87" t="n">
        <v>0</v>
      </c>
      <c r="F80" s="88" t="n">
        <v>97</v>
      </c>
      <c r="G80" s="89" t="inlineStr">
        <is>
          <t>↓</t>
        </is>
      </c>
      <c r="H80" s="6" t="n"/>
    </row>
    <row r="81" ht="15" customHeight="1">
      <c r="A81" s="83" t="inlineStr">
        <is>
          <t>Voluntary %</t>
        </is>
      </c>
      <c r="B81" s="84" t="n">
        <v>0.542483660130719</v>
      </c>
      <c r="C81" s="84" t="n">
        <v>0.595588235294118</v>
      </c>
      <c r="D81" s="84" t="n">
        <v>0.787878787878788</v>
      </c>
      <c r="E81" s="84" t="n">
        <v>0</v>
      </c>
      <c r="F81" s="84" t="n">
        <v>0.641983561101208</v>
      </c>
      <c r="G81" s="90" t="n"/>
      <c r="H81" s="6" t="n"/>
    </row>
    <row r="82" ht="15" customHeight="1">
      <c r="A82" s="86" t="inlineStr">
        <is>
          <t>Avg Monthly Separations</t>
        </is>
      </c>
      <c r="B82" s="88" t="n">
        <v>12.75</v>
      </c>
      <c r="C82" s="88" t="n">
        <v>11.3333333333333</v>
      </c>
      <c r="D82" s="88" t="n">
        <v>8.25</v>
      </c>
      <c r="E82" s="88" t="n">
        <v>0</v>
      </c>
      <c r="F82" s="88" t="n">
        <v>8.08333333333333</v>
      </c>
      <c r="G82" s="89" t="inlineStr">
        <is>
          <t>↓</t>
        </is>
      </c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 ht="21.75" customHeight="1">
      <c r="A85" s="159" t="inlineStr">
        <is>
          <t>FISCAL YEAR MONTHLY PATTERNS</t>
        </is>
      </c>
      <c r="B85" s="172" t="n"/>
      <c r="C85" s="172" t="n"/>
      <c r="D85" s="172" t="n"/>
      <c r="E85" s="172" t="n"/>
      <c r="F85" s="172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 ht="21.75" customHeight="1">
      <c r="A87" s="82" t="inlineStr">
        <is>
          <t>Month</t>
        </is>
      </c>
      <c r="B87" s="82" t="inlineStr">
        <is>
          <t>FY 2024</t>
        </is>
      </c>
      <c r="C87" s="82" t="inlineStr">
        <is>
          <t>FY 2025</t>
        </is>
      </c>
      <c r="D87" s="82" t="inlineStr">
        <is>
          <t>FY 2026</t>
        </is>
      </c>
      <c r="E87" s="82" t="inlineStr">
        <is>
          <t>FY 2027</t>
        </is>
      </c>
      <c r="F87" s="82" t="inlineStr">
        <is>
          <t>Avg</t>
        </is>
      </c>
      <c r="G87" s="6" t="n"/>
      <c r="H87" s="6" t="n"/>
    </row>
    <row r="88" ht="15" customHeight="1">
      <c r="A88" s="83" t="inlineStr">
        <is>
          <t>July</t>
        </is>
      </c>
      <c r="B88" s="90" t="n">
        <v>10</v>
      </c>
      <c r="C88" s="90" t="n">
        <v>13</v>
      </c>
      <c r="D88" s="90" t="n">
        <v>16</v>
      </c>
      <c r="E88" s="90" t="n">
        <v>0</v>
      </c>
      <c r="F88" s="91" t="n">
        <v>9.75</v>
      </c>
      <c r="G88" s="6" t="n"/>
      <c r="H88" s="6" t="n"/>
    </row>
    <row r="89" ht="15" customHeight="1">
      <c r="A89" s="86" t="inlineStr">
        <is>
          <t>August</t>
        </is>
      </c>
      <c r="B89" s="87" t="n">
        <v>9</v>
      </c>
      <c r="C89" s="87" t="n">
        <v>16</v>
      </c>
      <c r="D89" s="87" t="n">
        <v>14</v>
      </c>
      <c r="E89" s="87" t="n">
        <v>0</v>
      </c>
      <c r="F89" s="88" t="n">
        <v>9.75</v>
      </c>
      <c r="G89" s="6" t="n"/>
      <c r="H89" s="6" t="n"/>
    </row>
    <row r="90" ht="15" customHeight="1">
      <c r="A90" s="83" t="inlineStr">
        <is>
          <t>September</t>
        </is>
      </c>
      <c r="B90" s="90" t="n">
        <v>12</v>
      </c>
      <c r="C90" s="90" t="n">
        <v>8</v>
      </c>
      <c r="D90" s="90" t="n">
        <v>12</v>
      </c>
      <c r="E90" s="90" t="n">
        <v>0</v>
      </c>
      <c r="F90" s="91" t="n">
        <v>8</v>
      </c>
      <c r="G90" s="6" t="n"/>
      <c r="H90" s="6" t="n"/>
    </row>
    <row r="91" ht="15" customHeight="1">
      <c r="A91" s="86" t="inlineStr">
        <is>
          <t>October</t>
        </is>
      </c>
      <c r="B91" s="87" t="n">
        <v>12</v>
      </c>
      <c r="C91" s="87" t="n">
        <v>7</v>
      </c>
      <c r="D91" s="87" t="n">
        <v>13</v>
      </c>
      <c r="E91" s="87" t="n">
        <v>0</v>
      </c>
      <c r="F91" s="88" t="n">
        <v>8</v>
      </c>
      <c r="G91" s="6" t="n"/>
      <c r="H91" s="6" t="n"/>
    </row>
    <row r="92" ht="15" customHeight="1">
      <c r="A92" s="83" t="inlineStr">
        <is>
          <t>November</t>
        </is>
      </c>
      <c r="B92" s="90" t="n">
        <v>10</v>
      </c>
      <c r="C92" s="90" t="n">
        <v>14</v>
      </c>
      <c r="D92" s="90" t="n">
        <v>9</v>
      </c>
      <c r="E92" s="90" t="n">
        <v>0</v>
      </c>
      <c r="F92" s="91" t="n">
        <v>8.25</v>
      </c>
      <c r="G92" s="6" t="n"/>
      <c r="H92" s="6" t="n"/>
    </row>
    <row r="93" ht="15" customHeight="1">
      <c r="A93" s="86" t="inlineStr">
        <is>
          <t>December</t>
        </is>
      </c>
      <c r="B93" s="87" t="n">
        <v>9</v>
      </c>
      <c r="C93" s="87" t="n">
        <v>9</v>
      </c>
      <c r="D93" s="87" t="n">
        <v>5</v>
      </c>
      <c r="E93" s="87" t="n">
        <v>0</v>
      </c>
      <c r="F93" s="88" t="n">
        <v>5.75</v>
      </c>
      <c r="G93" s="6" t="n"/>
      <c r="H93" s="6" t="n"/>
    </row>
    <row r="94" ht="15" customHeight="1">
      <c r="A94" s="92" t="inlineStr">
        <is>
          <t>January</t>
        </is>
      </c>
      <c r="B94" s="93" t="n">
        <v>24</v>
      </c>
      <c r="C94" s="93" t="n">
        <v>14</v>
      </c>
      <c r="D94" s="93" t="n">
        <v>8</v>
      </c>
      <c r="E94" s="93" t="n">
        <v>0</v>
      </c>
      <c r="F94" s="94" t="n">
        <v>11.5</v>
      </c>
      <c r="G94" s="6" t="n"/>
      <c r="H94" s="6" t="n"/>
    </row>
    <row r="95" ht="15" customHeight="1">
      <c r="A95" s="86" t="inlineStr">
        <is>
          <t>February</t>
        </is>
      </c>
      <c r="B95" s="87" t="n">
        <v>11</v>
      </c>
      <c r="C95" s="87" t="n">
        <v>13</v>
      </c>
      <c r="D95" s="87" t="n">
        <v>10</v>
      </c>
      <c r="E95" s="87" t="n">
        <v>0</v>
      </c>
      <c r="F95" s="88" t="n">
        <v>8.5</v>
      </c>
      <c r="G95" s="6" t="n"/>
      <c r="H95" s="6" t="n"/>
    </row>
    <row r="96" ht="15" customHeight="1">
      <c r="A96" s="83" t="inlineStr">
        <is>
          <t>March</t>
        </is>
      </c>
      <c r="B96" s="90" t="n">
        <v>14</v>
      </c>
      <c r="C96" s="90" t="n">
        <v>12</v>
      </c>
      <c r="D96" s="90" t="n">
        <v>10</v>
      </c>
      <c r="E96" s="90" t="n">
        <v>0</v>
      </c>
      <c r="F96" s="91" t="n">
        <v>9</v>
      </c>
      <c r="G96" s="6" t="n"/>
      <c r="H96" s="6" t="n"/>
    </row>
    <row r="97" ht="15" customHeight="1">
      <c r="A97" s="86" t="inlineStr">
        <is>
          <t>April</t>
        </is>
      </c>
      <c r="B97" s="87" t="n">
        <v>13</v>
      </c>
      <c r="C97" s="87" t="n">
        <v>7</v>
      </c>
      <c r="D97" s="87" t="n">
        <v>2</v>
      </c>
      <c r="E97" s="87" t="n">
        <v>0</v>
      </c>
      <c r="F97" s="88" t="n">
        <v>5.5</v>
      </c>
      <c r="G97" s="6" t="n"/>
      <c r="H97" s="6" t="n"/>
    </row>
    <row r="98" ht="15" customHeight="1">
      <c r="A98" s="83" t="inlineStr">
        <is>
          <t>May</t>
        </is>
      </c>
      <c r="B98" s="90" t="n">
        <v>17</v>
      </c>
      <c r="C98" s="90" t="n">
        <v>18</v>
      </c>
      <c r="D98" s="90" t="n">
        <v>0</v>
      </c>
      <c r="E98" s="90" t="n">
        <v>0</v>
      </c>
      <c r="F98" s="91" t="n">
        <v>8.75</v>
      </c>
      <c r="G98" s="6" t="n"/>
      <c r="H98" s="6" t="n"/>
    </row>
    <row r="99" ht="15" customHeight="1">
      <c r="A99" s="86" t="inlineStr">
        <is>
          <t>June</t>
        </is>
      </c>
      <c r="B99" s="87" t="n">
        <v>12</v>
      </c>
      <c r="C99" s="87" t="n">
        <v>5</v>
      </c>
      <c r="D99" s="87" t="n">
        <v>0</v>
      </c>
      <c r="E99" s="87" t="n">
        <v>0</v>
      </c>
      <c r="F99" s="88" t="n">
        <v>4.25</v>
      </c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 ht="21.75" customHeight="1">
      <c r="A102" s="159" t="inlineStr">
        <is>
          <t>FISCAL YEAR HALF COMPARISON</t>
        </is>
      </c>
      <c r="B102" s="172" t="n"/>
      <c r="C102" s="172" t="n"/>
      <c r="D102" s="172" t="n"/>
      <c r="E102" s="172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 ht="21.75" customHeight="1">
      <c r="A104" s="82" t="inlineStr">
        <is>
          <t>Period</t>
        </is>
      </c>
      <c r="B104" s="82" t="inlineStr">
        <is>
          <t>FY 2024</t>
        </is>
      </c>
      <c r="C104" s="82" t="inlineStr">
        <is>
          <t>FY 2025</t>
        </is>
      </c>
      <c r="D104" s="82" t="inlineStr">
        <is>
          <t>FY 2026</t>
        </is>
      </c>
      <c r="E104" s="82" t="inlineStr">
        <is>
          <t>FY 2027</t>
        </is>
      </c>
      <c r="F104" s="6" t="n"/>
      <c r="G104" s="6" t="n"/>
      <c r="H104" s="6" t="n"/>
    </row>
    <row r="105" ht="15" customHeight="1">
      <c r="A105" s="83" t="inlineStr">
        <is>
          <t>H1 (Jul - Dec)</t>
        </is>
      </c>
      <c r="B105" s="90" t="n">
        <v>62</v>
      </c>
      <c r="C105" s="90" t="n">
        <v>67</v>
      </c>
      <c r="D105" s="90" t="n">
        <v>69</v>
      </c>
      <c r="E105" s="90" t="n">
        <v>0</v>
      </c>
      <c r="F105" s="6" t="n"/>
      <c r="G105" s="6" t="n"/>
      <c r="H105" s="6" t="n"/>
    </row>
    <row r="106" ht="15" customHeight="1">
      <c r="A106" s="86" t="inlineStr">
        <is>
          <t>H2 (Jan - Jun)</t>
        </is>
      </c>
      <c r="B106" s="87" t="n">
        <v>91</v>
      </c>
      <c r="C106" s="87" t="n">
        <v>69</v>
      </c>
      <c r="D106" s="87" t="n">
        <v>30</v>
      </c>
      <c r="E106" s="87" t="n">
        <v>0</v>
      </c>
      <c r="F106" s="6" t="n"/>
      <c r="G106" s="6" t="n"/>
      <c r="H106" s="6" t="n"/>
    </row>
  </sheetData>
  <mergeCells count="9">
    <mergeCell ref="A13:G13"/>
    <mergeCell ref="A3:H3"/>
    <mergeCell ref="A85:F85"/>
    <mergeCell ref="A2:H2"/>
    <mergeCell ref="A102:E102"/>
    <mergeCell ref="A5:H5"/>
    <mergeCell ref="A57:G57"/>
    <mergeCell ref="A76:G76"/>
    <mergeCell ref="A74:H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O413"/>
  <sheetViews>
    <sheetView zoomScaleNormal="100" workbookViewId="0">
      <pane ySplit="6" topLeftCell="A9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2027</t>
        </is>
      </c>
    </row>
    <row r="3" ht="19.5" customHeight="1">
      <c r="A3" s="164" t="inlineStr">
        <is>
          <t>January 2027 — December 2027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2027",Reference!$N$2:$O$6,2,FALSE),0)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2027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t="inlineStr">
        <is>
          <t>Synced To Hub</t>
        </is>
      </c>
      <c r="O8" t="inlineStr">
        <is>
          <t>Do Not Sync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2027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  <c r="N42" t="inlineStr">
        <is>
          <t>Synced To Hub</t>
        </is>
      </c>
      <c r="O42" t="inlineStr">
        <is>
          <t>Do Not Sync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2027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  <c r="N76" t="inlineStr">
        <is>
          <t>Synced To Hub</t>
        </is>
      </c>
      <c r="O76" t="inlineStr">
        <is>
          <t>Do Not Sync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2027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  <c r="N110" t="inlineStr">
        <is>
          <t>Synced To Hub</t>
        </is>
      </c>
      <c r="O110" t="inlineStr">
        <is>
          <t>Do Not Sync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2027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  <c r="N144" t="inlineStr">
        <is>
          <t>Synced To Hub</t>
        </is>
      </c>
      <c r="O144" t="inlineStr">
        <is>
          <t>Do Not Sync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2027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  <c r="N178" t="inlineStr">
        <is>
          <t>Synced To Hub</t>
        </is>
      </c>
      <c r="O178" t="inlineStr">
        <is>
          <t>Do Not Sync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2027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  <c r="N212" t="inlineStr">
        <is>
          <t>Synced To Hub</t>
        </is>
      </c>
      <c r="O212" t="inlineStr">
        <is>
          <t>Do Not Sync</t>
        </is>
      </c>
    </row>
    <row r="213" ht="15" customHeight="1">
      <c r="A213" s="100" t="n"/>
      <c r="B213" s="101" t="n"/>
      <c r="C213" s="101" t="n"/>
      <c r="D213" s="100" t="n"/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</row>
    <row r="214" ht="15" customHeight="1">
      <c r="A214" s="103" t="n"/>
      <c r="B214" s="104" t="n"/>
      <c r="C214" s="104" t="n"/>
      <c r="D214" s="103" t="n"/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</row>
    <row r="215" ht="15" customHeight="1">
      <c r="A215" s="100" t="n"/>
      <c r="B215" s="101" t="n"/>
      <c r="C215" s="101" t="n"/>
      <c r="D215" s="100" t="n"/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</row>
    <row r="216" ht="15" customHeight="1">
      <c r="A216" s="103" t="n"/>
      <c r="B216" s="104" t="n"/>
      <c r="C216" s="104" t="n"/>
      <c r="D216" s="103" t="n"/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</row>
    <row r="217" ht="15" customHeight="1">
      <c r="A217" s="100" t="n"/>
      <c r="B217" s="101" t="n"/>
      <c r="C217" s="101" t="n"/>
      <c r="D217" s="100" t="n"/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</row>
    <row r="218" ht="15" customHeight="1">
      <c r="A218" s="103" t="n"/>
      <c r="B218" s="104" t="n"/>
      <c r="C218" s="104" t="n"/>
      <c r="D218" s="103" t="n"/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</row>
    <row r="219" ht="15" customHeight="1">
      <c r="A219" s="100" t="n"/>
      <c r="B219" s="101" t="n"/>
      <c r="C219" s="101" t="n"/>
      <c r="D219" s="100" t="n"/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</row>
    <row r="220" ht="15" customHeight="1">
      <c r="A220" s="103" t="n"/>
      <c r="B220" s="104" t="n"/>
      <c r="C220" s="104" t="n"/>
      <c r="D220" s="103" t="n"/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</row>
    <row r="221" ht="15" customHeight="1">
      <c r="A221" s="100" t="n"/>
      <c r="B221" s="101" t="n"/>
      <c r="C221" s="101" t="n"/>
      <c r="D221" s="100" t="n"/>
      <c r="E221" s="100" t="n"/>
      <c r="F221" s="100" t="n"/>
      <c r="G221" s="100" t="n"/>
      <c r="H221" s="100" t="n"/>
      <c r="I221" s="100" t="n"/>
      <c r="J221" s="101" t="n"/>
      <c r="K221" s="100" t="n"/>
      <c r="L221" s="100" t="n"/>
      <c r="M221" s="102">
        <f>IFERROR(VLOOKUP(G221,Reference!$I$2:$J$175,2,FALSE()),"Operations")</f>
        <v/>
      </c>
    </row>
    <row r="222" ht="15" customHeight="1">
      <c r="A222" s="103" t="n"/>
      <c r="B222" s="104" t="n"/>
      <c r="C222" s="104" t="n"/>
      <c r="D222" s="103" t="n"/>
      <c r="E222" s="103" t="n"/>
      <c r="F222" s="103" t="n"/>
      <c r="G222" s="103" t="n"/>
      <c r="H222" s="103" t="n"/>
      <c r="I222" s="103" t="n"/>
      <c r="J222" s="104" t="n"/>
      <c r="K222" s="103" t="n"/>
      <c r="L222" s="103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2027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  <c r="N246" t="inlineStr">
        <is>
          <t>Synced To Hub</t>
        </is>
      </c>
      <c r="O246" t="inlineStr">
        <is>
          <t>Do Not Sync</t>
        </is>
      </c>
    </row>
    <row r="247" ht="15" customHeight="1">
      <c r="A247" s="100" t="n"/>
      <c r="B247" s="101" t="n"/>
      <c r="C247" s="101" t="n"/>
      <c r="D247" s="100" t="n"/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</row>
    <row r="248" ht="15" customHeight="1">
      <c r="A248" s="103" t="n"/>
      <c r="B248" s="104" t="n"/>
      <c r="C248" s="104" t="n"/>
      <c r="D248" s="103" t="n"/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</row>
    <row r="249" ht="15" customHeight="1">
      <c r="A249" s="100" t="n"/>
      <c r="B249" s="101" t="n"/>
      <c r="C249" s="101" t="n"/>
      <c r="D249" s="100" t="n"/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</row>
    <row r="250" ht="15" customHeight="1">
      <c r="A250" s="103" t="n"/>
      <c r="B250" s="104" t="n"/>
      <c r="C250" s="104" t="n"/>
      <c r="D250" s="103" t="n"/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</row>
    <row r="251" ht="15" customHeight="1">
      <c r="A251" s="100" t="n"/>
      <c r="B251" s="101" t="n"/>
      <c r="C251" s="101" t="n"/>
      <c r="D251" s="100" t="n"/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</row>
    <row r="252" ht="15" customHeight="1">
      <c r="A252" s="103" t="n"/>
      <c r="B252" s="104" t="n"/>
      <c r="C252" s="104" t="n"/>
      <c r="D252" s="103" t="n"/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</row>
    <row r="253" ht="15" customHeight="1">
      <c r="A253" s="100" t="n"/>
      <c r="B253" s="101" t="n"/>
      <c r="C253" s="101" t="n"/>
      <c r="D253" s="100" t="n"/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</row>
    <row r="254" ht="15" customHeight="1">
      <c r="A254" s="103" t="n"/>
      <c r="B254" s="104" t="n"/>
      <c r="C254" s="104" t="n"/>
      <c r="D254" s="103" t="n"/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</row>
    <row r="255" ht="15" customHeight="1">
      <c r="A255" s="100" t="n"/>
      <c r="B255" s="101" t="n"/>
      <c r="C255" s="101" t="n"/>
      <c r="D255" s="100" t="n"/>
      <c r="E255" s="100" t="n"/>
      <c r="F255" s="100" t="n"/>
      <c r="G255" s="100" t="n"/>
      <c r="H255" s="100" t="n"/>
      <c r="I255" s="100" t="n"/>
      <c r="J255" s="101" t="n"/>
      <c r="K255" s="100" t="n"/>
      <c r="L255" s="100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2027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  <c r="N280" t="inlineStr">
        <is>
          <t>Synced To Hub</t>
        </is>
      </c>
      <c r="O280" t="inlineStr">
        <is>
          <t>Do Not Sync</t>
        </is>
      </c>
    </row>
    <row r="281" ht="15" customHeight="1">
      <c r="A281" s="100" t="n"/>
      <c r="B281" s="101" t="n"/>
      <c r="C281" s="101" t="n"/>
      <c r="D281" s="100" t="n"/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</row>
    <row r="282" ht="15" customHeight="1">
      <c r="A282" s="103" t="n"/>
      <c r="B282" s="104" t="n"/>
      <c r="C282" s="104" t="n"/>
      <c r="D282" s="103" t="n"/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</row>
    <row r="283" ht="15" customHeight="1">
      <c r="A283" s="100" t="n"/>
      <c r="B283" s="101" t="n"/>
      <c r="C283" s="101" t="n"/>
      <c r="D283" s="100" t="n"/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</row>
    <row r="284" ht="15" customHeight="1">
      <c r="A284" s="103" t="n"/>
      <c r="B284" s="104" t="n"/>
      <c r="C284" s="104" t="n"/>
      <c r="D284" s="103" t="n"/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</row>
    <row r="285" ht="15" customHeight="1">
      <c r="A285" s="100" t="n"/>
      <c r="B285" s="101" t="n"/>
      <c r="C285" s="101" t="n"/>
      <c r="D285" s="100" t="n"/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</row>
    <row r="286" ht="15" customHeight="1">
      <c r="A286" s="103" t="n"/>
      <c r="B286" s="104" t="n"/>
      <c r="C286" s="104" t="n"/>
      <c r="D286" s="103" t="n"/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</row>
    <row r="287" ht="15" customHeight="1">
      <c r="A287" s="100" t="n"/>
      <c r="B287" s="101" t="n"/>
      <c r="C287" s="101" t="n"/>
      <c r="D287" s="100" t="n"/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</row>
    <row r="288" ht="15" customHeight="1">
      <c r="A288" s="103" t="n"/>
      <c r="B288" s="104" t="n"/>
      <c r="C288" s="104" t="n"/>
      <c r="D288" s="103" t="n"/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2027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  <c r="N314" t="inlineStr">
        <is>
          <t>Synced To Hub</t>
        </is>
      </c>
      <c r="O314" t="inlineStr">
        <is>
          <t>Do Not Sync</t>
        </is>
      </c>
    </row>
    <row r="315" ht="15" customHeight="1">
      <c r="A315" s="100" t="n"/>
      <c r="B315" s="101" t="n"/>
      <c r="C315" s="101" t="n"/>
      <c r="D315" s="100" t="n"/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</row>
    <row r="316" ht="15" customHeight="1">
      <c r="A316" s="103" t="n"/>
      <c r="B316" s="104" t="n"/>
      <c r="C316" s="104" t="n"/>
      <c r="D316" s="103" t="n"/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</row>
    <row r="317" ht="15" customHeight="1">
      <c r="A317" s="100" t="n"/>
      <c r="B317" s="101" t="n"/>
      <c r="C317" s="101" t="n"/>
      <c r="D317" s="100" t="n"/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</row>
    <row r="318" ht="15" customHeight="1">
      <c r="A318" s="103" t="n"/>
      <c r="B318" s="104" t="n"/>
      <c r="C318" s="104" t="n"/>
      <c r="D318" s="103" t="n"/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</row>
    <row r="319" ht="15" customHeight="1">
      <c r="A319" s="100" t="n"/>
      <c r="B319" s="101" t="n"/>
      <c r="C319" s="101" t="n"/>
      <c r="D319" s="100" t="n"/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</row>
    <row r="320" ht="15" customHeight="1">
      <c r="A320" s="103" t="n"/>
      <c r="B320" s="104" t="n"/>
      <c r="C320" s="104" t="n"/>
      <c r="D320" s="103" t="n"/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</row>
    <row r="321" ht="15" customHeight="1">
      <c r="A321" s="100" t="n"/>
      <c r="B321" s="101" t="n"/>
      <c r="C321" s="101" t="n"/>
      <c r="D321" s="100" t="n"/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2027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  <c r="N348" t="inlineStr">
        <is>
          <t>Synced To Hub</t>
        </is>
      </c>
      <c r="O348" t="inlineStr">
        <is>
          <t>Do Not Sync</t>
        </is>
      </c>
    </row>
    <row r="349" ht="15" customHeight="1">
      <c r="A349" s="100" t="n"/>
      <c r="B349" s="101" t="n"/>
      <c r="C349" s="101" t="n"/>
      <c r="D349" s="100" t="n"/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</row>
    <row r="350" ht="15" customHeight="1">
      <c r="A350" s="103" t="n"/>
      <c r="B350" s="104" t="n"/>
      <c r="C350" s="104" t="n"/>
      <c r="D350" s="103" t="n"/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</row>
    <row r="351" ht="15" customHeight="1">
      <c r="A351" s="100" t="n"/>
      <c r="B351" s="101" t="n"/>
      <c r="C351" s="101" t="n"/>
      <c r="D351" s="100" t="n"/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</row>
    <row r="352" ht="15" customHeight="1">
      <c r="A352" s="103" t="n"/>
      <c r="B352" s="104" t="n"/>
      <c r="C352" s="104" t="n"/>
      <c r="D352" s="103" t="n"/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</row>
    <row r="353" ht="15" customHeight="1">
      <c r="A353" s="100" t="n"/>
      <c r="B353" s="101" t="n"/>
      <c r="C353" s="101" t="n"/>
      <c r="D353" s="100" t="n"/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</row>
    <row r="354" ht="15" customHeight="1">
      <c r="A354" s="103" t="n"/>
      <c r="B354" s="104" t="n"/>
      <c r="C354" s="104" t="n"/>
      <c r="D354" s="103" t="n"/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</row>
    <row r="355" ht="15" customHeight="1">
      <c r="A355" s="100" t="n"/>
      <c r="B355" s="101" t="n"/>
      <c r="C355" s="101" t="n"/>
      <c r="D355" s="100" t="n"/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</row>
    <row r="356" ht="15" customHeight="1">
      <c r="A356" s="103" t="n"/>
      <c r="B356" s="104" t="n"/>
      <c r="C356" s="104" t="n"/>
      <c r="D356" s="103" t="n"/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</row>
    <row r="357" ht="15" customHeight="1">
      <c r="A357" s="100" t="n"/>
      <c r="B357" s="101" t="n"/>
      <c r="C357" s="101" t="n"/>
      <c r="D357" s="100" t="n"/>
      <c r="E357" s="100" t="n"/>
      <c r="F357" s="100" t="n"/>
      <c r="G357" s="100" t="n"/>
      <c r="H357" s="100" t="n"/>
      <c r="I357" s="100" t="n"/>
      <c r="J357" s="101" t="n"/>
      <c r="K357" s="100" t="n"/>
      <c r="L357" s="100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2027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  <c r="N382" t="inlineStr">
        <is>
          <t>Synced To Hub</t>
        </is>
      </c>
      <c r="O382" t="inlineStr">
        <is>
          <t>Do Not Sync</t>
        </is>
      </c>
    </row>
    <row r="383" ht="15" customHeight="1">
      <c r="A383" s="100" t="n"/>
      <c r="B383" s="101" t="n"/>
      <c r="C383" s="101" t="n"/>
      <c r="D383" s="100" t="n"/>
      <c r="E383" s="100" t="n"/>
      <c r="F383" s="100" t="n"/>
      <c r="G383" s="100" t="n"/>
      <c r="H383" s="100" t="n"/>
      <c r="I383" s="100" t="n"/>
      <c r="J383" s="101" t="n"/>
      <c r="K383" s="100" t="n"/>
      <c r="L383" s="100" t="n"/>
      <c r="M383" s="102">
        <f>IFERROR(VLOOKUP(G383,Reference!$I$2:$J$175,2,FALSE()),"Operations")</f>
        <v/>
      </c>
    </row>
    <row r="384" ht="15" customHeight="1">
      <c r="A384" s="103" t="n"/>
      <c r="B384" s="104" t="n"/>
      <c r="C384" s="104" t="n"/>
      <c r="D384" s="103" t="n"/>
      <c r="E384" s="103" t="n"/>
      <c r="F384" s="103" t="n"/>
      <c r="G384" s="103" t="n"/>
      <c r="H384" s="103" t="n"/>
      <c r="I384" s="103" t="n"/>
      <c r="J384" s="104" t="n"/>
      <c r="K384" s="103" t="n"/>
      <c r="L384" s="103" t="n"/>
      <c r="M384" s="105">
        <f>IFERROR(VLOOKUP(G384,Reference!$I$2:$J$175,2,FALSE()),"Operations")</f>
        <v/>
      </c>
    </row>
    <row r="385" ht="15" customHeight="1">
      <c r="A385" s="100" t="n"/>
      <c r="B385" s="101" t="n"/>
      <c r="C385" s="101" t="n"/>
      <c r="D385" s="100" t="n"/>
      <c r="E385" s="100" t="n"/>
      <c r="F385" s="100" t="n"/>
      <c r="G385" s="100" t="n"/>
      <c r="H385" s="100" t="n"/>
      <c r="I385" s="100" t="n"/>
      <c r="J385" s="101" t="n"/>
      <c r="K385" s="100" t="n"/>
      <c r="L385" s="100" t="n"/>
      <c r="M385" s="102">
        <f>IFERROR(VLOOKUP(G385,Reference!$I$2:$J$175,2,FALSE()),"Operations")</f>
        <v/>
      </c>
    </row>
    <row r="386" ht="15" customHeight="1">
      <c r="A386" s="103" t="n"/>
      <c r="B386" s="104" t="n"/>
      <c r="C386" s="104" t="n"/>
      <c r="D386" s="103" t="n"/>
      <c r="E386" s="103" t="n"/>
      <c r="F386" s="103" t="n"/>
      <c r="G386" s="103" t="n"/>
      <c r="H386" s="103" t="n"/>
      <c r="I386" s="103" t="n"/>
      <c r="J386" s="104" t="n"/>
      <c r="K386" s="103" t="n"/>
      <c r="L386" s="103" t="n"/>
      <c r="M386" s="105">
        <f>IFERROR(VLOOKUP(G386,Reference!$I$2:$J$175,2,FALSE()),"Operations")</f>
        <v/>
      </c>
    </row>
    <row r="387" ht="15" customHeight="1">
      <c r="A387" s="100" t="n"/>
      <c r="B387" s="101" t="n"/>
      <c r="C387" s="101" t="n"/>
      <c r="D387" s="100" t="n"/>
      <c r="E387" s="100" t="n"/>
      <c r="F387" s="100" t="n"/>
      <c r="G387" s="100" t="n"/>
      <c r="H387" s="100" t="n"/>
      <c r="I387" s="100" t="n"/>
      <c r="J387" s="101" t="n"/>
      <c r="K387" s="100" t="n"/>
      <c r="L387" s="100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75:M75"/>
    <mergeCell ref="A211:M211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5-00000005}">
          <x14:formula1>
            <xm:f>Reference!$L$2:$L$10</xm:f>
          </x14:formula1>
          <xm:sqref>M9:M413</xm:sqref>
        </x14:dataValidation>
        <x14:dataValidation xmlns:xr="http://schemas.microsoft.com/office/spreadsheetml/2014/revision" type="list" errorStyle="stop" allowBlank="1" showInputMessage="1" showErrorMessage="1" errorTitle="Invalid Do Not Sync" error="Do Not Sync must be Yes or No (leave blank for No)." promptTitle="" prompt="" xr:uid="{00000000-0002-0000-0005-00000006}">
          <x14:formula1>
            <xm:f>Reference!$B$2:$B$3</xm:f>
          </x14:formula1>
          <xm:sqref>O9:O413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F39C12"/>
    <outlinePr summaryBelow="1" summaryRight="1"/>
    <pageSetUpPr/>
  </sheetPr>
  <dimension ref="A1:O413"/>
  <sheetViews>
    <sheetView zoomScaleNormal="100" workbookViewId="0">
      <pane ySplit="6" topLeftCell="A98" activePane="bottomLeft" state="frozen"/>
      <selection pane="bottomLeft" activeCell="G58" sqref="G58"/>
    </sheetView>
  </sheetViews>
  <sheetFormatPr baseColWidth="8" defaultColWidth="8.7109375" defaultRowHeight="15"/>
  <cols>
    <col width="26" customWidth="1" min="1" max="1"/>
    <col width="18.28515625" customWidth="1" min="2" max="2"/>
    <col width="16" customWidth="1" min="3" max="3"/>
    <col width="20" customWidth="1" min="4" max="4"/>
    <col width="12" customWidth="1" min="5" max="5"/>
    <col width="2.42578125" customWidth="1" min="6" max="6"/>
    <col width="28" customWidth="1" min="7" max="7"/>
    <col width="23.5703125" customWidth="1" min="8" max="8"/>
    <col width="22" customWidth="1" min="9" max="9"/>
    <col width="18.28515625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" t="n"/>
      <c r="O1" s="6" t="n"/>
    </row>
    <row r="2" ht="31.5" customHeight="1">
      <c r="A2" s="160" t="inlineStr">
        <is>
          <t>EMPLOYEE SEPARATION SUMMARY — FY 2026</t>
        </is>
      </c>
      <c r="N2" s="6" t="n"/>
      <c r="O2" s="6" t="n"/>
    </row>
    <row r="3" ht="19.5" customHeight="1">
      <c r="A3" s="164" t="inlineStr">
        <is>
          <t>January 2026 — December 2026  |  Emory Valley Center</t>
        </is>
      </c>
      <c r="N3" s="6" t="n"/>
      <c r="O3" s="6" t="n"/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7.75" customHeight="1">
      <c r="A5" s="95" t="inlineStr">
        <is>
          <t>Active Employees:</t>
        </is>
      </c>
      <c r="B5" s="109">
        <f>IFERROR(VLOOKUP("FY 2026",Reference!$N$2:$O$6,2,FALSE),0)</f>
        <v/>
      </c>
      <c r="C5" s="97" t="n"/>
      <c r="D5" s="95" t="inlineStr">
        <is>
          <t>YTD Separations:</t>
        </is>
      </c>
      <c r="E5" s="110">
        <f>B18+B33+B51+B85+B119+B153+B187+B221+B255+B289+B323+B357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  <c r="N5" s="6" t="n"/>
      <c r="O5" s="6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</row>
    <row r="7" ht="21.75" customHeight="1">
      <c r="A7" s="163" t="inlineStr">
        <is>
          <t>JANUARY 2026</t>
        </is>
      </c>
      <c r="N7" s="6" t="n"/>
      <c r="O7" s="6" t="n"/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s="6" t="inlineStr">
        <is>
          <t>Synced To Hub</t>
        </is>
      </c>
      <c r="O8" s="6" t="inlineStr">
        <is>
          <t>Do Not Sync</t>
        </is>
      </c>
    </row>
    <row r="9" ht="15" customHeight="1">
      <c r="A9" s="77" t="inlineStr">
        <is>
          <t>Jackie Ross</t>
        </is>
      </c>
      <c r="B9" s="111" t="n">
        <v>46035</v>
      </c>
      <c r="C9" s="111" t="n">
        <v>44655</v>
      </c>
      <c r="D9" s="77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/>
      </c>
      <c r="E9" s="77" t="inlineStr">
        <is>
          <t>No</t>
        </is>
      </c>
      <c r="F9" s="77" t="inlineStr">
        <is>
          <t>D</t>
        </is>
      </c>
      <c r="G9" s="77" t="inlineStr">
        <is>
          <t>Livingston</t>
        </is>
      </c>
      <c r="H9" s="77" t="inlineStr">
        <is>
          <t>Termination</t>
        </is>
      </c>
      <c r="I9" s="77" t="inlineStr">
        <is>
          <t>Kasey Foster</t>
        </is>
      </c>
      <c r="J9" s="77" t="inlineStr">
        <is>
          <t>N/A</t>
        </is>
      </c>
      <c r="K9" s="77" t="inlineStr">
        <is>
          <t>DSP</t>
        </is>
      </c>
      <c r="L9" s="77" t="n"/>
      <c r="M9" s="102">
        <f>IFERROR(VLOOKUP(G9,Reference!$I$2:$J$175,2,FALSE()),"Operations")</f>
        <v/>
      </c>
      <c r="N9" s="6" t="n"/>
      <c r="O9" s="6" t="n"/>
    </row>
    <row r="10" ht="15" customHeight="1">
      <c r="A10" s="80" t="inlineStr">
        <is>
          <t>Elizabeth Hawkins</t>
        </is>
      </c>
      <c r="B10" s="112" t="n">
        <v>46037</v>
      </c>
      <c r="C10" s="112" t="n">
        <v>42660</v>
      </c>
      <c r="D10" s="80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  <v/>
      </c>
      <c r="E10" s="80" t="inlineStr">
        <is>
          <t>Yes</t>
        </is>
      </c>
      <c r="F10" s="80" t="inlineStr">
        <is>
          <t>D</t>
        </is>
      </c>
      <c r="G10" s="80" t="inlineStr">
        <is>
          <t>Quality Assurance</t>
        </is>
      </c>
      <c r="H10" s="80" t="inlineStr">
        <is>
          <t>Better Opportunity</t>
        </is>
      </c>
      <c r="I10" s="80" t="inlineStr">
        <is>
          <t>Kristen Otto</t>
        </is>
      </c>
      <c r="J10" s="112" t="n">
        <v>46037</v>
      </c>
      <c r="K10" s="80" t="inlineStr">
        <is>
          <t>QA</t>
        </is>
      </c>
      <c r="L10" s="80" t="n"/>
      <c r="M10" s="105">
        <f>IFERROR(VLOOKUP(G10,Reference!$I$2:$J$175,2,FALSE()),"Operations")</f>
        <v/>
      </c>
      <c r="N10" s="6" t="n"/>
      <c r="O10" s="6" t="n"/>
    </row>
    <row r="11" ht="15" customHeight="1">
      <c r="A11" s="77" t="inlineStr">
        <is>
          <t>Michaela Smith</t>
        </is>
      </c>
      <c r="B11" s="111" t="n">
        <v>46038</v>
      </c>
      <c r="C11" s="111" t="n">
        <v>45054</v>
      </c>
      <c r="D11" s="77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  <v/>
      </c>
      <c r="E11" s="77" t="inlineStr">
        <is>
          <t>Yes</t>
        </is>
      </c>
      <c r="F11" s="77" t="inlineStr">
        <is>
          <t>D</t>
        </is>
      </c>
      <c r="G11" s="77" t="inlineStr">
        <is>
          <t>Hamiltons</t>
        </is>
      </c>
      <c r="H11" s="77" t="inlineStr">
        <is>
          <t>Personal Reasons</t>
        </is>
      </c>
      <c r="I11" s="77" t="inlineStr">
        <is>
          <t>Catie Robinson</t>
        </is>
      </c>
      <c r="J11" s="111" t="n">
        <v>46039</v>
      </c>
      <c r="K11" s="77" t="inlineStr">
        <is>
          <t>HM</t>
        </is>
      </c>
      <c r="L11" s="77" t="n"/>
      <c r="M11" s="102">
        <f>IFERROR(VLOOKUP(G11,Reference!$I$2:$J$175,2,FALSE()),"Operations")</f>
        <v/>
      </c>
      <c r="N11" s="6" t="n"/>
      <c r="O11" s="6" t="n"/>
    </row>
    <row r="12" ht="15" customHeight="1">
      <c r="A12" s="80" t="inlineStr">
        <is>
          <t>Beverly Hines</t>
        </is>
      </c>
      <c r="B12" s="112" t="n">
        <v>46038</v>
      </c>
      <c r="C12" s="112" t="n">
        <v>44369</v>
      </c>
      <c r="D12" s="80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  <v/>
      </c>
      <c r="E12" s="80" t="inlineStr">
        <is>
          <t>No</t>
        </is>
      </c>
      <c r="F12" s="80" t="inlineStr">
        <is>
          <t>U</t>
        </is>
      </c>
      <c r="G12" s="80" t="inlineStr">
        <is>
          <t>Case Management</t>
        </is>
      </c>
      <c r="H12" s="80" t="inlineStr">
        <is>
          <t>Other</t>
        </is>
      </c>
      <c r="I12" s="80" t="inlineStr">
        <is>
          <t>Amanda Tackett</t>
        </is>
      </c>
      <c r="J12" s="80" t="inlineStr">
        <is>
          <t>No Response</t>
        </is>
      </c>
      <c r="K12" s="80" t="inlineStr">
        <is>
          <t>CM</t>
        </is>
      </c>
      <c r="L12" s="80" t="n"/>
      <c r="M12" s="105">
        <f>IFERROR(VLOOKUP(G12,Reference!$I$2:$J$175,2,FALSE()),"Operations")</f>
        <v/>
      </c>
      <c r="N12" s="6" t="n"/>
      <c r="O12" s="6" t="n"/>
    </row>
    <row r="13" ht="15" customHeight="1">
      <c r="A13" s="77" t="inlineStr">
        <is>
          <t>Michael Hurd</t>
        </is>
      </c>
      <c r="B13" s="111" t="n">
        <v>46044</v>
      </c>
      <c r="C13" s="111" t="n">
        <v>45404</v>
      </c>
      <c r="D13" s="77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  <v/>
      </c>
      <c r="E13" s="77" t="inlineStr">
        <is>
          <t>No</t>
        </is>
      </c>
      <c r="F13" s="77" t="inlineStr">
        <is>
          <t>U</t>
        </is>
      </c>
      <c r="G13" s="77" t="inlineStr">
        <is>
          <t>2292 Turnpike</t>
        </is>
      </c>
      <c r="H13" s="77" t="inlineStr">
        <is>
          <t>Other</t>
        </is>
      </c>
      <c r="I13" s="77" t="inlineStr">
        <is>
          <t>Sarah Allen</t>
        </is>
      </c>
      <c r="J13" s="77" t="inlineStr">
        <is>
          <t>N/A</t>
        </is>
      </c>
      <c r="K13" s="77" t="inlineStr">
        <is>
          <t>DSP</t>
        </is>
      </c>
      <c r="L13" s="77" t="n"/>
      <c r="M13" s="102">
        <f>IFERROR(VLOOKUP(G13,Reference!$I$2:$J$175,2,FALSE()),"Operations")</f>
        <v/>
      </c>
      <c r="N13" s="6" t="n"/>
      <c r="O13" s="6" t="n"/>
    </row>
    <row r="14" ht="15" customHeight="1">
      <c r="A14" s="80" t="inlineStr">
        <is>
          <t>Baylee Stewart</t>
        </is>
      </c>
      <c r="B14" s="112" t="n">
        <v>46044</v>
      </c>
      <c r="C14" s="112" t="n">
        <v>45958</v>
      </c>
      <c r="D14" s="80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  <v/>
      </c>
      <c r="E14" s="80" t="inlineStr">
        <is>
          <t>No</t>
        </is>
      </c>
      <c r="F14" s="80" t="inlineStr">
        <is>
          <t>U</t>
        </is>
      </c>
      <c r="G14" s="80" t="inlineStr">
        <is>
          <t>200 Latimer</t>
        </is>
      </c>
      <c r="H14" s="80" t="inlineStr">
        <is>
          <t>Termination</t>
        </is>
      </c>
      <c r="I14" s="80" t="inlineStr">
        <is>
          <t>Kasey Foster</t>
        </is>
      </c>
      <c r="J14" s="80" t="inlineStr">
        <is>
          <t>N/A</t>
        </is>
      </c>
      <c r="K14" s="80" t="inlineStr">
        <is>
          <t>DSP</t>
        </is>
      </c>
      <c r="L14" s="80" t="n"/>
      <c r="M14" s="105">
        <f>IFERROR(VLOOKUP(G14,Reference!$I$2:$J$175,2,FALSE()),"Operations")</f>
        <v/>
      </c>
      <c r="N14" s="6" t="n"/>
      <c r="O14" s="6" t="n"/>
    </row>
    <row r="15" ht="15" customHeight="1">
      <c r="A15" s="77" t="inlineStr">
        <is>
          <t>Craig Varner</t>
        </is>
      </c>
      <c r="B15" s="111" t="n">
        <v>46051</v>
      </c>
      <c r="C15" s="111" t="n">
        <v>45082</v>
      </c>
      <c r="D15" s="77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  <v/>
      </c>
      <c r="E15" s="77" t="inlineStr">
        <is>
          <t>No</t>
        </is>
      </c>
      <c r="F15" s="77" t="inlineStr">
        <is>
          <t>U</t>
        </is>
      </c>
      <c r="G15" s="77" t="inlineStr">
        <is>
          <t>122 E. Newkirk Lane</t>
        </is>
      </c>
      <c r="H15" s="77" t="inlineStr">
        <is>
          <t>Personal Reasons</t>
        </is>
      </c>
      <c r="I15" s="77" t="inlineStr">
        <is>
          <t>Kaelyn Sibley</t>
        </is>
      </c>
      <c r="J15" s="77" t="inlineStr">
        <is>
          <t>N/A</t>
        </is>
      </c>
      <c r="K15" s="77" t="inlineStr">
        <is>
          <t>DSP</t>
        </is>
      </c>
      <c r="L15" s="77" t="n"/>
      <c r="M15" s="102">
        <f>IFERROR(VLOOKUP(G15,Reference!$I$2:$J$175,2,FALSE()),"Operations")</f>
        <v/>
      </c>
      <c r="N15" s="6" t="n"/>
      <c r="O15" s="6" t="n"/>
    </row>
    <row r="16" ht="15" customHeight="1">
      <c r="A16" s="80" t="inlineStr">
        <is>
          <t>Aaron McCarty</t>
        </is>
      </c>
      <c r="B16" s="112" t="n">
        <v>46051</v>
      </c>
      <c r="C16" s="112" t="n">
        <v>46036</v>
      </c>
      <c r="D16" s="80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  <v/>
      </c>
      <c r="E16" s="80" t="inlineStr">
        <is>
          <t>No</t>
        </is>
      </c>
      <c r="F16" s="80" t="inlineStr">
        <is>
          <t>U</t>
        </is>
      </c>
      <c r="G16" s="80" t="inlineStr">
        <is>
          <t>Residential Services</t>
        </is>
      </c>
      <c r="H16" s="80" t="inlineStr">
        <is>
          <t>Attendance Issues</t>
        </is>
      </c>
      <c r="I16" s="80" t="inlineStr">
        <is>
          <t>Sheri McMahan</t>
        </is>
      </c>
      <c r="J16" s="80" t="inlineStr">
        <is>
          <t>N/A</t>
        </is>
      </c>
      <c r="K16" s="80" t="inlineStr">
        <is>
          <t>DSP</t>
        </is>
      </c>
      <c r="L16" s="80" t="n"/>
      <c r="M16" s="105">
        <f>IFERROR(VLOOKUP(G16,Reference!$I$2:$J$175,2,FALSE()),"Operations")</f>
        <v/>
      </c>
      <c r="N16" s="6" t="n"/>
      <c r="O16" s="6" t="n"/>
    </row>
    <row r="17" ht="15" customHeight="1">
      <c r="A17" s="103" t="n"/>
      <c r="B17" s="104" t="n"/>
      <c r="C17" s="104" t="n"/>
      <c r="D17" s="103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  <v/>
      </c>
      <c r="E17" s="103" t="n"/>
      <c r="F17" s="103" t="n"/>
      <c r="G17" s="103" t="n"/>
      <c r="H17" s="103" t="n"/>
      <c r="I17" s="103" t="n"/>
      <c r="J17" s="104" t="n"/>
      <c r="K17" s="103" t="n"/>
      <c r="L17" s="103" t="n"/>
      <c r="M17" s="105">
        <f>IFERROR(VLOOKUP(G17,Reference!$I$2:$J$175,2,FALSE()),"Operations")</f>
        <v/>
      </c>
      <c r="N17" s="6" t="n"/>
      <c r="O17" s="6" t="n"/>
    </row>
    <row r="18" ht="15" customHeight="1">
      <c r="A18" s="106" t="n"/>
      <c r="B18" s="107" t="n"/>
      <c r="C18" s="108" t="n"/>
      <c r="D18" s="108">
        <f>IF(OR(B18="",C18=""),"",IF(DATEDIF(C18,B18,"y")&gt;=1,DATEDIF(C18,B18,"y")&amp;IF(DATEDIF(C18,B18,"y")=1," year "," years ")&amp;DATEDIF(C18,B18,"ym")&amp;IF(DATEDIF(C18,B18,"ym")=1," month"," months"),IF(DATEDIF(C18,B18,"m")&gt;=1,DATEDIF(C18,B18,"m")&amp;IF(DATEDIF(C18,B18,"m")=1," month"," months"),DATEDIF(C18,B18,"d")&amp;IF(DATEDIF(C18,B18,"d")=1," day"," days"))))</f>
        <v/>
      </c>
      <c r="E18" s="108" t="n"/>
      <c r="F18" s="108" t="n"/>
      <c r="G18" s="108" t="n"/>
      <c r="H18" s="108" t="n"/>
      <c r="I18" s="108" t="n"/>
      <c r="J18" s="108" t="n"/>
      <c r="K18" s="108" t="n"/>
      <c r="L18" s="108" t="n"/>
      <c r="M18" s="108">
        <f>IFERROR(VLOOKUP(G18,Reference!$I$2:$J$175,2,FALSE()),"Operations")</f>
        <v/>
      </c>
      <c r="N18" s="6" t="n"/>
      <c r="O18" s="6" t="n"/>
    </row>
    <row r="19" ht="6" customHeight="1">
      <c r="A19" s="6" t="n"/>
      <c r="B19" s="6" t="n"/>
      <c r="C19" s="6" t="n"/>
      <c r="D19" s="6">
        <f>IF(OR(B19="",C19=""),"",IF(DATEDIF(C19,B19,"y")&gt;=1,DATEDIF(C19,B19,"y")&amp;IF(DATEDIF(C19,B19,"y")=1," year "," years ")&amp;DATEDIF(C19,B19,"ym")&amp;IF(DATEDIF(C19,B19,"ym")=1," month"," months"),IF(DATEDIF(C19,B19,"m")&gt;=1,DATEDIF(C19,B19,"m")&amp;IF(DATEDIF(C19,B19,"m")=1," month"," months"),DATEDIF(C19,B19,"d")&amp;IF(DATEDIF(C19,B19,"d")=1," day"," days"))))</f>
        <v/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>
        <f>IFERROR(VLOOKUP(G19,Reference!$I$2:$J$175,2,FALSE()),"Operations")</f>
        <v/>
      </c>
      <c r="N19" s="6" t="n"/>
      <c r="O19" s="6" t="n"/>
    </row>
    <row r="20" ht="21.75" customHeight="1">
      <c r="A20" s="163" t="n"/>
      <c r="D20">
        <f>IF(OR(B20="",C20=""),"",IF(DATEDIF(C20,B20,"y")&gt;=1,DATEDIF(C20,B20,"y")&amp;IF(DATEDIF(C20,B20,"y")=1," year "," years ")&amp;DATEDIF(C20,B20,"ym")&amp;IF(DATEDIF(C20,B20,"ym")=1," month"," months"),IF(DATEDIF(C20,B20,"m")&gt;=1,DATEDIF(C20,B20,"m")&amp;IF(DATEDIF(C20,B20,"m")=1," month"," months"),DATEDIF(C20,B20,"d")&amp;IF(DATEDIF(C20,B20,"d")=1," day"," days"))))</f>
        <v/>
      </c>
      <c r="M20">
        <f>IFERROR(VLOOKUP(G20,Reference!$I$2:$J$175,2,FALSE()),"Operations")</f>
        <v/>
      </c>
      <c r="N20" s="6" t="n"/>
      <c r="O20" s="6" t="n"/>
    </row>
    <row r="21" ht="19.5" customHeight="1">
      <c r="A21" s="64" t="n"/>
      <c r="B21" s="64" t="n"/>
      <c r="C21" s="64" t="n"/>
      <c r="D21" s="64">
        <f>IF(OR(B21="",C21=""),"",IF(DATEDIF(C21,B21,"y")&gt;=1,DATEDIF(C21,B21,"y")&amp;IF(DATEDIF(C21,B21,"y")=1," year "," years ")&amp;DATEDIF(C21,B21,"ym")&amp;IF(DATEDIF(C21,B21,"ym")=1," month"," months"),IF(DATEDIF(C21,B21,"m")&gt;=1,DATEDIF(C21,B21,"m")&amp;IF(DATEDIF(C21,B21,"m")=1," month"," months"),DATEDIF(C21,B21,"d")&amp;IF(DATEDIF(C21,B21,"d")=1," day"," days"))))</f>
        <v/>
      </c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>
        <f>IFERROR(VLOOKUP(G21,Reference!$I$2:$J$175,2,FALSE()),"Operations")</f>
        <v/>
      </c>
      <c r="N21" s="6" t="n"/>
      <c r="O21" s="6" t="n"/>
    </row>
    <row r="22" ht="15" customHeight="1">
      <c r="A22" s="77" t="n"/>
      <c r="B22" s="111" t="n"/>
      <c r="C22" s="111" t="n"/>
      <c r="D22" s="77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/>
      </c>
      <c r="E22" s="77" t="n"/>
      <c r="F22" s="77" t="n"/>
      <c r="G22" s="77" t="n"/>
      <c r="H22" s="77" t="n"/>
      <c r="I22" s="77" t="n"/>
      <c r="J22" s="77" t="n"/>
      <c r="K22" s="77" t="n"/>
      <c r="L22" s="77" t="n"/>
      <c r="M22" s="102">
        <f>IFERROR(VLOOKUP(G22,Reference!$I$2:$J$175,2,FALSE()),"Operations")</f>
        <v/>
      </c>
      <c r="N22" s="6" t="n"/>
      <c r="O22" s="6" t="n"/>
    </row>
    <row r="23" ht="15" customHeight="1">
      <c r="A23" s="80" t="n"/>
      <c r="B23" s="112" t="n"/>
      <c r="C23" s="112" t="n"/>
      <c r="D23" s="8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  <v/>
      </c>
      <c r="E23" s="80" t="n"/>
      <c r="F23" s="80" t="n"/>
      <c r="G23" s="80" t="n"/>
      <c r="H23" s="80" t="n"/>
      <c r="I23" s="80" t="n"/>
      <c r="J23" s="80" t="n"/>
      <c r="K23" s="80" t="n"/>
      <c r="L23" s="80" t="n"/>
      <c r="M23" s="105">
        <f>IFERROR(VLOOKUP(G23,Reference!$I$2:$J$175,2,FALSE()),"Operations")</f>
        <v/>
      </c>
      <c r="N23" s="6" t="n"/>
      <c r="O23" s="6" t="n"/>
    </row>
    <row r="24" ht="15" customHeight="1">
      <c r="A24" s="77" t="n"/>
      <c r="B24" s="111" t="n"/>
      <c r="C24" s="111" t="n"/>
      <c r="D24" s="77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  <v/>
      </c>
      <c r="E24" s="77" t="n"/>
      <c r="F24" s="77" t="n"/>
      <c r="G24" s="77" t="n"/>
      <c r="H24" s="77" t="n"/>
      <c r="I24" s="77" t="n"/>
      <c r="J24" s="77" t="n"/>
      <c r="K24" s="77" t="n"/>
      <c r="L24" s="77" t="n"/>
      <c r="M24" s="102">
        <f>IFERROR(VLOOKUP(G24,Reference!$I$2:$J$175,2,FALSE()),"Operations")</f>
        <v/>
      </c>
      <c r="N24" s="6" t="n"/>
      <c r="O24" s="6" t="n"/>
    </row>
    <row r="25" ht="15" customHeight="1">
      <c r="A25" s="80" t="n"/>
      <c r="B25" s="112" t="n"/>
      <c r="C25" s="112" t="n"/>
      <c r="D25" s="8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  <v/>
      </c>
      <c r="E25" s="80" t="n"/>
      <c r="F25" s="80" t="n"/>
      <c r="G25" s="80" t="n"/>
      <c r="H25" s="80" t="n"/>
      <c r="I25" s="80" t="n"/>
      <c r="J25" s="80" t="n"/>
      <c r="K25" s="80" t="n"/>
      <c r="L25" s="80" t="n"/>
      <c r="M25" s="105">
        <f>IFERROR(VLOOKUP(G25,Reference!$I$2:$J$175,2,FALSE()),"Operations")</f>
        <v/>
      </c>
      <c r="N25" s="6" t="n"/>
      <c r="O25" s="6" t="n"/>
    </row>
    <row r="26" ht="15" customHeight="1">
      <c r="A26" s="77" t="n"/>
      <c r="B26" s="111" t="n"/>
      <c r="C26" s="111" t="n"/>
      <c r="D26" s="77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  <v/>
      </c>
      <c r="E26" s="77" t="n"/>
      <c r="F26" s="77" t="n"/>
      <c r="G26" s="77" t="n"/>
      <c r="H26" s="77" t="n"/>
      <c r="I26" s="77" t="n"/>
      <c r="J26" s="77" t="n"/>
      <c r="K26" s="77" t="n"/>
      <c r="L26" s="77" t="n"/>
      <c r="M26" s="102">
        <f>IFERROR(VLOOKUP(G26,Reference!$I$2:$J$175,2,FALSE()),"Operations")</f>
        <v/>
      </c>
      <c r="N26" s="6" t="n"/>
      <c r="O26" s="6" t="n"/>
    </row>
    <row r="27" ht="15" customHeight="1">
      <c r="A27" s="80" t="n"/>
      <c r="B27" s="112" t="n"/>
      <c r="C27" s="112" t="n"/>
      <c r="D27" s="8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  <v/>
      </c>
      <c r="E27" s="80" t="n"/>
      <c r="F27" s="80" t="n"/>
      <c r="G27" s="80" t="n"/>
      <c r="H27" s="80" t="n"/>
      <c r="I27" s="80" t="n"/>
      <c r="J27" s="80" t="n"/>
      <c r="K27" s="80" t="n"/>
      <c r="L27" s="80" t="n"/>
      <c r="M27" s="105">
        <f>IFERROR(VLOOKUP(G27,Reference!$I$2:$J$175,2,FALSE()),"Operations")</f>
        <v/>
      </c>
      <c r="N27" s="6" t="n"/>
      <c r="O27" s="6" t="n"/>
    </row>
    <row r="28" ht="15" customHeight="1">
      <c r="A28" s="77" t="n"/>
      <c r="B28" s="111" t="n"/>
      <c r="C28" s="111" t="n"/>
      <c r="D28" s="77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  <v/>
      </c>
      <c r="E28" s="77" t="n"/>
      <c r="F28" s="77" t="n"/>
      <c r="G28" s="77" t="n"/>
      <c r="H28" s="77" t="n"/>
      <c r="I28" s="77" t="n"/>
      <c r="J28" s="77" t="n"/>
      <c r="K28" s="77" t="n"/>
      <c r="L28" s="77" t="n"/>
      <c r="M28" s="102">
        <f>IFERROR(VLOOKUP(G28,Reference!$I$2:$J$175,2,FALSE()),"Operations")</f>
        <v/>
      </c>
      <c r="N28" s="6" t="n"/>
      <c r="O28" s="6" t="n"/>
    </row>
    <row r="29" ht="15" customHeight="1">
      <c r="A29" s="80" t="n"/>
      <c r="B29" s="112" t="n"/>
      <c r="C29" s="112" t="n"/>
      <c r="D29" s="8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  <v/>
      </c>
      <c r="E29" s="80" t="n"/>
      <c r="F29" s="80" t="n"/>
      <c r="G29" s="80" t="n"/>
      <c r="H29" s="80" t="n"/>
      <c r="I29" s="80" t="n"/>
      <c r="J29" s="80" t="n"/>
      <c r="K29" s="80" t="n"/>
      <c r="L29" s="80" t="n"/>
      <c r="M29" s="105">
        <f>IFERROR(VLOOKUP(G29,Reference!$I$2:$J$175,2,FALSE()),"Operations")</f>
        <v/>
      </c>
      <c r="N29" s="6" t="n"/>
      <c r="O29" s="6" t="n"/>
    </row>
    <row r="30" ht="15" customHeight="1">
      <c r="A30" s="77" t="n"/>
      <c r="B30" s="111" t="n"/>
      <c r="C30" s="111" t="n"/>
      <c r="D30" s="77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  <v/>
      </c>
      <c r="E30" s="77" t="n"/>
      <c r="F30" s="77" t="n"/>
      <c r="G30" s="77" t="n"/>
      <c r="H30" s="77" t="n"/>
      <c r="I30" s="77" t="n"/>
      <c r="J30" s="77" t="n"/>
      <c r="K30" s="77" t="n"/>
      <c r="L30" s="77" t="n"/>
      <c r="M30" s="102">
        <f>IFERROR(VLOOKUP(G30,Reference!$I$2:$J$175,2,FALSE()),"Operations")</f>
        <v/>
      </c>
      <c r="N30" s="6" t="n"/>
      <c r="O30" s="6" t="n"/>
    </row>
    <row r="31" ht="15" customHeight="1">
      <c r="A31" s="80" t="n"/>
      <c r="B31" s="112" t="n"/>
      <c r="C31" s="112" t="n"/>
      <c r="D31" s="8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  <v/>
      </c>
      <c r="E31" s="80" t="n"/>
      <c r="F31" s="80" t="n"/>
      <c r="G31" s="80" t="n"/>
      <c r="H31" s="80" t="n"/>
      <c r="I31" s="80" t="n"/>
      <c r="J31" s="80" t="n"/>
      <c r="K31" s="80" t="n"/>
      <c r="L31" s="80" t="n"/>
      <c r="M31" s="105">
        <f>IFERROR(VLOOKUP(G31,Reference!$I$2:$J$175,2,FALSE()),"Operations")</f>
        <v/>
      </c>
      <c r="N31" s="6" t="n"/>
      <c r="O31" s="6" t="n"/>
    </row>
    <row r="32" ht="15" customHeight="1">
      <c r="A32" s="103" t="n"/>
      <c r="B32" s="104" t="n"/>
      <c r="C32" s="104" t="n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  <v/>
      </c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  <c r="N32" s="6" t="n"/>
      <c r="O32" s="6" t="n"/>
    </row>
    <row r="33" ht="15" customHeight="1">
      <c r="A33" s="106" t="n"/>
      <c r="B33" s="107" t="n"/>
      <c r="C33" s="108" t="n"/>
      <c r="D33" s="108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  <v/>
      </c>
      <c r="E33" s="108" t="n"/>
      <c r="F33" s="108" t="n"/>
      <c r="G33" s="108" t="n"/>
      <c r="H33" s="108" t="n"/>
      <c r="I33" s="108" t="n"/>
      <c r="J33" s="108" t="n"/>
      <c r="K33" s="108" t="n"/>
      <c r="L33" s="108" t="n"/>
      <c r="M33" s="108">
        <f>IFERROR(VLOOKUP(G33,Reference!$I$2:$J$175,2,FALSE()),"Operations")</f>
        <v/>
      </c>
      <c r="N33" s="6" t="n"/>
      <c r="O33" s="6" t="n"/>
    </row>
    <row r="34" ht="6" customHeight="1">
      <c r="A34" s="6" t="n"/>
      <c r="B34" s="6" t="n"/>
      <c r="C34" s="6" t="n"/>
      <c r="D34" s="6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  <v/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IFERROR(VLOOKUP(G34,Reference!$I$2:$J$175,2,FALSE()),"Operations")</f>
        <v/>
      </c>
      <c r="N34" s="6" t="n"/>
      <c r="O34" s="6" t="n"/>
    </row>
    <row r="35" ht="21.75" customHeight="1">
      <c r="A35" s="163" t="n"/>
      <c r="D35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  <v/>
      </c>
      <c r="M35">
        <f>IFERROR(VLOOKUP(G35,Reference!$I$2:$J$175,2,FALSE()),"Operations")</f>
        <v/>
      </c>
      <c r="N35" s="6" t="n"/>
      <c r="O35" s="6" t="n"/>
    </row>
    <row r="36" ht="19.5" customHeight="1">
      <c r="A36" s="113" t="n"/>
      <c r="B36" s="114" t="n"/>
      <c r="C36" s="114" t="n"/>
      <c r="D36" s="114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  <v/>
      </c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5">
        <f>IFERROR(VLOOKUP(G36,Reference!$I$2:$J$175,2,FALSE()),"Operations")</f>
        <v/>
      </c>
      <c r="N36" s="6" t="n"/>
      <c r="O36" s="6" t="n"/>
    </row>
    <row r="37" ht="15" customHeight="1">
      <c r="A37" s="116" t="n"/>
      <c r="B37" s="112" t="n"/>
      <c r="C37" s="112" t="n"/>
      <c r="D37" s="8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/>
      </c>
      <c r="E37" s="80" t="n"/>
      <c r="F37" s="80" t="n"/>
      <c r="G37" s="80" t="n"/>
      <c r="H37" s="80" t="n"/>
      <c r="I37" s="80" t="n"/>
      <c r="J37" s="80" t="n"/>
      <c r="K37" s="80" t="n"/>
      <c r="L37" s="80" t="n"/>
      <c r="M37" s="117">
        <f>IFERROR(VLOOKUP(G37,Reference!$I$2:$J$175,2,FALSE()),"Operations")</f>
        <v/>
      </c>
      <c r="N37" s="6" t="n"/>
      <c r="O37" s="6" t="n"/>
    </row>
    <row r="38" ht="15" customHeight="1">
      <c r="A38" s="118" t="n"/>
      <c r="B38" s="111" t="n"/>
      <c r="C38" s="111" t="n"/>
      <c r="D38" s="77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/>
      </c>
      <c r="E38" s="77" t="n"/>
      <c r="F38" s="77" t="n"/>
      <c r="G38" s="77" t="n"/>
      <c r="H38" s="77" t="n"/>
      <c r="I38" s="77" t="n"/>
      <c r="J38" s="77" t="n"/>
      <c r="K38" s="77" t="n"/>
      <c r="L38" s="77" t="n"/>
      <c r="M38" s="119">
        <f>IFERROR(VLOOKUP(G38,Reference!$I$2:$J$175,2,FALSE()),"Operations")</f>
        <v/>
      </c>
      <c r="N38" s="6" t="n"/>
      <c r="O38" s="6" t="n"/>
    </row>
    <row r="39" ht="15" customHeight="1">
      <c r="A39" s="116" t="inlineStr">
        <is>
          <t>SUBTOTAL:</t>
        </is>
      </c>
      <c r="B39" s="112">
        <f>COUNTA(A9:A38)</f>
        <v/>
      </c>
      <c r="C39" s="112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117" t="n"/>
      <c r="N39" s="6" t="n"/>
      <c r="O39" s="6" t="n"/>
    </row>
    <row r="40" ht="15" customHeight="1">
      <c r="A40" s="118" t="n"/>
      <c r="B40" s="111" t="n"/>
      <c r="C40" s="111" t="n"/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119" t="n"/>
      <c r="N40" s="6" t="n"/>
      <c r="O40" s="6" t="n"/>
    </row>
    <row r="41" ht="15" customHeight="1">
      <c r="A41" s="118" t="inlineStr">
        <is>
          <t>FEBRUARY 2026</t>
        </is>
      </c>
      <c r="B41" s="170" t="n"/>
      <c r="C41" s="170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0" t="n"/>
      <c r="M41" s="171" t="n"/>
      <c r="N41" s="6" t="n"/>
      <c r="O41" s="6" t="n"/>
    </row>
    <row r="42" ht="15" customHeight="1">
      <c r="A42" s="116" t="inlineStr">
        <is>
          <t>Name</t>
        </is>
      </c>
      <c r="B42" s="112" t="inlineStr">
        <is>
          <t>Date of Separation</t>
        </is>
      </c>
      <c r="C42" s="112" t="inlineStr">
        <is>
          <t>DOH</t>
        </is>
      </c>
      <c r="D42" s="80" t="inlineStr">
        <is>
          <t>Length of Service</t>
        </is>
      </c>
      <c r="E42" s="80" t="inlineStr">
        <is>
          <t>Eligible for Rehire</t>
        </is>
      </c>
      <c r="F42" s="80" t="inlineStr">
        <is>
          <t>Status</t>
        </is>
      </c>
      <c r="G42" s="80" t="inlineStr">
        <is>
          <t>Location</t>
        </is>
      </c>
      <c r="H42" s="80" t="inlineStr">
        <is>
          <t>Reason for Leaving</t>
        </is>
      </c>
      <c r="I42" s="80" t="inlineStr">
        <is>
          <t>Supervisor</t>
        </is>
      </c>
      <c r="J42" s="80" t="inlineStr">
        <is>
          <t>Exit Interview Date</t>
        </is>
      </c>
      <c r="K42" s="80" t="inlineStr">
        <is>
          <t>Job</t>
        </is>
      </c>
      <c r="L42" s="80" t="inlineStr">
        <is>
          <t>Comments</t>
        </is>
      </c>
      <c r="M42" s="117" t="inlineStr">
        <is>
          <t>Department</t>
        </is>
      </c>
      <c r="N42" s="6" t="inlineStr">
        <is>
          <t>Synced To Hub</t>
        </is>
      </c>
      <c r="O42" s="6" t="inlineStr">
        <is>
          <t>Do Not Sync</t>
        </is>
      </c>
    </row>
    <row r="43" ht="15" customHeight="1">
      <c r="A43" s="116" t="inlineStr">
        <is>
          <t>TaKeiah Biddix</t>
        </is>
      </c>
      <c r="B43" s="112" t="n">
        <v>46061</v>
      </c>
      <c r="C43" s="112" t="n">
        <v>45918</v>
      </c>
      <c r="D43" s="8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  <v/>
      </c>
      <c r="E43" s="80" t="inlineStr">
        <is>
          <t>No</t>
        </is>
      </c>
      <c r="F43" s="80" t="inlineStr">
        <is>
          <t>D</t>
        </is>
      </c>
      <c r="G43" s="80" t="inlineStr">
        <is>
          <t>119 Lawton Rd</t>
        </is>
      </c>
      <c r="H43" s="80" t="inlineStr">
        <is>
          <t>Job Abandonment</t>
        </is>
      </c>
      <c r="I43" s="80" t="inlineStr">
        <is>
          <t>Braylea Wright</t>
        </is>
      </c>
      <c r="J43" s="80" t="inlineStr">
        <is>
          <t>N/A</t>
        </is>
      </c>
      <c r="K43" s="80" t="inlineStr">
        <is>
          <t>DSP</t>
        </is>
      </c>
      <c r="L43" s="80" t="n"/>
      <c r="M43" s="117">
        <f>IFERROR(VLOOKUP(G43,Reference!$I$2:$J$175,2,FALSE()),"Operations")</f>
        <v/>
      </c>
      <c r="N43" s="6" t="n"/>
      <c r="O43" s="6" t="n"/>
    </row>
    <row r="44" ht="15" customHeight="1">
      <c r="A44" s="118" t="inlineStr">
        <is>
          <t>Ryta Manning</t>
        </is>
      </c>
      <c r="B44" s="111" t="n">
        <v>46056</v>
      </c>
      <c r="C44" s="111" t="n">
        <v>45967</v>
      </c>
      <c r="D44" s="77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  <v/>
      </c>
      <c r="E44" s="77" t="inlineStr">
        <is>
          <t>Yes</t>
        </is>
      </c>
      <c r="F44" s="77" t="inlineStr">
        <is>
          <t>U</t>
        </is>
      </c>
      <c r="G44" s="77" t="inlineStr">
        <is>
          <t>107 Ulena Lane</t>
        </is>
      </c>
      <c r="H44" s="77" t="inlineStr">
        <is>
          <t>Personal Reasons</t>
        </is>
      </c>
      <c r="I44" s="166" t="inlineStr">
        <is>
          <t>Patreese Poore</t>
        </is>
      </c>
      <c r="J44" s="77" t="inlineStr">
        <is>
          <t>N/A</t>
        </is>
      </c>
      <c r="K44" s="77" t="inlineStr">
        <is>
          <t>DSP</t>
        </is>
      </c>
      <c r="L44" s="77" t="n"/>
      <c r="M44" s="119">
        <f>IFERROR(VLOOKUP(G44,Reference!$I$2:$J$175,2,FALSE()),"Operations")</f>
        <v/>
      </c>
      <c r="N44" s="6" t="n"/>
      <c r="O44" s="6" t="n"/>
    </row>
    <row r="45" ht="15" customHeight="1">
      <c r="A45" s="116" t="inlineStr">
        <is>
          <t>Kaelyn Sibley</t>
        </is>
      </c>
      <c r="B45" s="112" t="n">
        <v>46081</v>
      </c>
      <c r="C45" s="112" t="n">
        <v>45183</v>
      </c>
      <c r="D45" s="8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  <v/>
      </c>
      <c r="E45" s="80" t="inlineStr">
        <is>
          <t>Yes - Turned in Notice - Not Eligible for rehire</t>
        </is>
      </c>
      <c r="F45" s="80" t="inlineStr">
        <is>
          <t>D</t>
        </is>
      </c>
      <c r="G45" s="80" t="inlineStr">
        <is>
          <t>429 W Outer Dr</t>
        </is>
      </c>
      <c r="H45" s="166" t="inlineStr">
        <is>
          <t>Better Opportunity</t>
        </is>
      </c>
      <c r="I45" s="80" t="inlineStr">
        <is>
          <t>Katlynn Frerichs</t>
        </is>
      </c>
      <c r="J45" s="80" t="inlineStr">
        <is>
          <t>TBD</t>
        </is>
      </c>
      <c r="K45" s="80" t="inlineStr">
        <is>
          <t>DSP</t>
        </is>
      </c>
      <c r="L45" s="80" t="n"/>
      <c r="M45" s="117">
        <f>IFERROR(VLOOKUP(G45,Reference!$I$2:$J$175,2,FALSE()),"Operations")</f>
        <v/>
      </c>
      <c r="N45" s="6" t="n"/>
      <c r="O45" s="6" t="n"/>
    </row>
    <row r="46" ht="15" customHeight="1">
      <c r="A46" s="120" t="inlineStr">
        <is>
          <t>Robert Price</t>
        </is>
      </c>
      <c r="B46" s="121" t="n">
        <v>46081</v>
      </c>
      <c r="C46" s="121" t="n">
        <v>45203</v>
      </c>
      <c r="D46" s="122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  <v/>
      </c>
      <c r="E46" s="167" t="inlineStr">
        <is>
          <t>Yes</t>
        </is>
      </c>
      <c r="F46" s="122" t="inlineStr">
        <is>
          <t>U</t>
        </is>
      </c>
      <c r="G46" s="122" t="inlineStr">
        <is>
          <t>131 Atlanta</t>
        </is>
      </c>
      <c r="H46" s="122" t="inlineStr">
        <is>
          <t>Better Opportunity</t>
        </is>
      </c>
      <c r="I46" s="122" t="inlineStr">
        <is>
          <t>Esther Olatoye</t>
        </is>
      </c>
      <c r="J46" s="122" t="inlineStr">
        <is>
          <t>TBD</t>
        </is>
      </c>
      <c r="K46" s="122" t="inlineStr">
        <is>
          <t>DSP</t>
        </is>
      </c>
      <c r="L46" s="122" t="n"/>
      <c r="M46" s="123">
        <f>IFERROR(VLOOKUP(G46,Reference!$I$2:$J$175,2,FALSE()),"Operations")</f>
        <v/>
      </c>
      <c r="N46" s="6" t="n"/>
      <c r="O46" s="6" t="n"/>
    </row>
    <row r="47" ht="15" customHeight="1">
      <c r="A47" s="124" t="inlineStr">
        <is>
          <t>Heather Lumpkin</t>
        </is>
      </c>
      <c r="B47" s="125" t="n">
        <v>46065</v>
      </c>
      <c r="C47" s="126" t="n">
        <v>41095</v>
      </c>
      <c r="D47" s="127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  <v/>
      </c>
      <c r="E47" s="127" t="inlineStr">
        <is>
          <t>No</t>
        </is>
      </c>
      <c r="F47" s="127" t="inlineStr">
        <is>
          <t>D</t>
        </is>
      </c>
      <c r="G47" s="127" t="inlineStr">
        <is>
          <t>2292 Turnpike</t>
        </is>
      </c>
      <c r="H47" s="127" t="inlineStr">
        <is>
          <t>Performance Issues</t>
        </is>
      </c>
      <c r="I47" s="127" t="inlineStr">
        <is>
          <t>Katie Jeffers</t>
        </is>
      </c>
      <c r="J47" s="128" t="inlineStr">
        <is>
          <t>N/A</t>
        </is>
      </c>
      <c r="K47" s="127" t="inlineStr">
        <is>
          <t>DSP</t>
        </is>
      </c>
      <c r="L47" s="127" t="n"/>
      <c r="M47" s="129">
        <f>IFERROR(VLOOKUP(G47,Reference!$I$2:$J$175,2,FALSE()),"Operations")</f>
        <v/>
      </c>
      <c r="N47" s="6" t="n"/>
      <c r="O47" s="6" t="n"/>
    </row>
    <row r="48" ht="15" customHeight="1">
      <c r="A48" s="130" t="inlineStr">
        <is>
          <t>Trinity West</t>
        </is>
      </c>
      <c r="B48" s="131" t="n">
        <v>46069</v>
      </c>
      <c r="C48" s="131" t="n">
        <v>45600</v>
      </c>
      <c r="D48" s="103">
        <f>IF(OR(B48="",C48=""),"",IF(DATEDIF(C48,B48,"y")&gt;=1,DATEDIF(C48,B48,"y")&amp;IF(DATEDIF(C48,B48,"y")=1," year "," years ")&amp;DATEDIF(C48,B48,"ym")&amp;IF(DATEDIF(C48,B48,"ym")=1," month"," months"),IF(DATEDIF(C48,B48,"m")&gt;=1,DATEDIF(C48,B48,"m")&amp;IF(DATEDIF(C48,B48,"m")=1," month"," months"),DATEDIF(C48,B48,"d")&amp;IF(DATEDIF(C48,B48,"d")=1," day"," days"))))</f>
        <v/>
      </c>
      <c r="E48" s="103" t="inlineStr">
        <is>
          <t>No</t>
        </is>
      </c>
      <c r="F48" s="103" t="inlineStr">
        <is>
          <t>U</t>
        </is>
      </c>
      <c r="G48" s="103" t="inlineStr">
        <is>
          <t>2290 Turnpike</t>
        </is>
      </c>
      <c r="H48" s="103" t="inlineStr">
        <is>
          <t>Resignation</t>
        </is>
      </c>
      <c r="I48" s="103" t="inlineStr">
        <is>
          <t>Katie Jeffers</t>
        </is>
      </c>
      <c r="J48" s="104" t="inlineStr">
        <is>
          <t>N/A</t>
        </is>
      </c>
      <c r="K48" s="103" t="inlineStr">
        <is>
          <t>DSP</t>
        </is>
      </c>
      <c r="L48" s="103" t="n"/>
      <c r="M48" s="105">
        <f>IFERROR(VLOOKUP(G48,Reference!$I$2:$J$175,2,FALSE()),"Operations")</f>
        <v/>
      </c>
      <c r="N48" s="6" t="n"/>
      <c r="O48" s="6" t="n"/>
    </row>
    <row r="49" ht="15" customHeight="1">
      <c r="A49" s="100" t="inlineStr">
        <is>
          <t>Braylea Wright</t>
        </is>
      </c>
      <c r="B49" s="101" t="n">
        <v>46079</v>
      </c>
      <c r="C49" s="101" t="n">
        <v>45152</v>
      </c>
      <c r="D49" s="100">
        <f>IF(OR(B49="",C49=""),"",IF(DATEDIF(C49,B49,"y")&gt;=1,DATEDIF(C49,B49,"y")&amp;IF(DATEDIF(C49,B49,"y")=1," year "," years ")&amp;DATEDIF(C49,B49,"ym")&amp;IF(DATEDIF(C49,B49,"ym")=1," month"," months"),IF(DATEDIF(C49,B49,"m")&gt;=1,DATEDIF(C49,B49,"m")&amp;IF(DATEDIF(C49,B49,"m")=1," month"," months"),DATEDIF(C49,B49,"d")&amp;IF(DATEDIF(C49,B49,"d")=1," day"," days"))))</f>
        <v/>
      </c>
      <c r="E49" s="100" t="inlineStr">
        <is>
          <t>No</t>
        </is>
      </c>
      <c r="F49" s="100" t="inlineStr">
        <is>
          <t>U</t>
        </is>
      </c>
      <c r="G49" s="100" t="inlineStr">
        <is>
          <t>2290 Turnpike</t>
        </is>
      </c>
      <c r="H49" s="100" t="inlineStr">
        <is>
          <t>Resignation</t>
        </is>
      </c>
      <c r="I49" s="100" t="inlineStr">
        <is>
          <t>Katie Jeffers</t>
        </is>
      </c>
      <c r="J49" s="101" t="inlineStr">
        <is>
          <t>N/A</t>
        </is>
      </c>
      <c r="K49" s="100" t="inlineStr">
        <is>
          <t>HM</t>
        </is>
      </c>
      <c r="L49" s="100" t="n"/>
      <c r="M49" s="102">
        <f>IFERROR(VLOOKUP(G49,Reference!$I$2:$J$175,2,FALSE()),"Operations")</f>
        <v/>
      </c>
      <c r="N49" s="6" t="n"/>
      <c r="O49" s="6" t="n"/>
    </row>
    <row r="50" ht="15" customHeight="1">
      <c r="A50" s="103" t="inlineStr">
        <is>
          <t>Bryan Taylor</t>
        </is>
      </c>
      <c r="B50" s="104" t="n">
        <v>46080</v>
      </c>
      <c r="C50" s="104" t="n">
        <v>44711</v>
      </c>
      <c r="D50" s="103">
        <f>IF(OR(B50="",C50=""),"",IF(DATEDIF(C50,B50,"y")&gt;=1,DATEDIF(C50,B50,"y")&amp;IF(DATEDIF(C50,B50,"y")=1," year "," years ")&amp;DATEDIF(C50,B50,"ym")&amp;IF(DATEDIF(C50,B50,"ym")=1," month"," months"),IF(DATEDIF(C50,B50,"m")&gt;=1,DATEDIF(C50,B50,"m")&amp;IF(DATEDIF(C50,B50,"m")=1," month"," months"),DATEDIF(C50,B50,"d")&amp;IF(DATEDIF(C50,B50,"d")=1," day"," days"))))</f>
        <v/>
      </c>
      <c r="E50" s="103" t="inlineStr">
        <is>
          <t>Yes</t>
        </is>
      </c>
      <c r="F50" s="103" t="inlineStr">
        <is>
          <t>U</t>
        </is>
      </c>
      <c r="G50" s="103" t="inlineStr">
        <is>
          <t>Finance</t>
        </is>
      </c>
      <c r="H50" s="103" t="inlineStr">
        <is>
          <t>Resignation</t>
        </is>
      </c>
      <c r="I50" s="103" t="inlineStr">
        <is>
          <t>Jennifer Enderson</t>
        </is>
      </c>
      <c r="J50" s="104" t="inlineStr">
        <is>
          <t>N/A</t>
        </is>
      </c>
      <c r="K50" s="103" t="inlineStr">
        <is>
          <t>VP</t>
        </is>
      </c>
      <c r="L50" s="103" t="n"/>
      <c r="M50" s="105">
        <f>IFERROR(VLOOKUP(G50,Reference!$I$2:$J$175,2,FALSE()),"Operations")</f>
        <v/>
      </c>
      <c r="N50" s="6" t="n"/>
      <c r="O50" s="6" t="n"/>
    </row>
    <row r="51" ht="15" customHeight="1">
      <c r="A51" s="106" t="inlineStr">
        <is>
          <t>Greta Fair</t>
        </is>
      </c>
      <c r="B51" s="174" t="n">
        <v>46079</v>
      </c>
      <c r="C51" s="175" t="n">
        <v>45761</v>
      </c>
      <c r="D51" s="108">
        <f>IF(OR(B51="",C51=""),"",IF(DATEDIF(C51,B51,"y")&gt;=1,DATEDIF(C51,B51,"y")&amp;IF(DATEDIF(C51,B51,"y")=1," year "," years ")&amp;DATEDIF(C51,B51,"ym")&amp;IF(DATEDIF(C51,B51,"ym")=1," month"," months"),IF(DATEDIF(C51,B51,"m")&gt;=1,DATEDIF(C51,B51,"m")&amp;IF(DATEDIF(C51,B51,"m")=1," month"," months"),DATEDIF(C51,B51,"d")&amp;IF(DATEDIF(C51,B51,"d")=1," day"," days"))))</f>
        <v/>
      </c>
      <c r="E51" s="108" t="inlineStr">
        <is>
          <t>No</t>
        </is>
      </c>
      <c r="F51" s="108" t="inlineStr">
        <is>
          <t>D</t>
        </is>
      </c>
      <c r="G51" s="108" t="inlineStr">
        <is>
          <t>Finance</t>
        </is>
      </c>
      <c r="H51" s="108" t="inlineStr">
        <is>
          <t>Termination</t>
        </is>
      </c>
      <c r="I51" s="108" t="inlineStr">
        <is>
          <t>Elyse Vanlandingham</t>
        </is>
      </c>
      <c r="J51" s="108" t="inlineStr">
        <is>
          <t>N/A</t>
        </is>
      </c>
      <c r="K51" s="108" t="inlineStr">
        <is>
          <t>Finance Clerk</t>
        </is>
      </c>
      <c r="L51" s="108" t="n"/>
      <c r="M51" s="108">
        <f>IFERROR(VLOOKUP(G51,Reference!$I$2:$J$175,2,FALSE()),"Operations")</f>
        <v/>
      </c>
      <c r="N51" s="6" t="n"/>
      <c r="O51" s="6" t="n"/>
    </row>
    <row r="52" ht="6" customHeight="1">
      <c r="A52" s="6" t="inlineStr">
        <is>
          <t>Amara Madtes</t>
        </is>
      </c>
      <c r="B52" s="176" t="n">
        <v>46080</v>
      </c>
      <c r="C52" s="176" t="n">
        <v>46062</v>
      </c>
      <c r="D52" s="6">
        <f>IF(OR(B52="",C52=""),"",IF(DATEDIF(C52,B52,"y")&gt;=1,DATEDIF(C52,B52,"y")&amp;IF(DATEDIF(C52,B52,"y")=1," year "," years ")&amp;DATEDIF(C52,B52,"ym")&amp;IF(DATEDIF(C52,B52,"ym")=1," month"," months"),IF(DATEDIF(C52,B52,"m")&gt;=1,DATEDIF(C52,B52,"m")&amp;IF(DATEDIF(C52,B52,"m")=1," month"," months"),DATEDIF(C52,B52,"d")&amp;IF(DATEDIF(C52,B52,"d")=1," day"," days"))))</f>
        <v/>
      </c>
      <c r="E52" s="6" t="inlineStr">
        <is>
          <t>No</t>
        </is>
      </c>
      <c r="F52" s="6" t="inlineStr">
        <is>
          <t>D</t>
        </is>
      </c>
      <c r="G52" s="6" t="inlineStr">
        <is>
          <t>Quality Assurance</t>
        </is>
      </c>
      <c r="H52" s="6" t="inlineStr">
        <is>
          <t>Termination</t>
        </is>
      </c>
      <c r="I52" s="6" t="inlineStr">
        <is>
          <t>Kristen Otto</t>
        </is>
      </c>
      <c r="J52" s="6" t="inlineStr">
        <is>
          <t>N/A</t>
        </is>
      </c>
      <c r="K52" s="6" t="inlineStr">
        <is>
          <t>Acreditation Specialist</t>
        </is>
      </c>
      <c r="L52" s="6" t="n"/>
      <c r="M52" s="6">
        <f>IFERROR(VLOOKUP(G52,Reference!$I$2:$J$175,2,FALSE()),"Operations")</f>
        <v/>
      </c>
      <c r="N52" s="6" t="n"/>
      <c r="O52" s="6" t="n"/>
    </row>
    <row r="53" ht="21.75" customHeight="1">
      <c r="A53" s="163" t="n"/>
      <c r="D53">
        <f>IF(OR(B53="",C53=""),"",IF(DATEDIF(C53,B53,"y")&gt;=1,DATEDIF(C53,B53,"y")&amp;IF(DATEDIF(C53,B53,"y")=1," year "," years ")&amp;DATEDIF(C53,B53,"ym")&amp;IF(DATEDIF(C53,B53,"ym")=1," month"," months"),IF(DATEDIF(C53,B53,"m")&gt;=1,DATEDIF(C53,B53,"m")&amp;IF(DATEDIF(C53,B53,"m")=1," month"," months"),DATEDIF(C53,B53,"d")&amp;IF(DATEDIF(C53,B53,"d")=1," day"," days"))))</f>
        <v/>
      </c>
      <c r="M53">
        <f>IFERROR(VLOOKUP(G53,Reference!$I$2:$J$175,2,FALSE()),"Operations")</f>
        <v/>
      </c>
      <c r="N53" s="6" t="n"/>
      <c r="O53" s="6" t="n">
        <v>7</v>
      </c>
    </row>
    <row r="54" ht="19.5" customHeight="1">
      <c r="A54" s="64" t="n"/>
      <c r="B54" s="64" t="n"/>
      <c r="C54" s="64" t="n"/>
      <c r="D54" s="64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  <v/>
      </c>
      <c r="E54" s="64" t="n"/>
      <c r="F54" s="64" t="n"/>
      <c r="G54" s="64" t="n"/>
      <c r="H54" s="64" t="n"/>
      <c r="I54" s="64" t="n"/>
      <c r="J54" s="64" t="n"/>
      <c r="K54" s="64" t="n"/>
      <c r="L54" s="64" t="n"/>
      <c r="M54" s="64">
        <f>IFERROR(VLOOKUP(G54,Reference!$I$2:$J$175,2,FALSE()),"Operations")</f>
        <v/>
      </c>
      <c r="N54" s="6" t="n"/>
      <c r="O54" s="6" t="n"/>
    </row>
    <row r="55" ht="15" customHeight="1">
      <c r="A55" s="77" t="n"/>
      <c r="B55" s="111" t="n"/>
      <c r="C55" s="111" t="n"/>
      <c r="D55" s="77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/>
      </c>
      <c r="E55" s="77" t="n"/>
      <c r="F55" s="77" t="n"/>
      <c r="G55" s="77" t="n"/>
      <c r="H55" s="77" t="n"/>
      <c r="I55" s="77" t="n"/>
      <c r="J55" s="77" t="n"/>
      <c r="K55" s="77" t="n"/>
      <c r="L55" s="77" t="n"/>
      <c r="M55" s="102">
        <f>IFERROR(VLOOKUP(G55,Reference!$I$2:$J$175,2,FALSE()),"Operations")</f>
        <v/>
      </c>
      <c r="N55" s="6" t="n"/>
      <c r="O55" s="6" t="n"/>
    </row>
    <row r="56" ht="15" customHeight="1">
      <c r="A56" s="80" t="n"/>
      <c r="B56" s="112" t="n"/>
      <c r="C56" s="112" t="n"/>
      <c r="D56" s="80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/>
      </c>
      <c r="E56" s="80" t="n"/>
      <c r="F56" s="80" t="n"/>
      <c r="G56" s="80" t="n"/>
      <c r="H56" s="80" t="n"/>
      <c r="I56" s="80" t="n"/>
      <c r="J56" s="80" t="n"/>
      <c r="K56" s="80" t="n"/>
      <c r="L56" s="80" t="n"/>
      <c r="M56" s="105">
        <f>IFERROR(VLOOKUP(G56,Reference!$I$2:$J$175,2,FALSE()),"Operations")</f>
        <v/>
      </c>
      <c r="N56" s="6" t="n"/>
      <c r="O56" s="6" t="n"/>
    </row>
    <row r="57" ht="15" customHeight="1">
      <c r="A57" s="166" t="n"/>
      <c r="B57" s="133" t="n"/>
      <c r="C57" s="133" t="n"/>
      <c r="D57" s="134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/>
      </c>
      <c r="E57" s="134" t="n"/>
      <c r="F57" s="134" t="n"/>
      <c r="G57" s="134" t="n"/>
      <c r="H57" s="134" t="n"/>
      <c r="I57" s="134" t="n"/>
      <c r="J57" s="135" t="n"/>
      <c r="K57" s="134" t="n"/>
      <c r="L57" s="134" t="n"/>
      <c r="M57" s="136">
        <f>IFERROR(VLOOKUP(G57,Reference!$I$2:$J$175,2,FALSE()),"Operations")</f>
        <v/>
      </c>
      <c r="N57" s="6" t="n"/>
      <c r="O57" s="6" t="n"/>
    </row>
    <row r="58" ht="15" customHeight="1">
      <c r="A58" s="80" t="n"/>
      <c r="B58" s="80" t="n"/>
      <c r="C58" s="168" t="n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  <v/>
      </c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  <c r="N58" s="6" t="n"/>
      <c r="O58" s="6" t="n"/>
    </row>
    <row r="59" ht="15" customHeight="1">
      <c r="A59" s="166" t="n"/>
      <c r="B59" s="166" t="n"/>
      <c r="C59" s="169" t="n"/>
      <c r="D59" s="134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  <v/>
      </c>
      <c r="E59" s="134" t="n"/>
      <c r="F59" s="134" t="n"/>
      <c r="G59" s="134" t="n"/>
      <c r="H59" s="134" t="n"/>
      <c r="I59" s="134" t="n"/>
      <c r="J59" s="135" t="n"/>
      <c r="K59" s="134" t="n"/>
      <c r="L59" s="134" t="n"/>
      <c r="M59" s="136">
        <f>IFERROR(VLOOKUP(G59,Reference!$I$2:$J$175,2,FALSE()),"Operations")</f>
        <v/>
      </c>
      <c r="N59" s="6" t="n"/>
      <c r="O59" s="6" t="n"/>
    </row>
    <row r="60" ht="15" customHeight="1">
      <c r="A60" s="80" t="n"/>
      <c r="B60" s="80" t="n"/>
      <c r="C60" s="168" t="n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  <v/>
      </c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  <c r="N60" s="6" t="n"/>
      <c r="O60" s="6" t="n"/>
    </row>
    <row r="61" ht="15" customHeight="1">
      <c r="A61" s="166" t="n"/>
      <c r="B61" s="166" t="n"/>
      <c r="C61" s="169" t="n"/>
      <c r="D61" s="134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  <v/>
      </c>
      <c r="E61" s="134" t="n"/>
      <c r="F61" s="134" t="n"/>
      <c r="G61" s="134" t="n"/>
      <c r="H61" s="134" t="n"/>
      <c r="I61" s="134" t="n"/>
      <c r="J61" s="135" t="n"/>
      <c r="K61" s="134" t="n"/>
      <c r="L61" s="134" t="n"/>
      <c r="M61" s="136">
        <f>IFERROR(VLOOKUP(G61,Reference!$I$2:$J$175,2,FALSE()),"Operations")</f>
        <v/>
      </c>
      <c r="N61" s="6" t="n"/>
      <c r="O61" s="6" t="n"/>
    </row>
    <row r="62" ht="15" customHeight="1">
      <c r="A62" s="80" t="n"/>
      <c r="B62" s="80" t="n"/>
      <c r="C62" s="80" t="n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  <v/>
      </c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  <c r="N62" s="6" t="n"/>
      <c r="O62" s="6" t="n"/>
    </row>
    <row r="63" ht="15" customHeight="1">
      <c r="A63" s="100" t="n"/>
      <c r="B63" s="101" t="n"/>
      <c r="C63" s="101" t="n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  <v/>
      </c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  <c r="N63" s="6" t="n"/>
      <c r="O63" s="6" t="n"/>
    </row>
    <row r="64" ht="15" customHeight="1">
      <c r="A64" s="103" t="n"/>
      <c r="B64" s="104" t="n"/>
      <c r="C64" s="104" t="n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  <v/>
      </c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  <c r="N64" s="6" t="n"/>
      <c r="O64" s="6" t="n"/>
    </row>
    <row r="65" ht="15" customHeight="1">
      <c r="A65" s="100" t="n"/>
      <c r="B65" s="101" t="n"/>
      <c r="C65" s="101" t="n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  <v/>
      </c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  <c r="N65" s="6" t="n"/>
      <c r="O65" s="6" t="n"/>
    </row>
    <row r="66" ht="15" customHeight="1">
      <c r="A66" s="103" t="n"/>
      <c r="B66" s="104" t="n"/>
      <c r="C66" s="104" t="n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  <v/>
      </c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  <c r="N66" s="6" t="n"/>
      <c r="O66" s="6" t="n"/>
    </row>
    <row r="67" ht="15" customHeight="1">
      <c r="A67" s="100" t="n"/>
      <c r="B67" s="101" t="n"/>
      <c r="C67" s="101" t="n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  <v/>
      </c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  <c r="N67" s="6" t="n"/>
      <c r="O67" s="6" t="n"/>
    </row>
    <row r="68" ht="15" customHeight="1">
      <c r="A68" s="103" t="n"/>
      <c r="B68" s="104" t="n"/>
      <c r="C68" s="104" t="n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  <v/>
      </c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  <c r="N68" s="6" t="n"/>
      <c r="O68" s="6" t="n"/>
    </row>
    <row r="69" ht="15" customHeight="1">
      <c r="A69" s="100" t="n"/>
      <c r="B69" s="101" t="n"/>
      <c r="C69" s="101" t="n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  <v/>
      </c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  <c r="N69" s="6" t="n"/>
      <c r="O69" s="6" t="n"/>
    </row>
    <row r="70" ht="15" customHeight="1">
      <c r="A70" s="103" t="n"/>
      <c r="B70" s="104" t="n"/>
      <c r="C70" s="104" t="n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  <v/>
      </c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  <c r="N70" s="6" t="n"/>
      <c r="O70" s="6" t="n"/>
    </row>
    <row r="71" ht="15" customHeight="1">
      <c r="A71" s="100" t="n"/>
      <c r="B71" s="101" t="n"/>
      <c r="C71" s="101" t="n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  <v/>
      </c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  <c r="N71" s="6" t="n"/>
      <c r="O71" s="6" t="n"/>
    </row>
    <row r="72" ht="15" customHeight="1">
      <c r="A72" s="103" t="n"/>
      <c r="B72" s="104" t="n"/>
      <c r="C72" s="104" t="n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  <v/>
      </c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  <c r="N72" s="6" t="n"/>
      <c r="O72" s="6" t="n"/>
    </row>
    <row r="73" ht="15" customHeight="1">
      <c r="A73" s="100" t="inlineStr">
        <is>
          <t>SUBTOTAL:</t>
        </is>
      </c>
      <c r="B73" s="101">
        <f>COUNTA(A43:A72)</f>
        <v/>
      </c>
      <c r="C73" s="101" t="n"/>
      <c r="D73" s="100" t="n"/>
      <c r="E73" s="100" t="n"/>
      <c r="F73" s="100" t="n"/>
      <c r="G73" s="100" t="n"/>
      <c r="H73" s="100" t="n"/>
      <c r="I73" s="100" t="n"/>
      <c r="J73" s="101" t="n"/>
      <c r="K73" s="100" t="n"/>
      <c r="L73" s="100" t="n"/>
      <c r="M73" s="102" t="n"/>
      <c r="N73" s="6" t="n"/>
      <c r="O73" s="6" t="n"/>
    </row>
    <row r="74" ht="15" customHeight="1">
      <c r="A74" s="103" t="n"/>
      <c r="B74" s="104" t="n"/>
      <c r="C74" s="104" t="n"/>
      <c r="D74" s="103" t="n"/>
      <c r="E74" s="103" t="n"/>
      <c r="F74" s="103" t="n"/>
      <c r="G74" s="103" t="n"/>
      <c r="H74" s="103" t="n"/>
      <c r="I74" s="103" t="n"/>
      <c r="J74" s="104" t="n"/>
      <c r="K74" s="103" t="n"/>
      <c r="L74" s="103" t="n"/>
      <c r="M74" s="105" t="n"/>
      <c r="N74" s="6" t="n"/>
      <c r="O74" s="6" t="n"/>
    </row>
    <row r="75" ht="15" customHeight="1">
      <c r="A75" s="100" t="inlineStr">
        <is>
          <t>MARCH 2026</t>
        </is>
      </c>
      <c r="B75" s="170" t="n"/>
      <c r="C75" s="170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0" t="n"/>
      <c r="M75" s="171" t="n"/>
      <c r="N75" s="6" t="n"/>
      <c r="O75" s="6" t="n"/>
    </row>
    <row r="76" ht="15" customHeight="1">
      <c r="A76" s="103" t="inlineStr">
        <is>
          <t>Name</t>
        </is>
      </c>
      <c r="B76" s="104" t="inlineStr">
        <is>
          <t>Date of Separation</t>
        </is>
      </c>
      <c r="C76" s="104" t="inlineStr">
        <is>
          <t>DOH</t>
        </is>
      </c>
      <c r="D76" s="103" t="inlineStr">
        <is>
          <t>Length of Service</t>
        </is>
      </c>
      <c r="E76" s="103" t="inlineStr">
        <is>
          <t>Eligible for Rehire</t>
        </is>
      </c>
      <c r="F76" s="103" t="inlineStr">
        <is>
          <t>Status</t>
        </is>
      </c>
      <c r="G76" s="103" t="inlineStr">
        <is>
          <t>Location</t>
        </is>
      </c>
      <c r="H76" s="103" t="inlineStr">
        <is>
          <t>Reason for Leaving</t>
        </is>
      </c>
      <c r="I76" s="103" t="inlineStr">
        <is>
          <t>Supervisor</t>
        </is>
      </c>
      <c r="J76" s="104" t="inlineStr">
        <is>
          <t>Exit Interview Date</t>
        </is>
      </c>
      <c r="K76" s="103" t="inlineStr">
        <is>
          <t>Job</t>
        </is>
      </c>
      <c r="L76" s="103" t="inlineStr">
        <is>
          <t>Comments</t>
        </is>
      </c>
      <c r="M76" s="105" t="inlineStr">
        <is>
          <t>Department</t>
        </is>
      </c>
      <c r="N76" s="6" t="inlineStr">
        <is>
          <t>Synced To Hub</t>
        </is>
      </c>
      <c r="O76" s="6" t="inlineStr">
        <is>
          <t>Do Not Sync</t>
        </is>
      </c>
    </row>
    <row r="77" ht="15" customHeight="1">
      <c r="A77" s="100" t="inlineStr">
        <is>
          <t>Ethan Reynolds</t>
        </is>
      </c>
      <c r="B77" s="101" t="n">
        <v>46083</v>
      </c>
      <c r="C77" s="101" t="n">
        <v>45252</v>
      </c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  <v/>
      </c>
      <c r="E77" s="100" t="inlineStr">
        <is>
          <t>No</t>
        </is>
      </c>
      <c r="F77" s="100" t="inlineStr">
        <is>
          <t>U</t>
        </is>
      </c>
      <c r="G77" s="100" t="inlineStr">
        <is>
          <t>1111 McAdoo</t>
        </is>
      </c>
      <c r="H77" s="100" t="inlineStr">
        <is>
          <t>Resignation</t>
        </is>
      </c>
      <c r="I77" s="100" t="inlineStr">
        <is>
          <t>Rebecca Smith</t>
        </is>
      </c>
      <c r="J77" s="101" t="inlineStr">
        <is>
          <t>TBD</t>
        </is>
      </c>
      <c r="K77" s="100" t="inlineStr">
        <is>
          <t>DSP</t>
        </is>
      </c>
      <c r="L77" s="100" t="inlineStr">
        <is>
          <t>Rex</t>
        </is>
      </c>
      <c r="M77" s="102">
        <f>IFERROR(VLOOKUP(G77,Reference!$I$2:$J$175,2,FALSE()),"Operations")</f>
        <v/>
      </c>
      <c r="N77" s="6" t="n"/>
      <c r="O77" s="6" t="n"/>
    </row>
    <row r="78" ht="15" customHeight="1">
      <c r="A78" s="103" t="inlineStr">
        <is>
          <t>Frederick Osborne</t>
        </is>
      </c>
      <c r="B78" s="104" t="n">
        <v>46083</v>
      </c>
      <c r="C78" s="104" t="n">
        <v>38933</v>
      </c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  <v/>
      </c>
      <c r="E78" s="103" t="inlineStr">
        <is>
          <t>No</t>
        </is>
      </c>
      <c r="F78" s="103" t="inlineStr">
        <is>
          <t>U</t>
        </is>
      </c>
      <c r="G78" s="103" t="inlineStr">
        <is>
          <t>1111 McAdoo</t>
        </is>
      </c>
      <c r="H78" s="103" t="inlineStr">
        <is>
          <t>Resignation</t>
        </is>
      </c>
      <c r="I78" s="103" t="inlineStr">
        <is>
          <t>Rebecca Smith</t>
        </is>
      </c>
      <c r="J78" s="104" t="inlineStr">
        <is>
          <t>TBD</t>
        </is>
      </c>
      <c r="K78" s="103" t="inlineStr">
        <is>
          <t>DSP</t>
        </is>
      </c>
      <c r="L78" s="103" t="inlineStr">
        <is>
          <t>Rex</t>
        </is>
      </c>
      <c r="M78" s="105">
        <f>IFERROR(VLOOKUP(G78,Reference!$I$2:$J$175,2,FALSE()),"Operations")</f>
        <v/>
      </c>
      <c r="N78" s="6" t="n"/>
      <c r="O78" s="6" t="n"/>
    </row>
    <row r="79" ht="15" customHeight="1">
      <c r="A79" s="100" t="inlineStr">
        <is>
          <t>Hunter Davis</t>
        </is>
      </c>
      <c r="B79" s="101" t="n">
        <v>46083</v>
      </c>
      <c r="C79" s="101" t="n">
        <v>45943</v>
      </c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  <v/>
      </c>
      <c r="E79" s="100" t="inlineStr">
        <is>
          <t>No</t>
        </is>
      </c>
      <c r="F79" s="100" t="inlineStr">
        <is>
          <t>U</t>
        </is>
      </c>
      <c r="G79" s="100" t="inlineStr">
        <is>
          <t>1111 McAdoo</t>
        </is>
      </c>
      <c r="H79" s="100" t="inlineStr">
        <is>
          <t>Resignation</t>
        </is>
      </c>
      <c r="I79" s="100" t="inlineStr">
        <is>
          <t>Rebecca Smith</t>
        </is>
      </c>
      <c r="J79" s="101" t="inlineStr">
        <is>
          <t>TBD</t>
        </is>
      </c>
      <c r="K79" s="100" t="inlineStr">
        <is>
          <t>DSP</t>
        </is>
      </c>
      <c r="L79" s="100" t="inlineStr">
        <is>
          <t>Rex</t>
        </is>
      </c>
      <c r="M79" s="102">
        <f>IFERROR(VLOOKUP(G79,Reference!$I$2:$J$175,2,FALSE()),"Operations")</f>
        <v/>
      </c>
      <c r="N79" s="6" t="n"/>
      <c r="O79" s="6" t="n"/>
    </row>
    <row r="80" ht="15" customHeight="1">
      <c r="A80" s="103" t="inlineStr">
        <is>
          <t>Rebecca Smith</t>
        </is>
      </c>
      <c r="B80" s="104" t="n">
        <v>46084</v>
      </c>
      <c r="C80" s="104" t="n">
        <v>40715</v>
      </c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  <v/>
      </c>
      <c r="E80" s="103" t="inlineStr">
        <is>
          <t>Yes</t>
        </is>
      </c>
      <c r="F80" s="103" t="inlineStr">
        <is>
          <t>U</t>
        </is>
      </c>
      <c r="G80" s="103" t="inlineStr">
        <is>
          <t>1111 McAdoo</t>
        </is>
      </c>
      <c r="H80" s="103" t="inlineStr">
        <is>
          <t>Resignation</t>
        </is>
      </c>
      <c r="I80" s="103" t="inlineStr">
        <is>
          <t>Kelly Dustan</t>
        </is>
      </c>
      <c r="J80" s="104" t="inlineStr">
        <is>
          <t>TBD</t>
        </is>
      </c>
      <c r="K80" s="103" t="inlineStr">
        <is>
          <t>HM</t>
        </is>
      </c>
      <c r="L80" s="103" t="inlineStr">
        <is>
          <t>Rex</t>
        </is>
      </c>
      <c r="M80" s="105">
        <f>IFERROR(VLOOKUP(G80,Reference!$I$2:$J$175,2,FALSE()),"Operations")</f>
        <v/>
      </c>
      <c r="N80" s="6" t="n"/>
      <c r="O80" s="6" t="n"/>
    </row>
    <row r="81" ht="15" customHeight="1">
      <c r="A81" s="100" t="inlineStr">
        <is>
          <t>Tanthya Bigham</t>
        </is>
      </c>
      <c r="B81" s="101" t="n">
        <v>46085</v>
      </c>
      <c r="C81" s="101" t="n">
        <v>46076</v>
      </c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  <v/>
      </c>
      <c r="E81" s="100" t="inlineStr">
        <is>
          <t>No</t>
        </is>
      </c>
      <c r="F81" s="100" t="inlineStr">
        <is>
          <t>U</t>
        </is>
      </c>
      <c r="G81" s="100" t="inlineStr">
        <is>
          <t>813 NW Sapphire</t>
        </is>
      </c>
      <c r="H81" s="100" t="inlineStr">
        <is>
          <t>Resignation without Notice</t>
        </is>
      </c>
      <c r="I81" s="100" t="inlineStr">
        <is>
          <t>Dustan Kelley</t>
        </is>
      </c>
      <c r="J81" s="101" t="inlineStr">
        <is>
          <t>TBD</t>
        </is>
      </c>
      <c r="K81" s="100" t="inlineStr">
        <is>
          <t>DSP</t>
        </is>
      </c>
      <c r="L81" s="100" t="n"/>
      <c r="M81" s="102">
        <f>IFERROR(VLOOKUP(G81,Reference!$I$2:$J$175,2,FALSE()),"Operations")</f>
        <v/>
      </c>
      <c r="N81" s="6" t="n"/>
      <c r="O81" s="6" t="n"/>
    </row>
    <row r="82" ht="15" customHeight="1">
      <c r="A82" s="103" t="inlineStr">
        <is>
          <t>Tyreese Langston</t>
        </is>
      </c>
      <c r="B82" s="104" t="n">
        <v>46085</v>
      </c>
      <c r="C82" s="104" t="n">
        <v>45463</v>
      </c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  <v/>
      </c>
      <c r="E82" s="103" t="inlineStr">
        <is>
          <t>Yes</t>
        </is>
      </c>
      <c r="F82" s="103" t="inlineStr">
        <is>
          <t>U</t>
        </is>
      </c>
      <c r="G82" s="103" t="inlineStr">
        <is>
          <t>1111 McAdoo</t>
        </is>
      </c>
      <c r="H82" s="103" t="inlineStr">
        <is>
          <t>Resignation</t>
        </is>
      </c>
      <c r="I82" s="103" t="inlineStr">
        <is>
          <t>Rebecca Smith</t>
        </is>
      </c>
      <c r="J82" s="104" t="inlineStr">
        <is>
          <t>TBD</t>
        </is>
      </c>
      <c r="K82" s="103" t="inlineStr">
        <is>
          <t>DSP</t>
        </is>
      </c>
      <c r="L82" s="103" t="inlineStr">
        <is>
          <t>Rex</t>
        </is>
      </c>
      <c r="M82" s="105">
        <f>IFERROR(VLOOKUP(G82,Reference!$I$2:$J$175,2,FALSE()),"Operations")</f>
        <v/>
      </c>
      <c r="N82" s="6" t="n"/>
      <c r="O82" s="6" t="n"/>
    </row>
    <row r="83" ht="15" customHeight="1">
      <c r="A83" s="100" t="inlineStr">
        <is>
          <t>Dallas Russel</t>
        </is>
      </c>
      <c r="B83" s="101" t="n">
        <v>46086</v>
      </c>
      <c r="C83" s="101" t="n">
        <v>45705</v>
      </c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  <v/>
      </c>
      <c r="E83" s="100" t="inlineStr">
        <is>
          <t>Yes</t>
        </is>
      </c>
      <c r="F83" s="100" t="inlineStr">
        <is>
          <t>U</t>
        </is>
      </c>
      <c r="G83" s="100" t="inlineStr">
        <is>
          <t>Tiffin</t>
        </is>
      </c>
      <c r="H83" s="100" t="inlineStr">
        <is>
          <t>Resignation</t>
        </is>
      </c>
      <c r="I83" s="100" t="inlineStr">
        <is>
          <t>Sarah Allen</t>
        </is>
      </c>
      <c r="J83" s="101" t="inlineStr">
        <is>
          <t>TBD</t>
        </is>
      </c>
      <c r="K83" s="100" t="inlineStr">
        <is>
          <t>DSP</t>
        </is>
      </c>
      <c r="L83" s="100" t="n"/>
      <c r="M83" s="102">
        <f>IFERROR(VLOOKUP(G83,Reference!$I$2:$J$175,2,FALSE()),"Operations")</f>
        <v/>
      </c>
      <c r="N83" s="6" t="n"/>
      <c r="O83" s="6" t="n"/>
    </row>
    <row r="84" ht="15" customHeight="1">
      <c r="A84" s="103" t="inlineStr">
        <is>
          <t>Marilyn Drake</t>
        </is>
      </c>
      <c r="B84" s="104" t="n">
        <v>46092</v>
      </c>
      <c r="C84" s="104" t="n">
        <v>45875</v>
      </c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  <v/>
      </c>
      <c r="E84" s="103" t="inlineStr">
        <is>
          <t>Yes</t>
        </is>
      </c>
      <c r="F84" s="103" t="inlineStr">
        <is>
          <t>D</t>
        </is>
      </c>
      <c r="G84" s="103" t="inlineStr">
        <is>
          <t>100 Thelma Road</t>
        </is>
      </c>
      <c r="H84" s="103" t="inlineStr">
        <is>
          <t>Resignation</t>
        </is>
      </c>
      <c r="I84" s="103" t="inlineStr">
        <is>
          <t>Bethany Quiggle</t>
        </is>
      </c>
      <c r="J84" s="104" t="inlineStr">
        <is>
          <t>TBD</t>
        </is>
      </c>
      <c r="K84" s="103" t="inlineStr">
        <is>
          <t>DSP</t>
        </is>
      </c>
      <c r="L84" s="103" t="n"/>
      <c r="M84" s="105">
        <f>IFERROR(VLOOKUP(G84,Reference!$I$2:$J$175,2,FALSE()),"Operations")</f>
        <v/>
      </c>
      <c r="N84" s="6" t="n"/>
      <c r="O84" s="6" t="n"/>
    </row>
    <row r="85" ht="15" customHeight="1">
      <c r="A85" s="106" t="inlineStr">
        <is>
          <t>Justin Williams</t>
        </is>
      </c>
      <c r="B85" s="174" t="n">
        <v>46097</v>
      </c>
      <c r="C85" s="175" t="n">
        <v>45621</v>
      </c>
      <c r="D85" s="108">
        <f>IF(OR(B85="",C85=""),"",IF(DATEDIF(C85,B85,"y")&gt;=1,DATEDIF(C85,B85,"y")&amp;IF(DATEDIF(C85,B85,"y")=1," year "," years ")&amp;DATEDIF(C85,B85,"ym")&amp;IF(DATEDIF(C85,B85,"ym")=1," month"," months"),IF(DATEDIF(C85,B85,"m")&gt;=1,DATEDIF(C85,B85,"m")&amp;IF(DATEDIF(C85,B85,"m")=1," month"," months"),DATEDIF(C85,B85,"d")&amp;IF(DATEDIF(C85,B85,"d")=1," day"," days"))))</f>
        <v/>
      </c>
      <c r="E85" s="108" t="inlineStr">
        <is>
          <t>Yes</t>
        </is>
      </c>
      <c r="F85" s="108" t="inlineStr">
        <is>
          <t>U</t>
        </is>
      </c>
      <c r="G85" s="108" t="inlineStr">
        <is>
          <t>345 W Outer</t>
        </is>
      </c>
      <c r="H85" s="108" t="inlineStr">
        <is>
          <t>Resignation</t>
        </is>
      </c>
      <c r="I85" s="108" t="inlineStr">
        <is>
          <t>Andria Cassel</t>
        </is>
      </c>
      <c r="J85" s="108" t="inlineStr">
        <is>
          <t>TBD</t>
        </is>
      </c>
      <c r="K85" s="108" t="inlineStr">
        <is>
          <t>DSP</t>
        </is>
      </c>
      <c r="L85" s="108" t="n"/>
      <c r="M85" s="108">
        <f>IFERROR(VLOOKUP(G85,Reference!$I$2:$J$175,2,FALSE()),"Operations")</f>
        <v/>
      </c>
      <c r="N85" s="6" t="n"/>
      <c r="O85" s="6" t="n"/>
    </row>
    <row r="86" ht="6" customHeight="1">
      <c r="A86" s="6" t="inlineStr">
        <is>
          <t>Emily Ralston</t>
        </is>
      </c>
      <c r="B86" s="176" t="n">
        <v>46110</v>
      </c>
      <c r="C86" s="176" t="n">
        <v>45839</v>
      </c>
      <c r="D86" s="6">
        <f>IF(OR(B86="",C86=""),"",IF(DATEDIF(C86,B86,"y")&gt;=1,DATEDIF(C86,B86,"y")&amp;IF(DATEDIF(C86,B86,"y")=1," year "," years ")&amp;DATEDIF(C86,B86,"ym")&amp;IF(DATEDIF(C86,B86,"ym")=1," month"," months"),IF(DATEDIF(C86,B86,"m")&gt;=1,DATEDIF(C86,B86,"m")&amp;IF(DATEDIF(C86,B86,"m")=1," month"," months"),DATEDIF(C86,B86,"d")&amp;IF(DATEDIF(C86,B86,"d")=1," day"," days"))))</f>
        <v/>
      </c>
      <c r="E86" s="6" t="inlineStr">
        <is>
          <t>Yes</t>
        </is>
      </c>
      <c r="F86" s="6" t="inlineStr">
        <is>
          <t>U</t>
        </is>
      </c>
      <c r="G86" s="6" t="inlineStr">
        <is>
          <t>Robert Bunch Road</t>
        </is>
      </c>
      <c r="H86" s="6" t="inlineStr">
        <is>
          <t>Resignation</t>
        </is>
      </c>
      <c r="I86" s="6" t="inlineStr">
        <is>
          <t>Jennie England</t>
        </is>
      </c>
      <c r="J86" s="6" t="inlineStr">
        <is>
          <t>TBD</t>
        </is>
      </c>
      <c r="K86" s="6" t="inlineStr">
        <is>
          <t>DSP</t>
        </is>
      </c>
      <c r="L86" s="6" t="n"/>
      <c r="M86" s="6">
        <f>IFERROR(VLOOKUP(G86,Reference!$I$2:$J$175,2,FALSE()),"Operations")</f>
        <v/>
      </c>
      <c r="N86" s="6" t="n"/>
      <c r="O86" s="6" t="n"/>
    </row>
    <row r="87" ht="21.75" customHeight="1">
      <c r="A87" s="163" t="inlineStr">
        <is>
          <t>Robert Jordan</t>
        </is>
      </c>
      <c r="B87" s="177" t="n">
        <v>46112</v>
      </c>
      <c r="C87" s="177" t="n">
        <v>46084</v>
      </c>
      <c r="D87">
        <f>IF(OR(B87="",C87=""),"",IF(DATEDIF(C87,B87,"y")&gt;=1,DATEDIF(C87,B87,"y")&amp;IF(DATEDIF(C87,B87,"y")=1," year "," years ")&amp;DATEDIF(C87,B87,"ym")&amp;IF(DATEDIF(C87,B87,"ym")=1," month"," months"),IF(DATEDIF(C87,B87,"m")&gt;=1,DATEDIF(C87,B87,"m")&amp;IF(DATEDIF(C87,B87,"m")=1," month"," months"),DATEDIF(C87,B87,"d")&amp;IF(DATEDIF(C87,B87,"d")=1," day"," days"))))</f>
        <v/>
      </c>
      <c r="E87" t="inlineStr">
        <is>
          <t>No</t>
        </is>
      </c>
      <c r="F87" t="inlineStr">
        <is>
          <t>D</t>
        </is>
      </c>
      <c r="G87" t="inlineStr">
        <is>
          <t>104 East Dalton</t>
        </is>
      </c>
      <c r="H87" t="inlineStr">
        <is>
          <t>Resignation</t>
        </is>
      </c>
      <c r="I87" t="inlineStr">
        <is>
          <t>Amber Potter</t>
        </is>
      </c>
      <c r="J87" t="inlineStr">
        <is>
          <t>N/A</t>
        </is>
      </c>
      <c r="K87" t="inlineStr">
        <is>
          <t>DSP</t>
        </is>
      </c>
      <c r="M87">
        <f>IFERROR(VLOOKUP(G87,Reference!$I$2:$J$175,2,FALSE()),"Operations")</f>
        <v/>
      </c>
      <c r="N87" s="6" t="n"/>
      <c r="O87" s="6" t="n"/>
    </row>
    <row r="88" ht="19.5" customHeight="1">
      <c r="A88" s="64" t="n"/>
      <c r="B88" s="64" t="n"/>
      <c r="C88" s="64" t="n"/>
      <c r="D88" s="64">
        <f>IF(OR(B88="",C88=""),"",IF(DATEDIF(C88,B88,"y")&gt;=1,DATEDIF(C88,B88,"y")&amp;IF(DATEDIF(C88,B88,"y")=1," year "," years ")&amp;DATEDIF(C88,B88,"ym")&amp;IF(DATEDIF(C88,B88,"ym")=1," month"," months"),IF(DATEDIF(C88,B88,"m")&gt;=1,DATEDIF(C88,B88,"m")&amp;IF(DATEDIF(C88,B88,"m")=1," month"," months"),DATEDIF(C88,B88,"d")&amp;IF(DATEDIF(C88,B88,"d")=1," day"," days"))))</f>
        <v/>
      </c>
      <c r="E88" s="64" t="n"/>
      <c r="F88" s="64" t="n"/>
      <c r="G88" s="64" t="n"/>
      <c r="H88" s="64" t="n"/>
      <c r="I88" s="64" t="n"/>
      <c r="J88" s="64" t="n"/>
      <c r="K88" s="64" t="n"/>
      <c r="L88" s="64" t="n"/>
      <c r="M88" s="64">
        <f>IFERROR(VLOOKUP(G88,Reference!$I$2:$J$175,2,FALSE()),"Operations")</f>
        <v/>
      </c>
      <c r="N88" s="6" t="n"/>
      <c r="O88" s="6" t="n"/>
    </row>
    <row r="89" ht="15" customHeight="1">
      <c r="A89" s="100" t="n"/>
      <c r="B89" s="101" t="n"/>
      <c r="C89" s="101" t="n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  <v/>
      </c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  <c r="N89" s="6" t="n"/>
      <c r="O89" s="6" t="n"/>
    </row>
    <row r="90" ht="15" customHeight="1">
      <c r="A90" s="103" t="n"/>
      <c r="B90" s="104" t="n"/>
      <c r="C90" s="104" t="n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  <v/>
      </c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  <c r="N90" s="6" t="n"/>
      <c r="O90" s="6" t="n"/>
    </row>
    <row r="91" ht="15" customHeight="1">
      <c r="A91" s="100" t="n"/>
      <c r="B91" s="101" t="n"/>
      <c r="C91" s="101" t="n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  <v/>
      </c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  <c r="N91" s="6" t="n"/>
      <c r="O91" s="6" t="n"/>
    </row>
    <row r="92" ht="15" customHeight="1">
      <c r="A92" s="103" t="n"/>
      <c r="B92" s="104" t="n"/>
      <c r="C92" s="104" t="n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  <v/>
      </c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  <c r="N92" s="6" t="n"/>
      <c r="O92" s="6" t="n"/>
    </row>
    <row r="93" ht="15" customHeight="1">
      <c r="A93" s="100" t="n"/>
      <c r="B93" s="101" t="n"/>
      <c r="C93" s="101" t="n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  <v/>
      </c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  <c r="N93" s="6" t="n"/>
      <c r="O93" s="6" t="n"/>
    </row>
    <row r="94" ht="15" customHeight="1">
      <c r="A94" s="103" t="n"/>
      <c r="B94" s="104" t="n"/>
      <c r="C94" s="104" t="n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  <v/>
      </c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  <c r="N94" s="6" t="n"/>
      <c r="O94" s="6" t="n"/>
    </row>
    <row r="95" ht="15" customHeight="1">
      <c r="A95" s="100" t="n"/>
      <c r="B95" s="101" t="n"/>
      <c r="C95" s="101" t="n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  <v/>
      </c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  <c r="N95" s="6" t="n"/>
      <c r="O95" s="6" t="n"/>
    </row>
    <row r="96" ht="15" customHeight="1">
      <c r="A96" s="103" t="n"/>
      <c r="B96" s="104" t="n"/>
      <c r="C96" s="104" t="n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  <v/>
      </c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  <c r="N96" s="6" t="n"/>
      <c r="O96" s="6" t="n"/>
    </row>
    <row r="97" ht="15" customHeight="1">
      <c r="A97" s="100" t="n"/>
      <c r="B97" s="101" t="n"/>
      <c r="C97" s="101" t="n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  <v/>
      </c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  <c r="N97" s="6" t="n"/>
      <c r="O97" s="6" t="n"/>
    </row>
    <row r="98" ht="15" customHeight="1">
      <c r="A98" s="103" t="n"/>
      <c r="B98" s="104" t="n"/>
      <c r="C98" s="104" t="n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  <v/>
      </c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  <c r="N98" s="6" t="n"/>
      <c r="O98" s="6" t="n"/>
    </row>
    <row r="99" ht="15" customHeight="1">
      <c r="A99" s="100" t="n"/>
      <c r="B99" s="101" t="n"/>
      <c r="C99" s="101" t="n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  <v/>
      </c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  <c r="N99" s="6" t="n"/>
      <c r="O99" s="6" t="n"/>
    </row>
    <row r="100" ht="15" customHeight="1">
      <c r="A100" s="103" t="n"/>
      <c r="B100" s="104" t="n"/>
      <c r="C100" s="104" t="n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  <v/>
      </c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  <c r="N100" s="6" t="n"/>
      <c r="O100" s="6" t="n"/>
    </row>
    <row r="101" ht="15" customHeight="1">
      <c r="A101" s="100" t="n"/>
      <c r="B101" s="101" t="n"/>
      <c r="C101" s="101" t="n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  <v/>
      </c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  <c r="N101" s="6" t="n"/>
      <c r="O101" s="6" t="n"/>
    </row>
    <row r="102" ht="15" customHeight="1">
      <c r="A102" s="103" t="n"/>
      <c r="B102" s="104" t="n"/>
      <c r="C102" s="104" t="n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  <v/>
      </c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  <c r="N102" s="6" t="n"/>
      <c r="O102" s="6" t="n"/>
    </row>
    <row r="103" ht="15" customHeight="1">
      <c r="A103" s="100" t="n"/>
      <c r="B103" s="101" t="n"/>
      <c r="C103" s="101" t="n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  <v/>
      </c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  <c r="N103" s="6" t="n"/>
      <c r="O103" s="6" t="n"/>
    </row>
    <row r="104" ht="15" customHeight="1">
      <c r="A104" s="103" t="n"/>
      <c r="B104" s="104" t="n"/>
      <c r="C104" s="104" t="n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  <v/>
      </c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  <c r="N104" s="6" t="n"/>
      <c r="O104" s="6" t="n"/>
    </row>
    <row r="105" ht="15" customHeight="1">
      <c r="A105" s="100" t="n"/>
      <c r="B105" s="101" t="n"/>
      <c r="C105" s="101" t="n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  <v/>
      </c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  <c r="N105" s="6" t="n"/>
      <c r="O105" s="6" t="n"/>
    </row>
    <row r="106" ht="15" customHeight="1">
      <c r="A106" s="103" t="n"/>
      <c r="B106" s="104" t="n"/>
      <c r="C106" s="104" t="n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  <v/>
      </c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  <c r="N106" s="6" t="n"/>
      <c r="O106" s="6" t="n"/>
    </row>
    <row r="107" ht="15" customHeight="1">
      <c r="A107" s="100" t="inlineStr">
        <is>
          <t>SUBTOTAL:</t>
        </is>
      </c>
      <c r="B107" s="101">
        <f>COUNTA(A77:A106)</f>
        <v/>
      </c>
      <c r="C107" s="101" t="n"/>
      <c r="D107" s="100" t="n"/>
      <c r="E107" s="100" t="n"/>
      <c r="F107" s="100" t="n"/>
      <c r="G107" s="100" t="n"/>
      <c r="H107" s="100" t="n"/>
      <c r="I107" s="100" t="n"/>
      <c r="J107" s="101" t="n"/>
      <c r="K107" s="100" t="n"/>
      <c r="L107" s="100" t="n"/>
      <c r="M107" s="102" t="n"/>
      <c r="N107" s="6" t="n"/>
      <c r="O107" s="6" t="n"/>
    </row>
    <row r="108" ht="15" customHeight="1">
      <c r="A108" s="103" t="n"/>
      <c r="B108" s="104" t="n"/>
      <c r="C108" s="104" t="n"/>
      <c r="D108" s="103" t="n"/>
      <c r="E108" s="103" t="n"/>
      <c r="F108" s="103" t="n"/>
      <c r="G108" s="103" t="n"/>
      <c r="H108" s="103" t="n"/>
      <c r="I108" s="103" t="n"/>
      <c r="J108" s="104" t="n"/>
      <c r="K108" s="103" t="n"/>
      <c r="L108" s="103" t="n"/>
      <c r="M108" s="105" t="n"/>
      <c r="N108" s="6" t="n"/>
      <c r="O108" s="6" t="n"/>
    </row>
    <row r="109" ht="15" customHeight="1">
      <c r="A109" s="100" t="inlineStr">
        <is>
          <t>APRIL 2026</t>
        </is>
      </c>
      <c r="B109" s="170" t="n"/>
      <c r="C109" s="170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0" t="n"/>
      <c r="M109" s="171" t="n"/>
      <c r="N109" s="6" t="n"/>
      <c r="O109" s="6" t="n"/>
    </row>
    <row r="110" ht="15" customHeight="1">
      <c r="A110" s="103" t="inlineStr">
        <is>
          <t>Name</t>
        </is>
      </c>
      <c r="B110" s="104" t="inlineStr">
        <is>
          <t>Date of Separation</t>
        </is>
      </c>
      <c r="C110" s="104" t="inlineStr">
        <is>
          <t>DOH</t>
        </is>
      </c>
      <c r="D110" s="103" t="inlineStr">
        <is>
          <t>Length of Service</t>
        </is>
      </c>
      <c r="E110" s="103" t="inlineStr">
        <is>
          <t>Eligible for Rehire</t>
        </is>
      </c>
      <c r="F110" s="103" t="inlineStr">
        <is>
          <t>Status</t>
        </is>
      </c>
      <c r="G110" s="103" t="inlineStr">
        <is>
          <t>Location</t>
        </is>
      </c>
      <c r="H110" s="103" t="inlineStr">
        <is>
          <t>Reason for Leaving</t>
        </is>
      </c>
      <c r="I110" s="103" t="inlineStr">
        <is>
          <t>Supervisor</t>
        </is>
      </c>
      <c r="J110" s="104" t="inlineStr">
        <is>
          <t>Exit Interview Date</t>
        </is>
      </c>
      <c r="K110" s="103" t="inlineStr">
        <is>
          <t>Job</t>
        </is>
      </c>
      <c r="L110" s="103" t="inlineStr">
        <is>
          <t>Comments</t>
        </is>
      </c>
      <c r="M110" s="105" t="inlineStr">
        <is>
          <t>Department</t>
        </is>
      </c>
      <c r="N110" s="6" t="inlineStr">
        <is>
          <t>Synced To Hub</t>
        </is>
      </c>
      <c r="O110" s="6" t="inlineStr">
        <is>
          <t>Do Not Sync</t>
        </is>
      </c>
    </row>
    <row r="111" ht="15" customHeight="1">
      <c r="A111" s="100" t="inlineStr">
        <is>
          <t>Tiffany DeBoer</t>
        </is>
      </c>
      <c r="B111" s="101" t="n">
        <v>46128</v>
      </c>
      <c r="C111" s="101" t="n">
        <v>46029</v>
      </c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  <v/>
      </c>
      <c r="E111" s="100" t="inlineStr">
        <is>
          <t>Yes</t>
        </is>
      </c>
      <c r="F111" s="100" t="inlineStr">
        <is>
          <t>D</t>
        </is>
      </c>
      <c r="G111" s="100" t="inlineStr">
        <is>
          <t>Behavioral Health</t>
        </is>
      </c>
      <c r="H111" s="100" t="inlineStr">
        <is>
          <t>Resignation</t>
        </is>
      </c>
      <c r="I111" s="100" t="inlineStr">
        <is>
          <t>Megan Miller</t>
        </is>
      </c>
      <c r="J111" s="101" t="inlineStr">
        <is>
          <t>TBD</t>
        </is>
      </c>
      <c r="K111" s="100" t="inlineStr">
        <is>
          <t>Other</t>
        </is>
      </c>
      <c r="L111" s="100" t="n"/>
      <c r="M111" s="102">
        <f>IFERROR(VLOOKUP(G111,Reference!$I$2:$J$175,2,FALSE()),"Operations")</f>
        <v/>
      </c>
      <c r="N111" s="6" t="n"/>
      <c r="O111" s="6" t="n"/>
    </row>
    <row r="112" ht="15" customHeight="1">
      <c r="A112" s="103" t="inlineStr">
        <is>
          <t>Alexandra Jones</t>
        </is>
      </c>
      <c r="B112" s="104" t="n">
        <v>46124</v>
      </c>
      <c r="C112" s="104" t="n">
        <v>42971</v>
      </c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  <v/>
      </c>
      <c r="E112" s="103" t="inlineStr">
        <is>
          <t>Yes</t>
        </is>
      </c>
      <c r="F112" s="103" t="inlineStr">
        <is>
          <t>D</t>
        </is>
      </c>
      <c r="G112" s="103" t="inlineStr">
        <is>
          <t>Behavioral Health</t>
        </is>
      </c>
      <c r="H112" s="103" t="inlineStr">
        <is>
          <t>Resignation</t>
        </is>
      </c>
      <c r="I112" s="103" t="inlineStr">
        <is>
          <t>Megan Miller</t>
        </is>
      </c>
      <c r="J112" s="104" t="inlineStr">
        <is>
          <t>TBD</t>
        </is>
      </c>
      <c r="K112" s="103" t="inlineStr">
        <is>
          <t>Other</t>
        </is>
      </c>
      <c r="L112" s="103" t="n"/>
      <c r="M112" s="105">
        <f>IFERROR(VLOOKUP(G112,Reference!$I$2:$J$175,2,FALSE()),"Operations")</f>
        <v/>
      </c>
      <c r="N112" s="6" t="n"/>
      <c r="O112" s="6" t="n"/>
    </row>
    <row r="113" ht="15" customHeight="1">
      <c r="A113" s="100" t="inlineStr">
        <is>
          <t>Selah Waterhouse</t>
        </is>
      </c>
      <c r="B113" s="101" t="n">
        <v>46121</v>
      </c>
      <c r="C113" s="101" t="n">
        <v>45813</v>
      </c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  <v/>
      </c>
      <c r="E113" s="100" t="n"/>
      <c r="F113" s="100" t="n"/>
      <c r="G113" s="100" t="n"/>
      <c r="H113" s="100" t="n"/>
      <c r="I113" s="100" t="n"/>
      <c r="J113" s="101" t="n"/>
      <c r="K113" s="100" t="inlineStr">
        <is>
          <t>Sub/Floater</t>
        </is>
      </c>
      <c r="L113" s="100" t="n"/>
      <c r="M113" s="102">
        <f>IFERROR(VLOOKUP(G113,Reference!$I$2:$J$175,2,FALSE()),"Operations")</f>
        <v/>
      </c>
      <c r="N113" s="6" t="n"/>
      <c r="O113" s="6" t="n"/>
    </row>
    <row r="114" ht="15" customHeight="1">
      <c r="A114" s="103" t="inlineStr">
        <is>
          <t>Monica Phillips</t>
        </is>
      </c>
      <c r="B114" s="104" t="n"/>
      <c r="C114" s="104" t="n">
        <v>46062</v>
      </c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  <v/>
      </c>
      <c r="E114" s="103" t="n"/>
      <c r="F114" s="103" t="n"/>
      <c r="G114" s="103" t="n"/>
      <c r="H114" s="103" t="n"/>
      <c r="I114" s="103" t="n"/>
      <c r="J114" s="104" t="n"/>
      <c r="K114" s="103" t="inlineStr">
        <is>
          <t>DSP</t>
        </is>
      </c>
      <c r="L114" s="103" t="n"/>
      <c r="M114" s="105">
        <f>IFERROR(VLOOKUP(G114,Reference!$I$2:$J$175,2,FALSE()),"Operations")</f>
        <v/>
      </c>
      <c r="N114" s="6" t="n"/>
      <c r="O114" s="6" t="n"/>
    </row>
    <row r="115" ht="15" customHeight="1">
      <c r="A115" s="100" t="inlineStr">
        <is>
          <t>James Bolden</t>
        </is>
      </c>
      <c r="B115" s="101" t="n"/>
      <c r="C115" s="101" t="n">
        <v>45720</v>
      </c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  <v/>
      </c>
      <c r="E115" s="100" t="n"/>
      <c r="F115" s="100" t="n"/>
      <c r="G115" s="100" t="n"/>
      <c r="H115" s="100" t="n"/>
      <c r="I115" s="100" t="n"/>
      <c r="J115" s="101" t="n"/>
      <c r="K115" s="100" t="inlineStr">
        <is>
          <t>DSP</t>
        </is>
      </c>
      <c r="L115" s="100" t="n"/>
      <c r="M115" s="102">
        <f>IFERROR(VLOOKUP(G115,Reference!$I$2:$J$175,2,FALSE()),"Operations")</f>
        <v/>
      </c>
      <c r="N115" s="6" t="n"/>
      <c r="O115" s="6" t="n"/>
    </row>
    <row r="116" ht="15" customHeight="1">
      <c r="A116" s="103" t="inlineStr">
        <is>
          <t>Brittany Boone</t>
        </is>
      </c>
      <c r="B116" s="104" t="n"/>
      <c r="C116" s="104" t="n">
        <v>45750</v>
      </c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  <v/>
      </c>
      <c r="E116" s="103" t="n"/>
      <c r="F116" s="103" t="n"/>
      <c r="G116" s="103" t="n"/>
      <c r="H116" s="103" t="n"/>
      <c r="I116" s="103" t="n"/>
      <c r="J116" s="104" t="n"/>
      <c r="K116" s="103" t="inlineStr">
        <is>
          <t>DSP</t>
        </is>
      </c>
      <c r="L116" s="103" t="n"/>
      <c r="M116" s="105">
        <f>IFERROR(VLOOKUP(G116,Reference!$I$2:$J$175,2,FALSE()),"Operations")</f>
        <v/>
      </c>
      <c r="N116" s="6" t="n"/>
      <c r="O116" s="6" t="n"/>
    </row>
    <row r="117" ht="15" customHeight="1">
      <c r="A117" s="100" t="inlineStr">
        <is>
          <t>Hope Lane</t>
        </is>
      </c>
      <c r="B117" s="101" t="n"/>
      <c r="C117" s="101" t="n">
        <v>46049</v>
      </c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  <v/>
      </c>
      <c r="E117" s="100" t="n"/>
      <c r="F117" s="100" t="n"/>
      <c r="G117" s="100" t="n"/>
      <c r="H117" s="100" t="n"/>
      <c r="I117" s="100" t="n"/>
      <c r="J117" s="101" t="n"/>
      <c r="K117" s="100" t="inlineStr">
        <is>
          <t>DSP</t>
        </is>
      </c>
      <c r="L117" s="100" t="n"/>
      <c r="M117" s="102">
        <f>IFERROR(VLOOKUP(G117,Reference!$I$2:$J$175,2,FALSE()),"Operations")</f>
        <v/>
      </c>
      <c r="N117" s="6" t="n"/>
      <c r="O117" s="6" t="n"/>
    </row>
    <row r="118" ht="15" customHeight="1">
      <c r="A118" s="103" t="n"/>
      <c r="B118" s="104" t="n"/>
      <c r="C118" s="104" t="n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  <v/>
      </c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  <c r="N118" s="6" t="n"/>
      <c r="O118" s="6" t="n"/>
    </row>
    <row r="119" ht="15" customHeight="1">
      <c r="A119" s="106" t="n"/>
      <c r="B119" s="107" t="n"/>
      <c r="C119" s="108" t="n"/>
      <c r="D119" s="108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  <v/>
      </c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>
        <f>IFERROR(VLOOKUP(G119,Reference!$I$2:$J$175,2,FALSE()),"Operations")</f>
        <v/>
      </c>
      <c r="N119" s="6" t="n"/>
      <c r="O119" s="6" t="n"/>
    </row>
    <row r="120" ht="6" customHeight="1">
      <c r="A120" s="6" t="n"/>
      <c r="B120" s="6" t="n"/>
      <c r="C120" s="6" t="n"/>
      <c r="D120" s="6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>
        <f>IFERROR(VLOOKUP(G120,Reference!$I$2:$J$175,2,FALSE()),"Operations")</f>
        <v/>
      </c>
      <c r="N120" s="6" t="n"/>
      <c r="O120" s="6" t="n"/>
    </row>
    <row r="121" ht="21.75" customHeight="1">
      <c r="A121" s="163" t="n"/>
      <c r="D121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  <v/>
      </c>
      <c r="M121">
        <f>IFERROR(VLOOKUP(G121,Reference!$I$2:$J$175,2,FALSE()),"Operations")</f>
        <v/>
      </c>
      <c r="N121" s="6" t="n"/>
      <c r="O121" s="6" t="n"/>
    </row>
    <row r="122" ht="19.5" customHeight="1">
      <c r="A122" s="64" t="n"/>
      <c r="B122" s="64" t="n"/>
      <c r="C122" s="64" t="n"/>
      <c r="D122" s="64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  <v/>
      </c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>
        <f>IFERROR(VLOOKUP(G122,Reference!$I$2:$J$175,2,FALSE()),"Operations")</f>
        <v/>
      </c>
      <c r="N122" s="6" t="n"/>
      <c r="O122" s="6" t="n"/>
    </row>
    <row r="123" ht="15" customHeight="1">
      <c r="A123" s="100" t="n"/>
      <c r="B123" s="101" t="n"/>
      <c r="C123" s="101" t="n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  <v/>
      </c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  <c r="N123" s="6" t="n"/>
      <c r="O123" s="6" t="n"/>
    </row>
    <row r="124" ht="15" customHeight="1">
      <c r="A124" s="103" t="n"/>
      <c r="B124" s="104" t="n"/>
      <c r="C124" s="104" t="n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  <v/>
      </c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  <c r="N124" s="6" t="n"/>
      <c r="O124" s="6" t="n"/>
    </row>
    <row r="125" ht="15" customHeight="1">
      <c r="A125" s="100" t="n"/>
      <c r="B125" s="101" t="n"/>
      <c r="C125" s="101" t="n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  <v/>
      </c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  <c r="N125" s="6" t="n"/>
      <c r="O125" s="6" t="n"/>
    </row>
    <row r="126" ht="15" customHeight="1">
      <c r="A126" s="103" t="n"/>
      <c r="B126" s="104" t="n"/>
      <c r="C126" s="104" t="n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  <v/>
      </c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  <c r="N126" s="6" t="n"/>
      <c r="O126" s="6" t="n"/>
    </row>
    <row r="127" ht="15" customHeight="1">
      <c r="A127" s="100" t="n"/>
      <c r="B127" s="101" t="n"/>
      <c r="C127" s="101" t="n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  <v/>
      </c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  <c r="N127" s="6" t="n"/>
      <c r="O127" s="6" t="n"/>
    </row>
    <row r="128" ht="15" customHeight="1">
      <c r="A128" s="103" t="n"/>
      <c r="B128" s="104" t="n"/>
      <c r="C128" s="104" t="n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  <v/>
      </c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  <c r="N128" s="6" t="n"/>
      <c r="O128" s="6" t="n"/>
    </row>
    <row r="129" ht="15" customHeight="1">
      <c r="A129" s="100" t="n"/>
      <c r="B129" s="101" t="n"/>
      <c r="C129" s="101" t="n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  <v/>
      </c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  <c r="N129" s="6" t="n"/>
      <c r="O129" s="6" t="n"/>
    </row>
    <row r="130" ht="15" customHeight="1">
      <c r="A130" s="103" t="n"/>
      <c r="B130" s="104" t="n"/>
      <c r="C130" s="104" t="n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  <v/>
      </c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  <c r="N130" s="6" t="n"/>
      <c r="O130" s="6" t="n"/>
    </row>
    <row r="131" ht="15" customHeight="1">
      <c r="A131" s="100" t="n"/>
      <c r="B131" s="101" t="n"/>
      <c r="C131" s="101" t="n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  <v/>
      </c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  <c r="N131" s="6" t="n"/>
      <c r="O131" s="6" t="n"/>
    </row>
    <row r="132" ht="15" customHeight="1">
      <c r="A132" s="103" t="n"/>
      <c r="B132" s="104" t="n"/>
      <c r="C132" s="104" t="n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  <v/>
      </c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  <c r="N132" s="6" t="n"/>
      <c r="O132" s="6" t="n"/>
    </row>
    <row r="133" ht="15" customHeight="1">
      <c r="A133" s="100" t="n"/>
      <c r="B133" s="101" t="n"/>
      <c r="C133" s="101" t="n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  <v/>
      </c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  <c r="N133" s="6" t="n"/>
      <c r="O133" s="6" t="n"/>
    </row>
    <row r="134" ht="15" customHeight="1">
      <c r="A134" s="103" t="n"/>
      <c r="B134" s="104" t="n"/>
      <c r="C134" s="104" t="n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  <v/>
      </c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  <c r="N134" s="6" t="n"/>
      <c r="O134" s="6" t="n"/>
    </row>
    <row r="135" ht="15" customHeight="1">
      <c r="A135" s="100" t="n"/>
      <c r="B135" s="101" t="n"/>
      <c r="C135" s="101" t="n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  <v/>
      </c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  <c r="N135" s="6" t="n"/>
      <c r="O135" s="6" t="n"/>
    </row>
    <row r="136" ht="15" customHeight="1">
      <c r="A136" s="103" t="n"/>
      <c r="B136" s="104" t="n"/>
      <c r="C136" s="104" t="n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  <v/>
      </c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  <c r="N136" s="6" t="n"/>
      <c r="O136" s="6" t="n"/>
    </row>
    <row r="137" ht="15" customHeight="1">
      <c r="A137" s="100" t="n"/>
      <c r="B137" s="101" t="n"/>
      <c r="C137" s="101" t="n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  <v/>
      </c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  <c r="N137" s="6" t="n"/>
      <c r="O137" s="6" t="n"/>
    </row>
    <row r="138" ht="15" customHeight="1">
      <c r="A138" s="103" t="n"/>
      <c r="B138" s="104" t="n"/>
      <c r="C138" s="104" t="n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  <v/>
      </c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  <c r="N138" s="6" t="n"/>
      <c r="O138" s="6" t="n"/>
    </row>
    <row r="139" ht="15" customHeight="1">
      <c r="A139" s="100" t="n"/>
      <c r="B139" s="101" t="n"/>
      <c r="C139" s="101" t="n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  <v/>
      </c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  <c r="N139" s="6" t="n"/>
      <c r="O139" s="6" t="n"/>
    </row>
    <row r="140" ht="15" customHeight="1">
      <c r="A140" s="103" t="n"/>
      <c r="B140" s="104" t="n"/>
      <c r="C140" s="104" t="n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  <v/>
      </c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  <c r="N140" s="6" t="n"/>
      <c r="O140" s="6" t="n"/>
    </row>
    <row r="141" ht="15" customHeight="1">
      <c r="A141" s="100" t="inlineStr">
        <is>
          <t>SUBTOTAL:</t>
        </is>
      </c>
      <c r="B141" s="101">
        <f>COUNTA(A111:A140)</f>
        <v/>
      </c>
      <c r="C141" s="101" t="n"/>
      <c r="D141" s="100" t="n"/>
      <c r="E141" s="100" t="n"/>
      <c r="F141" s="100" t="n"/>
      <c r="G141" s="100" t="n"/>
      <c r="H141" s="100" t="n"/>
      <c r="I141" s="100" t="n"/>
      <c r="J141" s="101" t="n"/>
      <c r="K141" s="100" t="n"/>
      <c r="L141" s="100" t="n"/>
      <c r="M141" s="102" t="n"/>
      <c r="N141" s="6" t="n"/>
      <c r="O141" s="6" t="n"/>
    </row>
    <row r="142" ht="15" customHeight="1">
      <c r="A142" s="103" t="n"/>
      <c r="B142" s="104" t="n"/>
      <c r="C142" s="104" t="n"/>
      <c r="D142" s="103" t="n"/>
      <c r="E142" s="103" t="n"/>
      <c r="F142" s="103" t="n"/>
      <c r="G142" s="103" t="n"/>
      <c r="H142" s="103" t="n"/>
      <c r="I142" s="103" t="n"/>
      <c r="J142" s="104" t="n"/>
      <c r="K142" s="103" t="n"/>
      <c r="L142" s="103" t="n"/>
      <c r="M142" s="105" t="n"/>
      <c r="N142" s="6" t="n"/>
      <c r="O142" s="6" t="n"/>
    </row>
    <row r="143" ht="15" customHeight="1">
      <c r="A143" s="100" t="inlineStr">
        <is>
          <t>MAY 2026</t>
        </is>
      </c>
      <c r="B143" s="170" t="n"/>
      <c r="C143" s="170" t="n"/>
      <c r="D143" s="170" t="n"/>
      <c r="E143" s="170" t="n"/>
      <c r="F143" s="170" t="n"/>
      <c r="G143" s="170" t="n"/>
      <c r="H143" s="170" t="n"/>
      <c r="I143" s="170" t="n"/>
      <c r="J143" s="170" t="n"/>
      <c r="K143" s="170" t="n"/>
      <c r="L143" s="170" t="n"/>
      <c r="M143" s="171" t="n"/>
      <c r="N143" s="6" t="n"/>
      <c r="O143" s="6" t="n"/>
    </row>
    <row r="144" ht="15" customHeight="1">
      <c r="A144" s="103" t="inlineStr">
        <is>
          <t>Name</t>
        </is>
      </c>
      <c r="B144" s="104" t="inlineStr">
        <is>
          <t>Date of Separation</t>
        </is>
      </c>
      <c r="C144" s="104" t="inlineStr">
        <is>
          <t>DOH</t>
        </is>
      </c>
      <c r="D144" s="103" t="inlineStr">
        <is>
          <t>Length of Service</t>
        </is>
      </c>
      <c r="E144" s="103" t="inlineStr">
        <is>
          <t>Eligible for Rehire</t>
        </is>
      </c>
      <c r="F144" s="103" t="inlineStr">
        <is>
          <t>Status</t>
        </is>
      </c>
      <c r="G144" s="103" t="inlineStr">
        <is>
          <t>Location</t>
        </is>
      </c>
      <c r="H144" s="103" t="inlineStr">
        <is>
          <t>Reason for Leaving</t>
        </is>
      </c>
      <c r="I144" s="103" t="inlineStr">
        <is>
          <t>Supervisor</t>
        </is>
      </c>
      <c r="J144" s="104" t="inlineStr">
        <is>
          <t>Exit Interview Date</t>
        </is>
      </c>
      <c r="K144" s="103" t="inlineStr">
        <is>
          <t>Job</t>
        </is>
      </c>
      <c r="L144" s="103" t="inlineStr">
        <is>
          <t>Comments</t>
        </is>
      </c>
      <c r="M144" s="105" t="inlineStr">
        <is>
          <t>Department</t>
        </is>
      </c>
      <c r="N144" s="6" t="inlineStr">
        <is>
          <t>Synced To Hub</t>
        </is>
      </c>
      <c r="O144" s="6" t="inlineStr">
        <is>
          <t>Do Not Sync</t>
        </is>
      </c>
    </row>
    <row r="145" ht="15" customHeight="1">
      <c r="A145" s="100" t="n"/>
      <c r="B145" s="101" t="n"/>
      <c r="C145" s="101" t="n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  <v/>
      </c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  <c r="N145" s="6" t="n"/>
      <c r="O145" s="6" t="n"/>
    </row>
    <row r="146" ht="15" customHeight="1">
      <c r="A146" s="103" t="n"/>
      <c r="B146" s="104" t="n"/>
      <c r="C146" s="104" t="n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  <v/>
      </c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  <c r="N146" s="6" t="n"/>
      <c r="O146" s="6" t="n"/>
    </row>
    <row r="147" ht="15" customHeight="1">
      <c r="A147" s="100" t="n"/>
      <c r="B147" s="101" t="n"/>
      <c r="C147" s="101" t="n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  <v/>
      </c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  <c r="N147" s="6" t="n"/>
      <c r="O147" s="6" t="n"/>
    </row>
    <row r="148" ht="15" customHeight="1">
      <c r="A148" s="103" t="n"/>
      <c r="B148" s="104" t="n"/>
      <c r="C148" s="104" t="n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  <v/>
      </c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  <c r="N148" s="6" t="n"/>
      <c r="O148" s="6" t="n"/>
    </row>
    <row r="149" ht="15" customHeight="1">
      <c r="A149" s="100" t="n"/>
      <c r="B149" s="101" t="n"/>
      <c r="C149" s="101" t="n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  <v/>
      </c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  <c r="N149" s="6" t="n"/>
      <c r="O149" s="6" t="n"/>
    </row>
    <row r="150" ht="15" customHeight="1">
      <c r="A150" s="103" t="n"/>
      <c r="B150" s="104" t="n"/>
      <c r="C150" s="104" t="n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  <v/>
      </c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  <c r="N150" s="6" t="n"/>
      <c r="O150" s="6" t="n"/>
    </row>
    <row r="151" ht="15" customHeight="1">
      <c r="A151" s="100" t="n"/>
      <c r="B151" s="101" t="n"/>
      <c r="C151" s="101" t="n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  <v/>
      </c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  <c r="N151" s="6" t="n"/>
      <c r="O151" s="6" t="n"/>
    </row>
    <row r="152" ht="15" customHeight="1">
      <c r="A152" s="103" t="n"/>
      <c r="B152" s="104" t="n"/>
      <c r="C152" s="104" t="n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  <v/>
      </c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  <c r="N152" s="6" t="n"/>
      <c r="O152" s="6" t="n"/>
    </row>
    <row r="153" ht="15" customHeight="1">
      <c r="A153" s="106" t="n"/>
      <c r="B153" s="107" t="n"/>
      <c r="C153" s="108" t="n"/>
      <c r="D153" s="108">
        <f>IF(OR(B153="",C153=""),"",IF(DATEDIF(C153,B153,"y")&gt;=1,DATEDIF(C153,B153,"y")&amp;IF(DATEDIF(C153,B153,"y")=1," year "," years ")&amp;DATEDIF(C153,B153,"ym")&amp;IF(DATEDIF(C153,B153,"ym")=1," month"," months"),IF(DATEDIF(C153,B153,"m")&gt;=1,DATEDIF(C153,B153,"m")&amp;IF(DATEDIF(C153,B153,"m")=1," month"," months"),DATEDIF(C153,B153,"d")&amp;IF(DATEDIF(C153,B153,"d")=1," day"," days"))))</f>
        <v/>
      </c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>
        <f>IFERROR(VLOOKUP(G153,Reference!$I$2:$J$175,2,FALSE()),"Operations")</f>
        <v/>
      </c>
      <c r="N153" s="6" t="n"/>
      <c r="O153" s="6" t="n"/>
    </row>
    <row r="154" ht="6" customHeight="1">
      <c r="A154" s="6" t="n"/>
      <c r="B154" s="6" t="n"/>
      <c r="C154" s="6" t="n"/>
      <c r="D154" s="6">
        <f>IF(OR(B154="",C154=""),"",IF(DATEDIF(C154,B154,"y")&gt;=1,DATEDIF(C154,B154,"y")&amp;IF(DATEDIF(C154,B154,"y")=1," year "," years ")&amp;DATEDIF(C154,B154,"ym")&amp;IF(DATEDIF(C154,B154,"ym")=1," month"," months"),IF(DATEDIF(C154,B154,"m")&gt;=1,DATEDIF(C154,B154,"m")&amp;IF(DATEDIF(C154,B154,"m")=1," month"," months"),DATEDIF(C154,B154,"d")&amp;IF(DATEDIF(C154,B154,"d")=1," day"," days"))))</f>
        <v/>
      </c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>
        <f>IFERROR(VLOOKUP(G154,Reference!$I$2:$J$175,2,FALSE()),"Operations")</f>
        <v/>
      </c>
      <c r="N154" s="6" t="n"/>
      <c r="O154" s="6" t="n"/>
    </row>
    <row r="155" ht="21.75" customHeight="1">
      <c r="A155" s="163" t="n"/>
      <c r="D155">
        <f>IF(OR(B155="",C155=""),"",IF(DATEDIF(C155,B155,"y")&gt;=1,DATEDIF(C155,B155,"y")&amp;IF(DATEDIF(C155,B155,"y")=1," year "," years ")&amp;DATEDIF(C155,B155,"ym")&amp;IF(DATEDIF(C155,B155,"ym")=1," month"," months"),IF(DATEDIF(C155,B155,"m")&gt;=1,DATEDIF(C155,B155,"m")&amp;IF(DATEDIF(C155,B155,"m")=1," month"," months"),DATEDIF(C155,B155,"d")&amp;IF(DATEDIF(C155,B155,"d")=1," day"," days"))))</f>
        <v/>
      </c>
      <c r="M155">
        <f>IFERROR(VLOOKUP(G155,Reference!$I$2:$J$175,2,FALSE()),"Operations")</f>
        <v/>
      </c>
      <c r="N155" s="6" t="n"/>
      <c r="O155" s="6" t="n"/>
    </row>
    <row r="156" ht="19.5" customHeight="1">
      <c r="A156" s="64" t="n"/>
      <c r="B156" s="64" t="n"/>
      <c r="C156" s="64" t="n"/>
      <c r="D156" s="64">
        <f>IF(OR(B156="",C156=""),"",IF(DATEDIF(C156,B156,"y")&gt;=1,DATEDIF(C156,B156,"y")&amp;IF(DATEDIF(C156,B156,"y")=1," year "," years ")&amp;DATEDIF(C156,B156,"ym")&amp;IF(DATEDIF(C156,B156,"ym")=1," month"," months"),IF(DATEDIF(C156,B156,"m")&gt;=1,DATEDIF(C156,B156,"m")&amp;IF(DATEDIF(C156,B156,"m")=1," month"," months"),DATEDIF(C156,B156,"d")&amp;IF(DATEDIF(C156,B156,"d")=1," day"," days"))))</f>
        <v/>
      </c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>
        <f>IFERROR(VLOOKUP(G156,Reference!$I$2:$J$175,2,FALSE()),"Operations")</f>
        <v/>
      </c>
      <c r="N156" s="6" t="n"/>
      <c r="O156" s="6" t="n"/>
    </row>
    <row r="157" ht="15" customHeight="1">
      <c r="A157" s="100" t="n"/>
      <c r="B157" s="101" t="n"/>
      <c r="C157" s="101" t="n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  <v/>
      </c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  <c r="N157" s="6" t="n"/>
      <c r="O157" s="6" t="n"/>
    </row>
    <row r="158" ht="15" customHeight="1">
      <c r="A158" s="103" t="n"/>
      <c r="B158" s="104" t="n"/>
      <c r="C158" s="104" t="n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  <v/>
      </c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  <c r="N158" s="6" t="n"/>
      <c r="O158" s="6" t="n"/>
    </row>
    <row r="159" ht="15" customHeight="1">
      <c r="A159" s="100" t="n"/>
      <c r="B159" s="101" t="n"/>
      <c r="C159" s="101" t="n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  <v/>
      </c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  <c r="N159" s="6" t="n"/>
      <c r="O159" s="6" t="n"/>
    </row>
    <row r="160" ht="15" customHeight="1">
      <c r="A160" s="103" t="n"/>
      <c r="B160" s="104" t="n"/>
      <c r="C160" s="104" t="n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  <v/>
      </c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  <c r="N160" s="6" t="n"/>
      <c r="O160" s="6" t="n"/>
    </row>
    <row r="161" ht="15" customHeight="1">
      <c r="A161" s="100" t="n"/>
      <c r="B161" s="101" t="n"/>
      <c r="C161" s="101" t="n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  <v/>
      </c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  <c r="N161" s="6" t="n"/>
      <c r="O161" s="6" t="n"/>
    </row>
    <row r="162" ht="15" customHeight="1">
      <c r="A162" s="103" t="n"/>
      <c r="B162" s="104" t="n"/>
      <c r="C162" s="104" t="n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  <v/>
      </c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  <c r="N162" s="6" t="n"/>
      <c r="O162" s="6" t="n"/>
    </row>
    <row r="163" ht="15" customHeight="1">
      <c r="A163" s="100" t="n"/>
      <c r="B163" s="101" t="n"/>
      <c r="C163" s="101" t="n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  <v/>
      </c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  <c r="N163" s="6" t="n"/>
      <c r="O163" s="6" t="n"/>
    </row>
    <row r="164" ht="15" customHeight="1">
      <c r="A164" s="103" t="n"/>
      <c r="B164" s="104" t="n"/>
      <c r="C164" s="104" t="n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  <v/>
      </c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  <c r="N164" s="6" t="n"/>
      <c r="O164" s="6" t="n"/>
    </row>
    <row r="165" ht="15" customHeight="1">
      <c r="A165" s="100" t="n"/>
      <c r="B165" s="101" t="n"/>
      <c r="C165" s="101" t="n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  <v/>
      </c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  <c r="N165" s="6" t="n"/>
      <c r="O165" s="6" t="n"/>
    </row>
    <row r="166" ht="15" customHeight="1">
      <c r="A166" s="103" t="n"/>
      <c r="B166" s="104" t="n"/>
      <c r="C166" s="104" t="n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  <v/>
      </c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  <c r="N166" s="6" t="n"/>
      <c r="O166" s="6" t="n"/>
    </row>
    <row r="167" ht="15" customHeight="1">
      <c r="A167" s="100" t="n"/>
      <c r="B167" s="101" t="n"/>
      <c r="C167" s="101" t="n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  <v/>
      </c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  <c r="N167" s="6" t="n"/>
      <c r="O167" s="6" t="n"/>
    </row>
    <row r="168" ht="15" customHeight="1">
      <c r="A168" s="103" t="n"/>
      <c r="B168" s="104" t="n"/>
      <c r="C168" s="104" t="n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  <v/>
      </c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  <c r="N168" s="6" t="n"/>
      <c r="O168" s="6" t="n"/>
    </row>
    <row r="169" ht="15" customHeight="1">
      <c r="A169" s="100" t="n"/>
      <c r="B169" s="101" t="n"/>
      <c r="C169" s="101" t="n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  <v/>
      </c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  <c r="N169" s="6" t="n"/>
      <c r="O169" s="6" t="n"/>
    </row>
    <row r="170" ht="15" customHeight="1">
      <c r="A170" s="103" t="n"/>
      <c r="B170" s="104" t="n"/>
      <c r="C170" s="104" t="n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  <v/>
      </c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  <c r="N170" s="6" t="n"/>
      <c r="O170" s="6" t="n"/>
    </row>
    <row r="171" ht="15" customHeight="1">
      <c r="A171" s="100" t="n"/>
      <c r="B171" s="101" t="n"/>
      <c r="C171" s="101" t="n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  <v/>
      </c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  <c r="N171" s="6" t="n"/>
      <c r="O171" s="6" t="n"/>
    </row>
    <row r="172" ht="15" customHeight="1">
      <c r="A172" s="103" t="n"/>
      <c r="B172" s="104" t="n"/>
      <c r="C172" s="104" t="n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  <v/>
      </c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  <c r="N172" s="6" t="n"/>
      <c r="O172" s="6" t="n"/>
    </row>
    <row r="173" ht="15" customHeight="1">
      <c r="A173" s="100" t="n"/>
      <c r="B173" s="101" t="n"/>
      <c r="C173" s="101" t="n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  <v/>
      </c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  <c r="N173" s="6" t="n"/>
      <c r="O173" s="6" t="n"/>
    </row>
    <row r="174" ht="15" customHeight="1">
      <c r="A174" s="103" t="n"/>
      <c r="B174" s="104" t="n"/>
      <c r="C174" s="104" t="n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  <v/>
      </c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  <c r="N174" s="6" t="n"/>
      <c r="O174" s="6" t="n"/>
    </row>
    <row r="175" ht="15" customHeight="1">
      <c r="A175" s="100" t="inlineStr">
        <is>
          <t>SUBTOTAL:</t>
        </is>
      </c>
      <c r="B175" s="101">
        <f>COUNTA(A145:A174)</f>
        <v/>
      </c>
      <c r="C175" s="101" t="n"/>
      <c r="D175" s="100" t="n"/>
      <c r="E175" s="100" t="n"/>
      <c r="F175" s="100" t="n"/>
      <c r="G175" s="100" t="n"/>
      <c r="H175" s="100" t="n"/>
      <c r="I175" s="100" t="n"/>
      <c r="J175" s="101" t="n"/>
      <c r="K175" s="100" t="n"/>
      <c r="L175" s="100" t="n"/>
      <c r="M175" s="102" t="n"/>
      <c r="N175" s="6" t="n"/>
      <c r="O175" s="6" t="n"/>
    </row>
    <row r="176" ht="15" customHeight="1">
      <c r="A176" s="103" t="n"/>
      <c r="B176" s="104" t="n"/>
      <c r="C176" s="104" t="n"/>
      <c r="D176" s="103" t="n"/>
      <c r="E176" s="103" t="n"/>
      <c r="F176" s="103" t="n"/>
      <c r="G176" s="103" t="n"/>
      <c r="H176" s="103" t="n"/>
      <c r="I176" s="103" t="n"/>
      <c r="J176" s="104" t="n"/>
      <c r="K176" s="103" t="n"/>
      <c r="L176" s="103" t="n"/>
      <c r="M176" s="105" t="n"/>
      <c r="N176" s="6" t="n"/>
      <c r="O176" s="6" t="n"/>
    </row>
    <row r="177" ht="15" customHeight="1">
      <c r="A177" s="100" t="inlineStr">
        <is>
          <t>JUNE 2026</t>
        </is>
      </c>
      <c r="B177" s="170" t="n"/>
      <c r="C177" s="170" t="n"/>
      <c r="D177" s="170" t="n"/>
      <c r="E177" s="170" t="n"/>
      <c r="F177" s="170" t="n"/>
      <c r="G177" s="170" t="n"/>
      <c r="H177" s="170" t="n"/>
      <c r="I177" s="170" t="n"/>
      <c r="J177" s="170" t="n"/>
      <c r="K177" s="170" t="n"/>
      <c r="L177" s="170" t="n"/>
      <c r="M177" s="171" t="n"/>
      <c r="N177" s="6" t="n"/>
      <c r="O177" s="6" t="n"/>
    </row>
    <row r="178" ht="15" customHeight="1">
      <c r="A178" s="103" t="inlineStr">
        <is>
          <t>Name</t>
        </is>
      </c>
      <c r="B178" s="104" t="inlineStr">
        <is>
          <t>Date of Separation</t>
        </is>
      </c>
      <c r="C178" s="104" t="inlineStr">
        <is>
          <t>DOH</t>
        </is>
      </c>
      <c r="D178" s="103" t="inlineStr">
        <is>
          <t>Length of Service</t>
        </is>
      </c>
      <c r="E178" s="103" t="inlineStr">
        <is>
          <t>Eligible for Rehire</t>
        </is>
      </c>
      <c r="F178" s="103" t="inlineStr">
        <is>
          <t>Status</t>
        </is>
      </c>
      <c r="G178" s="103" t="inlineStr">
        <is>
          <t>Location</t>
        </is>
      </c>
      <c r="H178" s="103" t="inlineStr">
        <is>
          <t>Reason for Leaving</t>
        </is>
      </c>
      <c r="I178" s="103" t="inlineStr">
        <is>
          <t>Supervisor</t>
        </is>
      </c>
      <c r="J178" s="104" t="inlineStr">
        <is>
          <t>Exit Interview Date</t>
        </is>
      </c>
      <c r="K178" s="103" t="inlineStr">
        <is>
          <t>Job</t>
        </is>
      </c>
      <c r="L178" s="103" t="inlineStr">
        <is>
          <t>Comments</t>
        </is>
      </c>
      <c r="M178" s="105" t="inlineStr">
        <is>
          <t>Department</t>
        </is>
      </c>
      <c r="N178" s="6" t="inlineStr">
        <is>
          <t>Synced To Hub</t>
        </is>
      </c>
      <c r="O178" s="6" t="inlineStr">
        <is>
          <t>Do Not Sync</t>
        </is>
      </c>
    </row>
    <row r="179" ht="15" customHeight="1">
      <c r="A179" s="100" t="n"/>
      <c r="B179" s="101" t="n"/>
      <c r="C179" s="101" t="n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  <v/>
      </c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  <c r="N179" s="6" t="n"/>
      <c r="O179" s="6" t="n"/>
    </row>
    <row r="180" ht="15" customHeight="1">
      <c r="A180" s="103" t="n"/>
      <c r="B180" s="104" t="n"/>
      <c r="C180" s="104" t="n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  <v/>
      </c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  <c r="N180" s="6" t="n"/>
      <c r="O180" s="6" t="n"/>
    </row>
    <row r="181" ht="15" customHeight="1">
      <c r="A181" s="100" t="n"/>
      <c r="B181" s="101" t="n"/>
      <c r="C181" s="101" t="n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  <v/>
      </c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  <c r="N181" s="6" t="n"/>
      <c r="O181" s="6" t="n"/>
    </row>
    <row r="182" ht="15" customHeight="1">
      <c r="A182" s="103" t="n"/>
      <c r="B182" s="104" t="n"/>
      <c r="C182" s="104" t="n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  <v/>
      </c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  <c r="N182" s="6" t="n"/>
      <c r="O182" s="6" t="n"/>
    </row>
    <row r="183" ht="15" customHeight="1">
      <c r="A183" s="100" t="n"/>
      <c r="B183" s="101" t="n"/>
      <c r="C183" s="101" t="n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  <v/>
      </c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  <c r="N183" s="6" t="n"/>
      <c r="O183" s="6" t="n"/>
    </row>
    <row r="184" ht="15" customHeight="1">
      <c r="A184" s="103" t="n"/>
      <c r="B184" s="104" t="n"/>
      <c r="C184" s="104" t="n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  <v/>
      </c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  <c r="N184" s="6" t="n"/>
      <c r="O184" s="6" t="n"/>
    </row>
    <row r="185" ht="15" customHeight="1">
      <c r="A185" s="100" t="n"/>
      <c r="B185" s="101" t="n"/>
      <c r="C185" s="101" t="n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  <v/>
      </c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  <c r="N185" s="6" t="n"/>
      <c r="O185" s="6" t="n"/>
    </row>
    <row r="186" ht="15" customHeight="1">
      <c r="A186" s="103" t="n"/>
      <c r="B186" s="104" t="n"/>
      <c r="C186" s="104" t="n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  <v/>
      </c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  <c r="N186" s="6" t="n"/>
      <c r="O186" s="6" t="n"/>
    </row>
    <row r="187" ht="15" customHeight="1">
      <c r="A187" s="106" t="n"/>
      <c r="B187" s="107" t="n"/>
      <c r="C187" s="108" t="n"/>
      <c r="D187" s="108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  <v/>
      </c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>
        <f>IFERROR(VLOOKUP(G187,Reference!$I$2:$J$175,2,FALSE()),"Operations")</f>
        <v/>
      </c>
      <c r="N187" s="6" t="n"/>
      <c r="O187" s="6" t="n"/>
    </row>
    <row r="188" ht="6" customHeight="1">
      <c r="A188" s="6" t="n"/>
      <c r="B188" s="6" t="n"/>
      <c r="C188" s="6" t="n"/>
      <c r="D188" s="6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  <v/>
      </c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>
        <f>IFERROR(VLOOKUP(G188,Reference!$I$2:$J$175,2,FALSE()),"Operations")</f>
        <v/>
      </c>
      <c r="N188" s="6" t="n"/>
      <c r="O188" s="6" t="n"/>
    </row>
    <row r="189" ht="21.75" customHeight="1">
      <c r="A189" s="163" t="n"/>
      <c r="D189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  <v/>
      </c>
      <c r="M189">
        <f>IFERROR(VLOOKUP(G189,Reference!$I$2:$J$175,2,FALSE()),"Operations")</f>
        <v/>
      </c>
      <c r="N189" s="6" t="n"/>
      <c r="O189" s="6" t="n"/>
    </row>
    <row r="190" ht="19.5" customHeight="1">
      <c r="A190" s="64" t="n"/>
      <c r="B190" s="64" t="n"/>
      <c r="C190" s="64" t="n"/>
      <c r="D190" s="64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  <v/>
      </c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>
        <f>IFERROR(VLOOKUP(G190,Reference!$I$2:$J$175,2,FALSE()),"Operations")</f>
        <v/>
      </c>
      <c r="N190" s="6" t="n"/>
      <c r="O190" s="6" t="n"/>
    </row>
    <row r="191" ht="15" customHeight="1">
      <c r="A191" s="100" t="n"/>
      <c r="B191" s="101" t="n"/>
      <c r="C191" s="101" t="n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  <v/>
      </c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  <c r="N191" s="6" t="n"/>
      <c r="O191" s="6" t="n"/>
    </row>
    <row r="192" ht="15" customHeight="1">
      <c r="A192" s="103" t="n"/>
      <c r="B192" s="104" t="n"/>
      <c r="C192" s="104" t="n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  <v/>
      </c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  <c r="N192" s="6" t="n"/>
      <c r="O192" s="6" t="n"/>
    </row>
    <row r="193" ht="15" customHeight="1">
      <c r="A193" s="100" t="n"/>
      <c r="B193" s="101" t="n"/>
      <c r="C193" s="101" t="n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  <v/>
      </c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  <c r="N193" s="6" t="n"/>
      <c r="O193" s="6" t="n"/>
    </row>
    <row r="194" ht="15" customHeight="1">
      <c r="A194" s="103" t="n"/>
      <c r="B194" s="104" t="n"/>
      <c r="C194" s="104" t="n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  <v/>
      </c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  <c r="N194" s="6" t="n"/>
      <c r="O194" s="6" t="n"/>
    </row>
    <row r="195" ht="15" customHeight="1">
      <c r="A195" s="100" t="n"/>
      <c r="B195" s="101" t="n"/>
      <c r="C195" s="101" t="n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  <v/>
      </c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  <c r="N195" s="6" t="n"/>
      <c r="O195" s="6" t="n"/>
    </row>
    <row r="196" ht="15" customHeight="1">
      <c r="A196" s="103" t="n"/>
      <c r="B196" s="104" t="n"/>
      <c r="C196" s="104" t="n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  <v/>
      </c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  <c r="N196" s="6" t="n"/>
      <c r="O196" s="6" t="n"/>
    </row>
    <row r="197" ht="15" customHeight="1">
      <c r="A197" s="100" t="n"/>
      <c r="B197" s="101" t="n"/>
      <c r="C197" s="101" t="n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  <v/>
      </c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  <c r="N197" s="6" t="n"/>
      <c r="O197" s="6" t="n"/>
    </row>
    <row r="198" ht="15" customHeight="1">
      <c r="A198" s="103" t="n"/>
      <c r="B198" s="104" t="n"/>
      <c r="C198" s="104" t="n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  <v/>
      </c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  <c r="N198" s="6" t="n"/>
      <c r="O198" s="6" t="n"/>
    </row>
    <row r="199" ht="15" customHeight="1">
      <c r="A199" s="100" t="n"/>
      <c r="B199" s="101" t="n"/>
      <c r="C199" s="101" t="n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  <v/>
      </c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  <c r="N199" s="6" t="n"/>
      <c r="O199" s="6" t="n"/>
    </row>
    <row r="200" ht="15" customHeight="1">
      <c r="A200" s="103" t="n"/>
      <c r="B200" s="104" t="n"/>
      <c r="C200" s="104" t="n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  <v/>
      </c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  <c r="N200" s="6" t="n"/>
      <c r="O200" s="6" t="n"/>
    </row>
    <row r="201" ht="15" customHeight="1">
      <c r="A201" s="100" t="n"/>
      <c r="B201" s="101" t="n"/>
      <c r="C201" s="101" t="n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  <v/>
      </c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  <c r="N201" s="6" t="n"/>
      <c r="O201" s="6" t="n"/>
    </row>
    <row r="202" ht="15" customHeight="1">
      <c r="A202" s="103" t="n"/>
      <c r="B202" s="104" t="n"/>
      <c r="C202" s="104" t="n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  <v/>
      </c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  <c r="N202" s="6" t="n"/>
      <c r="O202" s="6" t="n"/>
    </row>
    <row r="203" ht="15" customHeight="1">
      <c r="A203" s="100" t="n"/>
      <c r="B203" s="101" t="n"/>
      <c r="C203" s="101" t="n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  <v/>
      </c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  <c r="N203" s="6" t="n"/>
      <c r="O203" s="6" t="n"/>
    </row>
    <row r="204" ht="15" customHeight="1">
      <c r="A204" s="103" t="n"/>
      <c r="B204" s="104" t="n"/>
      <c r="C204" s="104" t="n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  <v/>
      </c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  <c r="N204" s="6" t="n"/>
      <c r="O204" s="6" t="n"/>
    </row>
    <row r="205" ht="15" customHeight="1">
      <c r="A205" s="100" t="n"/>
      <c r="B205" s="101" t="n"/>
      <c r="C205" s="101" t="n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  <v/>
      </c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  <c r="N205" s="6" t="n"/>
      <c r="O205" s="6" t="n"/>
    </row>
    <row r="206" ht="15" customHeight="1">
      <c r="A206" s="103" t="n"/>
      <c r="B206" s="104" t="n"/>
      <c r="C206" s="104" t="n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  <v/>
      </c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  <c r="N206" s="6" t="n"/>
      <c r="O206" s="6" t="n"/>
    </row>
    <row r="207" ht="15" customHeight="1">
      <c r="A207" s="100" t="n"/>
      <c r="B207" s="101" t="n"/>
      <c r="C207" s="101" t="n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  <v/>
      </c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  <c r="N207" s="6" t="n"/>
      <c r="O207" s="6" t="n"/>
    </row>
    <row r="208" ht="15" customHeight="1">
      <c r="A208" s="103" t="n"/>
      <c r="B208" s="104" t="n"/>
      <c r="C208" s="104" t="n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  <v/>
      </c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  <c r="N208" s="6" t="n"/>
      <c r="O208" s="6" t="n"/>
    </row>
    <row r="209" ht="15" customHeight="1">
      <c r="A209" s="100" t="inlineStr">
        <is>
          <t>SUBTOTAL:</t>
        </is>
      </c>
      <c r="B209" s="101">
        <f>COUNTA(A179:A208)</f>
        <v/>
      </c>
      <c r="C209" s="101" t="n"/>
      <c r="D209" s="100" t="n"/>
      <c r="E209" s="100" t="n"/>
      <c r="F209" s="100" t="n"/>
      <c r="G209" s="100" t="n"/>
      <c r="H209" s="100" t="n"/>
      <c r="I209" s="100" t="n"/>
      <c r="J209" s="101" t="n"/>
      <c r="K209" s="100" t="n"/>
      <c r="L209" s="100" t="n"/>
      <c r="M209" s="102" t="n"/>
      <c r="N209" s="6" t="n"/>
      <c r="O209" s="6" t="n"/>
    </row>
    <row r="210" ht="15" customHeight="1">
      <c r="A210" s="103" t="n"/>
      <c r="B210" s="104" t="n"/>
      <c r="C210" s="104" t="n"/>
      <c r="D210" s="103" t="n"/>
      <c r="E210" s="103" t="n"/>
      <c r="F210" s="103" t="n"/>
      <c r="G210" s="103" t="n"/>
      <c r="H210" s="103" t="n"/>
      <c r="I210" s="103" t="n"/>
      <c r="J210" s="104" t="n"/>
      <c r="K210" s="103" t="n"/>
      <c r="L210" s="103" t="n"/>
      <c r="M210" s="105" t="n"/>
      <c r="N210" s="6" t="n"/>
      <c r="O210" s="6" t="n"/>
    </row>
    <row r="211" ht="15" customHeight="1">
      <c r="A211" s="100" t="inlineStr">
        <is>
          <t>JULY 2026</t>
        </is>
      </c>
      <c r="B211" s="170" t="n"/>
      <c r="C211" s="170" t="n"/>
      <c r="D211" s="170" t="n"/>
      <c r="E211" s="170" t="n"/>
      <c r="F211" s="170" t="n"/>
      <c r="G211" s="170" t="n"/>
      <c r="H211" s="170" t="n"/>
      <c r="I211" s="170" t="n"/>
      <c r="J211" s="170" t="n"/>
      <c r="K211" s="170" t="n"/>
      <c r="L211" s="170" t="n"/>
      <c r="M211" s="171" t="n"/>
      <c r="N211" s="6" t="n"/>
      <c r="O211" s="6" t="n"/>
    </row>
    <row r="212" ht="15" customHeight="1">
      <c r="A212" s="103" t="inlineStr">
        <is>
          <t>Name</t>
        </is>
      </c>
      <c r="B212" s="104" t="inlineStr">
        <is>
          <t>Date of Separation</t>
        </is>
      </c>
      <c r="C212" s="104" t="inlineStr">
        <is>
          <t>DOH</t>
        </is>
      </c>
      <c r="D212" s="103" t="inlineStr">
        <is>
          <t>Length of Service</t>
        </is>
      </c>
      <c r="E212" s="103" t="inlineStr">
        <is>
          <t>Eligible for Rehire</t>
        </is>
      </c>
      <c r="F212" s="103" t="inlineStr">
        <is>
          <t>Status</t>
        </is>
      </c>
      <c r="G212" s="103" t="inlineStr">
        <is>
          <t>Location</t>
        </is>
      </c>
      <c r="H212" s="103" t="inlineStr">
        <is>
          <t>Reason for Leaving</t>
        </is>
      </c>
      <c r="I212" s="103" t="inlineStr">
        <is>
          <t>Supervisor</t>
        </is>
      </c>
      <c r="J212" s="104" t="inlineStr">
        <is>
          <t>Exit Interview Date</t>
        </is>
      </c>
      <c r="K212" s="103" t="inlineStr">
        <is>
          <t>Job</t>
        </is>
      </c>
      <c r="L212" s="103" t="inlineStr">
        <is>
          <t>Comments</t>
        </is>
      </c>
      <c r="M212" s="105" t="inlineStr">
        <is>
          <t>Department</t>
        </is>
      </c>
      <c r="N212" s="6" t="inlineStr">
        <is>
          <t>Synced To Hub</t>
        </is>
      </c>
      <c r="O212" s="6" t="inlineStr">
        <is>
          <t>Do Not Sync</t>
        </is>
      </c>
    </row>
    <row r="213" ht="15" customHeight="1">
      <c r="A213" s="100" t="n"/>
      <c r="B213" s="101" t="n"/>
      <c r="C213" s="101" t="n"/>
      <c r="D213" s="100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  <c r="N213" s="6" t="n"/>
      <c r="O213" s="6" t="n"/>
    </row>
    <row r="214" ht="15" customHeight="1">
      <c r="A214" s="103" t="n"/>
      <c r="B214" s="104" t="n"/>
      <c r="C214" s="104" t="n"/>
      <c r="D214" s="103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  <c r="N214" s="6" t="n"/>
      <c r="O214" s="6" t="n"/>
    </row>
    <row r="215" ht="15" customHeight="1">
      <c r="A215" s="100" t="n"/>
      <c r="B215" s="101" t="n"/>
      <c r="C215" s="101" t="n"/>
      <c r="D215" s="100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  <c r="N215" s="6" t="n"/>
      <c r="O215" s="6" t="n"/>
    </row>
    <row r="216" ht="15" customHeight="1">
      <c r="A216" s="103" t="n"/>
      <c r="B216" s="104" t="n"/>
      <c r="C216" s="104" t="n"/>
      <c r="D216" s="103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  <c r="N216" s="6" t="n"/>
      <c r="O216" s="6" t="n"/>
    </row>
    <row r="217" ht="15" customHeight="1">
      <c r="A217" s="100" t="n"/>
      <c r="B217" s="101" t="n"/>
      <c r="C217" s="101" t="n"/>
      <c r="D217" s="100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  <c r="N217" s="6" t="n"/>
      <c r="O217" s="6" t="n"/>
    </row>
    <row r="218" ht="15" customHeight="1">
      <c r="A218" s="103" t="n"/>
      <c r="B218" s="104" t="n"/>
      <c r="C218" s="104" t="n"/>
      <c r="D218" s="103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  <c r="N218" s="6" t="n"/>
      <c r="O218" s="6" t="n"/>
    </row>
    <row r="219" ht="15" customHeight="1">
      <c r="A219" s="100" t="n"/>
      <c r="B219" s="101" t="n"/>
      <c r="C219" s="101" t="n"/>
      <c r="D219" s="100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  <c r="N219" s="6" t="n"/>
      <c r="O219" s="6" t="n"/>
    </row>
    <row r="220" ht="15" customHeight="1">
      <c r="A220" s="103" t="n"/>
      <c r="B220" s="104" t="n"/>
      <c r="C220" s="104" t="n"/>
      <c r="D220" s="103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  <c r="N220" s="6" t="n"/>
      <c r="O220" s="6" t="n"/>
    </row>
    <row r="221" ht="15" customHeight="1">
      <c r="A221" s="106" t="n"/>
      <c r="B221" s="107" t="n"/>
      <c r="C221" s="108" t="n"/>
      <c r="D221" s="108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>
        <f>IFERROR(VLOOKUP(G221,Reference!$I$2:$J$175,2,FALSE()),"Operations")</f>
        <v/>
      </c>
      <c r="N221" s="6" t="n"/>
      <c r="O221" s="6" t="n"/>
    </row>
    <row r="222" ht="6" customHeight="1">
      <c r="A222" s="6" t="n"/>
      <c r="B222" s="6" t="n"/>
      <c r="C222" s="6" t="n"/>
      <c r="D222" s="6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>
        <f>IFERROR(VLOOKUP(G222,Reference!$I$2:$J$175,2,FALSE()),"Operations")</f>
        <v/>
      </c>
      <c r="N222" s="6" t="n"/>
      <c r="O222" s="6" t="n"/>
    </row>
    <row r="223" ht="21.75" customHeight="1">
      <c r="A223" s="163" t="n"/>
      <c r="D223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M223">
        <f>IFERROR(VLOOKUP(G223,Reference!$I$2:$J$175,2,FALSE()),"Operations")</f>
        <v/>
      </c>
      <c r="N223" s="6" t="n"/>
      <c r="O223" s="6" t="n"/>
    </row>
    <row r="224" ht="19.5" customHeight="1">
      <c r="A224" s="64" t="n"/>
      <c r="B224" s="64" t="n"/>
      <c r="C224" s="64" t="n"/>
      <c r="D224" s="64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>
        <f>IFERROR(VLOOKUP(G224,Reference!$I$2:$J$175,2,FALSE()),"Operations")</f>
        <v/>
      </c>
      <c r="N224" s="6" t="n"/>
      <c r="O224" s="6" t="n"/>
    </row>
    <row r="225" ht="15" customHeight="1">
      <c r="A225" s="100" t="n"/>
      <c r="B225" s="101" t="n"/>
      <c r="C225" s="101" t="n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  <c r="N225" s="6" t="n"/>
      <c r="O225" s="6" t="n"/>
    </row>
    <row r="226" ht="15" customHeight="1">
      <c r="A226" s="103" t="n"/>
      <c r="B226" s="104" t="n"/>
      <c r="C226" s="104" t="n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  <c r="N226" s="6" t="n"/>
      <c r="O226" s="6" t="n"/>
    </row>
    <row r="227" ht="15" customHeight="1">
      <c r="A227" s="100" t="n"/>
      <c r="B227" s="101" t="n"/>
      <c r="C227" s="101" t="n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  <c r="N227" s="6" t="n"/>
      <c r="O227" s="6" t="n"/>
    </row>
    <row r="228" ht="15" customHeight="1">
      <c r="A228" s="103" t="n"/>
      <c r="B228" s="104" t="n"/>
      <c r="C228" s="104" t="n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  <c r="N228" s="6" t="n"/>
      <c r="O228" s="6" t="n"/>
    </row>
    <row r="229" ht="15" customHeight="1">
      <c r="A229" s="100" t="n"/>
      <c r="B229" s="101" t="n"/>
      <c r="C229" s="101" t="n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  <v/>
      </c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  <c r="N229" s="6" t="n"/>
      <c r="O229" s="6" t="n"/>
    </row>
    <row r="230" ht="15" customHeight="1">
      <c r="A230" s="103" t="n"/>
      <c r="B230" s="104" t="n"/>
      <c r="C230" s="104" t="n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  <v/>
      </c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  <c r="N230" s="6" t="n"/>
      <c r="O230" s="6" t="n"/>
    </row>
    <row r="231" ht="15" customHeight="1">
      <c r="A231" s="100" t="n"/>
      <c r="B231" s="101" t="n"/>
      <c r="C231" s="101" t="n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  <v/>
      </c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  <c r="N231" s="6" t="n"/>
      <c r="O231" s="6" t="n"/>
    </row>
    <row r="232" ht="15" customHeight="1">
      <c r="A232" s="103" t="n"/>
      <c r="B232" s="104" t="n"/>
      <c r="C232" s="104" t="n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  <v/>
      </c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  <c r="N232" s="6" t="n"/>
      <c r="O232" s="6" t="n"/>
    </row>
    <row r="233" ht="15" customHeight="1">
      <c r="A233" s="100" t="n"/>
      <c r="B233" s="101" t="n"/>
      <c r="C233" s="101" t="n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  <v/>
      </c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  <c r="N233" s="6" t="n"/>
      <c r="O233" s="6" t="n"/>
    </row>
    <row r="234" ht="15" customHeight="1">
      <c r="A234" s="103" t="n"/>
      <c r="B234" s="104" t="n"/>
      <c r="C234" s="104" t="n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  <v/>
      </c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  <c r="N234" s="6" t="n"/>
      <c r="O234" s="6" t="n"/>
    </row>
    <row r="235" ht="15" customHeight="1">
      <c r="A235" s="100" t="n"/>
      <c r="B235" s="101" t="n"/>
      <c r="C235" s="101" t="n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  <v/>
      </c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  <c r="N235" s="6" t="n"/>
      <c r="O235" s="6" t="n"/>
    </row>
    <row r="236" ht="15" customHeight="1">
      <c r="A236" s="103" t="n"/>
      <c r="B236" s="104" t="n"/>
      <c r="C236" s="104" t="n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  <v/>
      </c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  <c r="N236" s="6" t="n"/>
      <c r="O236" s="6" t="n"/>
    </row>
    <row r="237" ht="15" customHeight="1">
      <c r="A237" s="100" t="n"/>
      <c r="B237" s="101" t="n"/>
      <c r="C237" s="101" t="n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  <v/>
      </c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  <c r="N237" s="6" t="n"/>
      <c r="O237" s="6" t="n"/>
    </row>
    <row r="238" ht="15" customHeight="1">
      <c r="A238" s="103" t="n"/>
      <c r="B238" s="104" t="n"/>
      <c r="C238" s="104" t="n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  <v/>
      </c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  <c r="N238" s="6" t="n"/>
      <c r="O238" s="6" t="n"/>
    </row>
    <row r="239" ht="15" customHeight="1">
      <c r="A239" s="100" t="n"/>
      <c r="B239" s="101" t="n"/>
      <c r="C239" s="101" t="n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  <v/>
      </c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  <c r="N239" s="6" t="n"/>
      <c r="O239" s="6" t="n"/>
    </row>
    <row r="240" ht="15" customHeight="1">
      <c r="A240" s="103" t="n"/>
      <c r="B240" s="104" t="n"/>
      <c r="C240" s="104" t="n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  <v/>
      </c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  <c r="N240" s="6" t="n"/>
      <c r="O240" s="6" t="n"/>
    </row>
    <row r="241" ht="15" customHeight="1">
      <c r="A241" s="100" t="n"/>
      <c r="B241" s="101" t="n"/>
      <c r="C241" s="101" t="n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  <v/>
      </c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  <c r="N241" s="6" t="n"/>
      <c r="O241" s="6" t="n"/>
    </row>
    <row r="242" ht="15" customHeight="1">
      <c r="A242" s="103" t="n"/>
      <c r="B242" s="104" t="n"/>
      <c r="C242" s="104" t="n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  <v/>
      </c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  <c r="N242" s="6" t="n"/>
      <c r="O242" s="6" t="n"/>
    </row>
    <row r="243" ht="15" customHeight="1">
      <c r="A243" s="100" t="inlineStr">
        <is>
          <t>SUBTOTAL:</t>
        </is>
      </c>
      <c r="B243" s="101">
        <f>COUNTA(A213:A242)</f>
        <v/>
      </c>
      <c r="C243" s="101" t="n"/>
      <c r="D243" s="100" t="n"/>
      <c r="E243" s="100" t="n"/>
      <c r="F243" s="100" t="n"/>
      <c r="G243" s="100" t="n"/>
      <c r="H243" s="100" t="n"/>
      <c r="I243" s="100" t="n"/>
      <c r="J243" s="101" t="n"/>
      <c r="K243" s="100" t="n"/>
      <c r="L243" s="100" t="n"/>
      <c r="M243" s="102" t="n"/>
      <c r="N243" s="6" t="n"/>
      <c r="O243" s="6" t="n"/>
    </row>
    <row r="244" ht="15" customHeight="1">
      <c r="A244" s="103" t="n"/>
      <c r="B244" s="104" t="n"/>
      <c r="C244" s="104" t="n"/>
      <c r="D244" s="103" t="n"/>
      <c r="E244" s="103" t="n"/>
      <c r="F244" s="103" t="n"/>
      <c r="G244" s="103" t="n"/>
      <c r="H244" s="103" t="n"/>
      <c r="I244" s="103" t="n"/>
      <c r="J244" s="104" t="n"/>
      <c r="K244" s="103" t="n"/>
      <c r="L244" s="103" t="n"/>
      <c r="M244" s="105" t="n"/>
      <c r="N244" s="6" t="n"/>
      <c r="O244" s="6" t="n"/>
    </row>
    <row r="245" ht="15" customHeight="1">
      <c r="A245" s="100" t="inlineStr">
        <is>
          <t>AUGUST 2026</t>
        </is>
      </c>
      <c r="B245" s="170" t="n"/>
      <c r="C245" s="170" t="n"/>
      <c r="D245" s="170" t="n"/>
      <c r="E245" s="170" t="n"/>
      <c r="F245" s="170" t="n"/>
      <c r="G245" s="170" t="n"/>
      <c r="H245" s="170" t="n"/>
      <c r="I245" s="170" t="n"/>
      <c r="J245" s="170" t="n"/>
      <c r="K245" s="170" t="n"/>
      <c r="L245" s="170" t="n"/>
      <c r="M245" s="171" t="n"/>
      <c r="N245" s="6" t="n"/>
      <c r="O245" s="6" t="n"/>
    </row>
    <row r="246" ht="15" customHeight="1">
      <c r="A246" s="103" t="inlineStr">
        <is>
          <t>Name</t>
        </is>
      </c>
      <c r="B246" s="104" t="inlineStr">
        <is>
          <t>Date of Separation</t>
        </is>
      </c>
      <c r="C246" s="104" t="inlineStr">
        <is>
          <t>DOH</t>
        </is>
      </c>
      <c r="D246" s="103" t="inlineStr">
        <is>
          <t>Length of Service</t>
        </is>
      </c>
      <c r="E246" s="103" t="inlineStr">
        <is>
          <t>Eligible for Rehire</t>
        </is>
      </c>
      <c r="F246" s="103" t="inlineStr">
        <is>
          <t>Status</t>
        </is>
      </c>
      <c r="G246" s="103" t="inlineStr">
        <is>
          <t>Location</t>
        </is>
      </c>
      <c r="H246" s="103" t="inlineStr">
        <is>
          <t>Reason for Leaving</t>
        </is>
      </c>
      <c r="I246" s="103" t="inlineStr">
        <is>
          <t>Supervisor</t>
        </is>
      </c>
      <c r="J246" s="104" t="inlineStr">
        <is>
          <t>Exit Interview Date</t>
        </is>
      </c>
      <c r="K246" s="103" t="inlineStr">
        <is>
          <t>Job</t>
        </is>
      </c>
      <c r="L246" s="103" t="inlineStr">
        <is>
          <t>Comments</t>
        </is>
      </c>
      <c r="M246" s="105" t="inlineStr">
        <is>
          <t>Department</t>
        </is>
      </c>
      <c r="N246" s="6" t="inlineStr">
        <is>
          <t>Synced To Hub</t>
        </is>
      </c>
      <c r="O246" s="6" t="inlineStr">
        <is>
          <t>Do Not Sync</t>
        </is>
      </c>
    </row>
    <row r="247" ht="15" customHeight="1">
      <c r="A247" s="100" t="n"/>
      <c r="B247" s="101" t="n"/>
      <c r="C247" s="101" t="n"/>
      <c r="D247" s="100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  <c r="N247" s="6" t="n"/>
      <c r="O247" s="6" t="n"/>
    </row>
    <row r="248" ht="15" customHeight="1">
      <c r="A248" s="103" t="n"/>
      <c r="B248" s="104" t="n"/>
      <c r="C248" s="104" t="n"/>
      <c r="D248" s="103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  <c r="N248" s="6" t="n"/>
      <c r="O248" s="6" t="n"/>
    </row>
    <row r="249" ht="15" customHeight="1">
      <c r="A249" s="100" t="n"/>
      <c r="B249" s="101" t="n"/>
      <c r="C249" s="101" t="n"/>
      <c r="D249" s="100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  <c r="N249" s="6" t="n"/>
      <c r="O249" s="6" t="n"/>
    </row>
    <row r="250" ht="15" customHeight="1">
      <c r="A250" s="103" t="n"/>
      <c r="B250" s="104" t="n"/>
      <c r="C250" s="104" t="n"/>
      <c r="D250" s="103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  <c r="N250" s="6" t="n"/>
      <c r="O250" s="6" t="n"/>
    </row>
    <row r="251" ht="15" customHeight="1">
      <c r="A251" s="100" t="n"/>
      <c r="B251" s="101" t="n"/>
      <c r="C251" s="101" t="n"/>
      <c r="D251" s="100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  <c r="N251" s="6" t="n"/>
      <c r="O251" s="6" t="n"/>
    </row>
    <row r="252" ht="15" customHeight="1">
      <c r="A252" s="103" t="n"/>
      <c r="B252" s="104" t="n"/>
      <c r="C252" s="104" t="n"/>
      <c r="D252" s="103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  <c r="N252" s="6" t="n"/>
      <c r="O252" s="6" t="n"/>
    </row>
    <row r="253" ht="15" customHeight="1">
      <c r="A253" s="100" t="n"/>
      <c r="B253" s="101" t="n"/>
      <c r="C253" s="101" t="n"/>
      <c r="D253" s="100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  <c r="N253" s="6" t="n"/>
      <c r="O253" s="6" t="n"/>
    </row>
    <row r="254" ht="15" customHeight="1">
      <c r="A254" s="103" t="n"/>
      <c r="B254" s="104" t="n"/>
      <c r="C254" s="104" t="n"/>
      <c r="D254" s="103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  <c r="N254" s="6" t="n"/>
      <c r="O254" s="6" t="n"/>
    </row>
    <row r="255" ht="15" customHeight="1">
      <c r="A255" s="106" t="n"/>
      <c r="B255" s="107" t="n"/>
      <c r="C255" s="108" t="n"/>
      <c r="D255" s="108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>
        <f>IFERROR(VLOOKUP(G255,Reference!$I$2:$J$175,2,FALSE()),"Operations")</f>
        <v/>
      </c>
      <c r="N255" s="6" t="n"/>
      <c r="O255" s="6" t="n"/>
    </row>
    <row r="256" ht="6" customHeight="1">
      <c r="A256" s="6" t="n"/>
      <c r="B256" s="6" t="n"/>
      <c r="C256" s="6" t="n"/>
      <c r="D256" s="6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>
        <f>IFERROR(VLOOKUP(G256,Reference!$I$2:$J$175,2,FALSE()),"Operations")</f>
        <v/>
      </c>
      <c r="N256" s="6" t="n"/>
      <c r="O256" s="6" t="n"/>
    </row>
    <row r="257" ht="21.75" customHeight="1">
      <c r="A257" s="163" t="n"/>
      <c r="D25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M257">
        <f>IFERROR(VLOOKUP(G257,Reference!$I$2:$J$175,2,FALSE()),"Operations")</f>
        <v/>
      </c>
      <c r="N257" s="6" t="n"/>
      <c r="O257" s="6" t="n"/>
    </row>
    <row r="258" ht="19.5" customHeight="1">
      <c r="A258" s="64" t="n"/>
      <c r="B258" s="64" t="n"/>
      <c r="C258" s="64" t="n"/>
      <c r="D258" s="64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>
        <f>IFERROR(VLOOKUP(G258,Reference!$I$2:$J$175,2,FALSE()),"Operations")</f>
        <v/>
      </c>
      <c r="N258" s="6" t="n"/>
      <c r="O258" s="6" t="n"/>
    </row>
    <row r="259" ht="15" customHeight="1">
      <c r="A259" s="100" t="n"/>
      <c r="B259" s="101" t="n"/>
      <c r="C259" s="101" t="n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  <c r="N259" s="6" t="n"/>
      <c r="O259" s="6" t="n"/>
    </row>
    <row r="260" ht="15" customHeight="1">
      <c r="A260" s="103" t="n"/>
      <c r="B260" s="104" t="n"/>
      <c r="C260" s="104" t="n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  <c r="N260" s="6" t="n"/>
      <c r="O260" s="6" t="n"/>
    </row>
    <row r="261" ht="15" customHeight="1">
      <c r="A261" s="100" t="n"/>
      <c r="B261" s="101" t="n"/>
      <c r="C261" s="101" t="n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  <v/>
      </c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  <c r="N261" s="6" t="n"/>
      <c r="O261" s="6" t="n"/>
    </row>
    <row r="262" ht="15" customHeight="1">
      <c r="A262" s="103" t="n"/>
      <c r="B262" s="104" t="n"/>
      <c r="C262" s="104" t="n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  <v/>
      </c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  <c r="N262" s="6" t="n"/>
      <c r="O262" s="6" t="n"/>
    </row>
    <row r="263" ht="15" customHeight="1">
      <c r="A263" s="100" t="n"/>
      <c r="B263" s="101" t="n"/>
      <c r="C263" s="101" t="n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  <v/>
      </c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  <c r="N263" s="6" t="n"/>
      <c r="O263" s="6" t="n"/>
    </row>
    <row r="264" ht="15" customHeight="1">
      <c r="A264" s="103" t="n"/>
      <c r="B264" s="104" t="n"/>
      <c r="C264" s="104" t="n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  <v/>
      </c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  <c r="N264" s="6" t="n"/>
      <c r="O264" s="6" t="n"/>
    </row>
    <row r="265" ht="15" customHeight="1">
      <c r="A265" s="100" t="n"/>
      <c r="B265" s="101" t="n"/>
      <c r="C265" s="101" t="n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  <v/>
      </c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  <c r="N265" s="6" t="n"/>
      <c r="O265" s="6" t="n"/>
    </row>
    <row r="266" ht="15" customHeight="1">
      <c r="A266" s="103" t="n"/>
      <c r="B266" s="104" t="n"/>
      <c r="C266" s="104" t="n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  <v/>
      </c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  <c r="N266" s="6" t="n"/>
      <c r="O266" s="6" t="n"/>
    </row>
    <row r="267" ht="15" customHeight="1">
      <c r="A267" s="100" t="n"/>
      <c r="B267" s="101" t="n"/>
      <c r="C267" s="101" t="n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  <v/>
      </c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  <c r="N267" s="6" t="n"/>
      <c r="O267" s="6" t="n"/>
    </row>
    <row r="268" ht="15" customHeight="1">
      <c r="A268" s="103" t="n"/>
      <c r="B268" s="104" t="n"/>
      <c r="C268" s="104" t="n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  <v/>
      </c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  <c r="N268" s="6" t="n"/>
      <c r="O268" s="6" t="n"/>
    </row>
    <row r="269" ht="15" customHeight="1">
      <c r="A269" s="100" t="n"/>
      <c r="B269" s="101" t="n"/>
      <c r="C269" s="101" t="n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  <v/>
      </c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  <c r="N269" s="6" t="n"/>
      <c r="O269" s="6" t="n"/>
    </row>
    <row r="270" ht="15" customHeight="1">
      <c r="A270" s="103" t="n"/>
      <c r="B270" s="104" t="n"/>
      <c r="C270" s="104" t="n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  <v/>
      </c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  <c r="N270" s="6" t="n"/>
      <c r="O270" s="6" t="n"/>
    </row>
    <row r="271" ht="15" customHeight="1">
      <c r="A271" s="100" t="n"/>
      <c r="B271" s="101" t="n"/>
      <c r="C271" s="101" t="n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  <v/>
      </c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  <c r="N271" s="6" t="n"/>
      <c r="O271" s="6" t="n"/>
    </row>
    <row r="272" ht="15" customHeight="1">
      <c r="A272" s="103" t="n"/>
      <c r="B272" s="104" t="n"/>
      <c r="C272" s="104" t="n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  <v/>
      </c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  <c r="N272" s="6" t="n"/>
      <c r="O272" s="6" t="n"/>
    </row>
    <row r="273" ht="15" customHeight="1">
      <c r="A273" s="100" t="n"/>
      <c r="B273" s="101" t="n"/>
      <c r="C273" s="101" t="n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  <v/>
      </c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  <c r="N273" s="6" t="n"/>
      <c r="O273" s="6" t="n"/>
    </row>
    <row r="274" ht="15" customHeight="1">
      <c r="A274" s="103" t="n"/>
      <c r="B274" s="104" t="n"/>
      <c r="C274" s="104" t="n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  <v/>
      </c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  <c r="N274" s="6" t="n"/>
      <c r="O274" s="6" t="n"/>
    </row>
    <row r="275" ht="15" customHeight="1">
      <c r="A275" s="100" t="n"/>
      <c r="B275" s="101" t="n"/>
      <c r="C275" s="101" t="n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  <v/>
      </c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  <c r="N275" s="6" t="n"/>
      <c r="O275" s="6" t="n"/>
    </row>
    <row r="276" ht="15" customHeight="1">
      <c r="A276" s="103" t="n"/>
      <c r="B276" s="104" t="n"/>
      <c r="C276" s="104" t="n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  <v/>
      </c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  <c r="N276" s="6" t="n"/>
      <c r="O276" s="6" t="n"/>
    </row>
    <row r="277" ht="15" customHeight="1">
      <c r="A277" s="100" t="inlineStr">
        <is>
          <t>SUBTOTAL:</t>
        </is>
      </c>
      <c r="B277" s="101">
        <f>COUNTA(A247:A276)</f>
        <v/>
      </c>
      <c r="C277" s="101" t="n"/>
      <c r="D277" s="100" t="n"/>
      <c r="E277" s="100" t="n"/>
      <c r="F277" s="100" t="n"/>
      <c r="G277" s="100" t="n"/>
      <c r="H277" s="100" t="n"/>
      <c r="I277" s="100" t="n"/>
      <c r="J277" s="101" t="n"/>
      <c r="K277" s="100" t="n"/>
      <c r="L277" s="100" t="n"/>
      <c r="M277" s="102" t="n"/>
      <c r="N277" s="6" t="n"/>
      <c r="O277" s="6" t="n"/>
    </row>
    <row r="278" ht="15" customHeight="1">
      <c r="A278" s="103" t="n"/>
      <c r="B278" s="104" t="n"/>
      <c r="C278" s="104" t="n"/>
      <c r="D278" s="103" t="n"/>
      <c r="E278" s="103" t="n"/>
      <c r="F278" s="103" t="n"/>
      <c r="G278" s="103" t="n"/>
      <c r="H278" s="103" t="n"/>
      <c r="I278" s="103" t="n"/>
      <c r="J278" s="104" t="n"/>
      <c r="K278" s="103" t="n"/>
      <c r="L278" s="103" t="n"/>
      <c r="M278" s="105" t="n"/>
      <c r="N278" s="6" t="n"/>
      <c r="O278" s="6" t="n"/>
    </row>
    <row r="279" ht="15" customHeight="1">
      <c r="A279" s="100" t="inlineStr">
        <is>
          <t>SEPTEMBER 2026</t>
        </is>
      </c>
      <c r="B279" s="170" t="n"/>
      <c r="C279" s="170" t="n"/>
      <c r="D279" s="170" t="n"/>
      <c r="E279" s="170" t="n"/>
      <c r="F279" s="170" t="n"/>
      <c r="G279" s="170" t="n"/>
      <c r="H279" s="170" t="n"/>
      <c r="I279" s="170" t="n"/>
      <c r="J279" s="170" t="n"/>
      <c r="K279" s="170" t="n"/>
      <c r="L279" s="170" t="n"/>
      <c r="M279" s="171" t="n"/>
      <c r="N279" s="6" t="n"/>
      <c r="O279" s="6" t="n"/>
    </row>
    <row r="280" ht="15" customHeight="1">
      <c r="A280" s="103" t="inlineStr">
        <is>
          <t>Name</t>
        </is>
      </c>
      <c r="B280" s="104" t="inlineStr">
        <is>
          <t>Date of Separation</t>
        </is>
      </c>
      <c r="C280" s="104" t="inlineStr">
        <is>
          <t>DOH</t>
        </is>
      </c>
      <c r="D280" s="103" t="inlineStr">
        <is>
          <t>Length of Service</t>
        </is>
      </c>
      <c r="E280" s="103" t="inlineStr">
        <is>
          <t>Eligible for Rehire</t>
        </is>
      </c>
      <c r="F280" s="103" t="inlineStr">
        <is>
          <t>Status</t>
        </is>
      </c>
      <c r="G280" s="103" t="inlineStr">
        <is>
          <t>Location</t>
        </is>
      </c>
      <c r="H280" s="103" t="inlineStr">
        <is>
          <t>Reason for Leaving</t>
        </is>
      </c>
      <c r="I280" s="103" t="inlineStr">
        <is>
          <t>Supervisor</t>
        </is>
      </c>
      <c r="J280" s="104" t="inlineStr">
        <is>
          <t>Exit Interview Date</t>
        </is>
      </c>
      <c r="K280" s="103" t="inlineStr">
        <is>
          <t>Job</t>
        </is>
      </c>
      <c r="L280" s="103" t="inlineStr">
        <is>
          <t>Comments</t>
        </is>
      </c>
      <c r="M280" s="105" t="inlineStr">
        <is>
          <t>Department</t>
        </is>
      </c>
      <c r="N280" s="6" t="inlineStr">
        <is>
          <t>Synced To Hub</t>
        </is>
      </c>
      <c r="O280" s="6" t="inlineStr">
        <is>
          <t>Do Not Sync</t>
        </is>
      </c>
    </row>
    <row r="281" ht="15" customHeight="1">
      <c r="A281" s="100" t="n"/>
      <c r="B281" s="101" t="n"/>
      <c r="C281" s="101" t="n"/>
      <c r="D281" s="100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  <c r="N281" s="6" t="n"/>
      <c r="O281" s="6" t="n"/>
    </row>
    <row r="282" ht="15" customHeight="1">
      <c r="A282" s="103" t="n"/>
      <c r="B282" s="104" t="n"/>
      <c r="C282" s="104" t="n"/>
      <c r="D282" s="103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  <c r="N282" s="6" t="n"/>
      <c r="O282" s="6" t="n"/>
    </row>
    <row r="283" ht="15" customHeight="1">
      <c r="A283" s="100" t="n"/>
      <c r="B283" s="101" t="n"/>
      <c r="C283" s="101" t="n"/>
      <c r="D283" s="100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  <c r="N283" s="6" t="n"/>
      <c r="O283" s="6" t="n"/>
    </row>
    <row r="284" ht="15" customHeight="1">
      <c r="A284" s="103" t="n"/>
      <c r="B284" s="104" t="n"/>
      <c r="C284" s="104" t="n"/>
      <c r="D284" s="103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  <c r="N284" s="6" t="n"/>
      <c r="O284" s="6" t="n"/>
    </row>
    <row r="285" ht="15" customHeight="1">
      <c r="A285" s="100" t="n"/>
      <c r="B285" s="101" t="n"/>
      <c r="C285" s="101" t="n"/>
      <c r="D285" s="100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  <c r="N285" s="6" t="n"/>
      <c r="O285" s="6" t="n"/>
    </row>
    <row r="286" ht="15" customHeight="1">
      <c r="A286" s="103" t="n"/>
      <c r="B286" s="104" t="n"/>
      <c r="C286" s="104" t="n"/>
      <c r="D286" s="103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  <c r="N286" s="6" t="n"/>
      <c r="O286" s="6" t="n"/>
    </row>
    <row r="287" ht="15" customHeight="1">
      <c r="A287" s="100" t="n"/>
      <c r="B287" s="101" t="n"/>
      <c r="C287" s="101" t="n"/>
      <c r="D287" s="100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  <c r="N287" s="6" t="n"/>
      <c r="O287" s="6" t="n"/>
    </row>
    <row r="288" ht="15" customHeight="1">
      <c r="A288" s="103" t="n"/>
      <c r="B288" s="104" t="n"/>
      <c r="C288" s="104" t="n"/>
      <c r="D288" s="103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  <c r="N288" s="6" t="n"/>
      <c r="O288" s="6" t="n"/>
    </row>
    <row r="289" ht="15" customHeight="1">
      <c r="A289" s="106" t="n"/>
      <c r="B289" s="107" t="n"/>
      <c r="C289" s="108" t="n"/>
      <c r="D289" s="108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>
        <f>IFERROR(VLOOKUP(G289,Reference!$I$2:$J$175,2,FALSE()),"Operations")</f>
        <v/>
      </c>
      <c r="N289" s="6" t="n"/>
      <c r="O289" s="6" t="n"/>
    </row>
    <row r="290" ht="6" customHeight="1">
      <c r="A290" s="6" t="n"/>
      <c r="B290" s="6" t="n"/>
      <c r="C290" s="6" t="n"/>
      <c r="D290" s="6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>
        <f>IFERROR(VLOOKUP(G290,Reference!$I$2:$J$175,2,FALSE()),"Operations")</f>
        <v/>
      </c>
      <c r="N290" s="6" t="n"/>
      <c r="O290" s="6" t="n"/>
    </row>
    <row r="291" ht="21.75" customHeight="1">
      <c r="A291" s="163" t="n"/>
      <c r="D291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M291">
        <f>IFERROR(VLOOKUP(G291,Reference!$I$2:$J$175,2,FALSE()),"Operations")</f>
        <v/>
      </c>
      <c r="N291" s="6" t="n"/>
      <c r="O291" s="6" t="n"/>
    </row>
    <row r="292" ht="19.5" customHeight="1">
      <c r="A292" s="64" t="n"/>
      <c r="B292" s="64" t="n"/>
      <c r="C292" s="64" t="n"/>
      <c r="D292" s="64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>
        <f>IFERROR(VLOOKUP(G292,Reference!$I$2:$J$175,2,FALSE()),"Operations")</f>
        <v/>
      </c>
      <c r="N292" s="6" t="n"/>
      <c r="O292" s="6" t="n"/>
    </row>
    <row r="293" ht="15" customHeight="1">
      <c r="A293" s="100" t="n"/>
      <c r="B293" s="101" t="n"/>
      <c r="C293" s="101" t="n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  <v/>
      </c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  <c r="N293" s="6" t="n"/>
      <c r="O293" s="6" t="n"/>
    </row>
    <row r="294" ht="15" customHeight="1">
      <c r="A294" s="103" t="n"/>
      <c r="B294" s="104" t="n"/>
      <c r="C294" s="104" t="n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  <v/>
      </c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  <c r="N294" s="6" t="n"/>
      <c r="O294" s="6" t="n"/>
    </row>
    <row r="295" ht="15" customHeight="1">
      <c r="A295" s="100" t="n"/>
      <c r="B295" s="101" t="n"/>
      <c r="C295" s="101" t="n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  <v/>
      </c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  <c r="N295" s="6" t="n"/>
      <c r="O295" s="6" t="n"/>
    </row>
    <row r="296" ht="15" customHeight="1">
      <c r="A296" s="103" t="n"/>
      <c r="B296" s="104" t="n"/>
      <c r="C296" s="104" t="n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  <v/>
      </c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  <c r="N296" s="6" t="n"/>
      <c r="O296" s="6" t="n"/>
    </row>
    <row r="297" ht="15" customHeight="1">
      <c r="A297" s="100" t="n"/>
      <c r="B297" s="101" t="n"/>
      <c r="C297" s="101" t="n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  <v/>
      </c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  <c r="N297" s="6" t="n"/>
      <c r="O297" s="6" t="n"/>
    </row>
    <row r="298" ht="15" customHeight="1">
      <c r="A298" s="103" t="n"/>
      <c r="B298" s="104" t="n"/>
      <c r="C298" s="104" t="n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  <v/>
      </c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  <c r="N298" s="6" t="n"/>
      <c r="O298" s="6" t="n"/>
    </row>
    <row r="299" ht="15" customHeight="1">
      <c r="A299" s="100" t="n"/>
      <c r="B299" s="101" t="n"/>
      <c r="C299" s="101" t="n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  <v/>
      </c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  <c r="N299" s="6" t="n"/>
      <c r="O299" s="6" t="n"/>
    </row>
    <row r="300" ht="15" customHeight="1">
      <c r="A300" s="103" t="n"/>
      <c r="B300" s="104" t="n"/>
      <c r="C300" s="104" t="n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  <v/>
      </c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  <c r="N300" s="6" t="n"/>
      <c r="O300" s="6" t="n"/>
    </row>
    <row r="301" ht="15" customHeight="1">
      <c r="A301" s="100" t="n"/>
      <c r="B301" s="101" t="n"/>
      <c r="C301" s="101" t="n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  <v/>
      </c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  <c r="N301" s="6" t="n"/>
      <c r="O301" s="6" t="n"/>
    </row>
    <row r="302" ht="15" customHeight="1">
      <c r="A302" s="103" t="n"/>
      <c r="B302" s="104" t="n"/>
      <c r="C302" s="104" t="n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  <v/>
      </c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  <c r="N302" s="6" t="n"/>
      <c r="O302" s="6" t="n"/>
    </row>
    <row r="303" ht="15" customHeight="1">
      <c r="A303" s="100" t="n"/>
      <c r="B303" s="101" t="n"/>
      <c r="C303" s="101" t="n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  <v/>
      </c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  <c r="N303" s="6" t="n"/>
      <c r="O303" s="6" t="n"/>
    </row>
    <row r="304" ht="15" customHeight="1">
      <c r="A304" s="103" t="n"/>
      <c r="B304" s="104" t="n"/>
      <c r="C304" s="104" t="n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  <v/>
      </c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  <c r="N304" s="6" t="n"/>
      <c r="O304" s="6" t="n"/>
    </row>
    <row r="305" ht="15" customHeight="1">
      <c r="A305" s="100" t="n"/>
      <c r="B305" s="101" t="n"/>
      <c r="C305" s="101" t="n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  <v/>
      </c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  <c r="N305" s="6" t="n"/>
      <c r="O305" s="6" t="n"/>
    </row>
    <row r="306" ht="15" customHeight="1">
      <c r="A306" s="103" t="n"/>
      <c r="B306" s="104" t="n"/>
      <c r="C306" s="104" t="n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  <v/>
      </c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  <c r="N306" s="6" t="n"/>
      <c r="O306" s="6" t="n"/>
    </row>
    <row r="307" ht="15" customHeight="1">
      <c r="A307" s="100" t="n"/>
      <c r="B307" s="101" t="n"/>
      <c r="C307" s="101" t="n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  <v/>
      </c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  <c r="N307" s="6" t="n"/>
      <c r="O307" s="6" t="n"/>
    </row>
    <row r="308" ht="15" customHeight="1">
      <c r="A308" s="103" t="n"/>
      <c r="B308" s="104" t="n"/>
      <c r="C308" s="104" t="n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  <v/>
      </c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  <c r="N308" s="6" t="n"/>
      <c r="O308" s="6" t="n"/>
    </row>
    <row r="309" ht="15" customHeight="1">
      <c r="A309" s="100" t="n"/>
      <c r="B309" s="101" t="n"/>
      <c r="C309" s="101" t="n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  <v/>
      </c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  <c r="N309" s="6" t="n"/>
      <c r="O309" s="6" t="n"/>
    </row>
    <row r="310" ht="15" customHeight="1">
      <c r="A310" s="103" t="n"/>
      <c r="B310" s="104" t="n"/>
      <c r="C310" s="104" t="n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  <v/>
      </c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  <c r="N310" s="6" t="n"/>
      <c r="O310" s="6" t="n"/>
    </row>
    <row r="311" ht="15" customHeight="1">
      <c r="A311" s="100" t="inlineStr">
        <is>
          <t>SUBTOTAL:</t>
        </is>
      </c>
      <c r="B311" s="101">
        <f>COUNTA(A281:A310)</f>
        <v/>
      </c>
      <c r="C311" s="101" t="n"/>
      <c r="D311" s="100" t="n"/>
      <c r="E311" s="100" t="n"/>
      <c r="F311" s="100" t="n"/>
      <c r="G311" s="100" t="n"/>
      <c r="H311" s="100" t="n"/>
      <c r="I311" s="100" t="n"/>
      <c r="J311" s="101" t="n"/>
      <c r="K311" s="100" t="n"/>
      <c r="L311" s="100" t="n"/>
      <c r="M311" s="102" t="n"/>
      <c r="N311" s="6" t="n"/>
      <c r="O311" s="6" t="n"/>
    </row>
    <row r="312" ht="15" customHeight="1">
      <c r="A312" s="103" t="n"/>
      <c r="B312" s="104" t="n"/>
      <c r="C312" s="104" t="n"/>
      <c r="D312" s="103" t="n"/>
      <c r="E312" s="103" t="n"/>
      <c r="F312" s="103" t="n"/>
      <c r="G312" s="103" t="n"/>
      <c r="H312" s="103" t="n"/>
      <c r="I312" s="103" t="n"/>
      <c r="J312" s="104" t="n"/>
      <c r="K312" s="103" t="n"/>
      <c r="L312" s="103" t="n"/>
      <c r="M312" s="105" t="n"/>
      <c r="N312" s="6" t="n"/>
      <c r="O312" s="6" t="n"/>
    </row>
    <row r="313" ht="15" customHeight="1">
      <c r="A313" s="100" t="inlineStr">
        <is>
          <t>OCTOBER 2026</t>
        </is>
      </c>
      <c r="B313" s="170" t="n"/>
      <c r="C313" s="170" t="n"/>
      <c r="D313" s="170" t="n"/>
      <c r="E313" s="170" t="n"/>
      <c r="F313" s="170" t="n"/>
      <c r="G313" s="170" t="n"/>
      <c r="H313" s="170" t="n"/>
      <c r="I313" s="170" t="n"/>
      <c r="J313" s="170" t="n"/>
      <c r="K313" s="170" t="n"/>
      <c r="L313" s="170" t="n"/>
      <c r="M313" s="171" t="n"/>
      <c r="N313" s="6" t="n"/>
      <c r="O313" s="6" t="n"/>
    </row>
    <row r="314" ht="15" customHeight="1">
      <c r="A314" s="103" t="inlineStr">
        <is>
          <t>Name</t>
        </is>
      </c>
      <c r="B314" s="104" t="inlineStr">
        <is>
          <t>Date of Separation</t>
        </is>
      </c>
      <c r="C314" s="104" t="inlineStr">
        <is>
          <t>DOH</t>
        </is>
      </c>
      <c r="D314" s="103" t="inlineStr">
        <is>
          <t>Length of Service</t>
        </is>
      </c>
      <c r="E314" s="103" t="inlineStr">
        <is>
          <t>Eligible for Rehire</t>
        </is>
      </c>
      <c r="F314" s="103" t="inlineStr">
        <is>
          <t>Status</t>
        </is>
      </c>
      <c r="G314" s="103" t="inlineStr">
        <is>
          <t>Location</t>
        </is>
      </c>
      <c r="H314" s="103" t="inlineStr">
        <is>
          <t>Reason for Leaving</t>
        </is>
      </c>
      <c r="I314" s="103" t="inlineStr">
        <is>
          <t>Supervisor</t>
        </is>
      </c>
      <c r="J314" s="104" t="inlineStr">
        <is>
          <t>Exit Interview Date</t>
        </is>
      </c>
      <c r="K314" s="103" t="inlineStr">
        <is>
          <t>Job</t>
        </is>
      </c>
      <c r="L314" s="103" t="inlineStr">
        <is>
          <t>Comments</t>
        </is>
      </c>
      <c r="M314" s="105" t="inlineStr">
        <is>
          <t>Department</t>
        </is>
      </c>
      <c r="N314" s="6" t="inlineStr">
        <is>
          <t>Synced To Hub</t>
        </is>
      </c>
      <c r="O314" s="6" t="inlineStr">
        <is>
          <t>Do Not Sync</t>
        </is>
      </c>
    </row>
    <row r="315" ht="15" customHeight="1">
      <c r="A315" s="100" t="n"/>
      <c r="B315" s="101" t="n"/>
      <c r="C315" s="101" t="n"/>
      <c r="D315" s="100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  <c r="N315" s="6" t="n"/>
      <c r="O315" s="6" t="n"/>
    </row>
    <row r="316" ht="15" customHeight="1">
      <c r="A316" s="103" t="n"/>
      <c r="B316" s="104" t="n"/>
      <c r="C316" s="104" t="n"/>
      <c r="D316" s="103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  <c r="N316" s="6" t="n"/>
      <c r="O316" s="6" t="n"/>
    </row>
    <row r="317" ht="15" customHeight="1">
      <c r="A317" s="100" t="n"/>
      <c r="B317" s="101" t="n"/>
      <c r="C317" s="101" t="n"/>
      <c r="D317" s="100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  <c r="N317" s="6" t="n"/>
      <c r="O317" s="6" t="n"/>
    </row>
    <row r="318" ht="15" customHeight="1">
      <c r="A318" s="103" t="n"/>
      <c r="B318" s="104" t="n"/>
      <c r="C318" s="104" t="n"/>
      <c r="D318" s="103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  <c r="N318" s="6" t="n"/>
      <c r="O318" s="6" t="n"/>
    </row>
    <row r="319" ht="15" customHeight="1">
      <c r="A319" s="100" t="n"/>
      <c r="B319" s="101" t="n"/>
      <c r="C319" s="101" t="n"/>
      <c r="D319" s="100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  <c r="N319" s="6" t="n"/>
      <c r="O319" s="6" t="n"/>
    </row>
    <row r="320" ht="15" customHeight="1">
      <c r="A320" s="103" t="n"/>
      <c r="B320" s="104" t="n"/>
      <c r="C320" s="104" t="n"/>
      <c r="D320" s="103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  <c r="N320" s="6" t="n"/>
      <c r="O320" s="6" t="n"/>
    </row>
    <row r="321" ht="15" customHeight="1">
      <c r="A321" s="100" t="n"/>
      <c r="B321" s="101" t="n"/>
      <c r="C321" s="101" t="n"/>
      <c r="D321" s="100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  <c r="N321" s="6" t="n"/>
      <c r="O321" s="6" t="n"/>
    </row>
    <row r="322" ht="15" customHeight="1">
      <c r="A322" s="103" t="n"/>
      <c r="B322" s="104" t="n"/>
      <c r="C322" s="104" t="n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  <c r="N322" s="6" t="n"/>
      <c r="O322" s="6" t="n"/>
    </row>
    <row r="323" ht="15" customHeight="1">
      <c r="A323" s="106" t="n"/>
      <c r="B323" s="107" t="n"/>
      <c r="C323" s="108" t="n"/>
      <c r="D323" s="108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>
        <f>IFERROR(VLOOKUP(G323,Reference!$I$2:$J$175,2,FALSE()),"Operations")</f>
        <v/>
      </c>
      <c r="N323" s="6" t="n"/>
      <c r="O323" s="6" t="n"/>
    </row>
    <row r="324" ht="6" customHeight="1">
      <c r="A324" s="6" t="n"/>
      <c r="B324" s="6" t="n"/>
      <c r="C324" s="6" t="n"/>
      <c r="D324" s="6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>
        <f>IFERROR(VLOOKUP(G324,Reference!$I$2:$J$175,2,FALSE()),"Operations")</f>
        <v/>
      </c>
      <c r="N324" s="6" t="n"/>
      <c r="O324" s="6" t="n"/>
    </row>
    <row r="325" ht="21.75" customHeight="1">
      <c r="A325" s="163" t="n"/>
      <c r="D325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M325">
        <f>IFERROR(VLOOKUP(G325,Reference!$I$2:$J$175,2,FALSE()),"Operations")</f>
        <v/>
      </c>
      <c r="N325" s="6" t="n"/>
      <c r="O325" s="6" t="n"/>
    </row>
    <row r="326" ht="19.5" customHeight="1">
      <c r="A326" s="64" t="n"/>
      <c r="B326" s="64" t="n"/>
      <c r="C326" s="64" t="n"/>
      <c r="D326" s="64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>
        <f>IFERROR(VLOOKUP(G326,Reference!$I$2:$J$175,2,FALSE()),"Operations")</f>
        <v/>
      </c>
      <c r="N326" s="6" t="n"/>
      <c r="O326" s="6" t="n"/>
    </row>
    <row r="327" ht="15" customHeight="1">
      <c r="A327" s="100" t="n"/>
      <c r="B327" s="101" t="n"/>
      <c r="C327" s="101" t="n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  <c r="N327" s="6" t="n"/>
      <c r="O327" s="6" t="n"/>
    </row>
    <row r="328" ht="15" customHeight="1">
      <c r="A328" s="103" t="n"/>
      <c r="B328" s="104" t="n"/>
      <c r="C328" s="104" t="n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  <v/>
      </c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  <c r="N328" s="6" t="n"/>
      <c r="O328" s="6" t="n"/>
    </row>
    <row r="329" ht="15" customHeight="1">
      <c r="A329" s="100" t="n"/>
      <c r="B329" s="101" t="n"/>
      <c r="C329" s="101" t="n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  <v/>
      </c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  <c r="N329" s="6" t="n"/>
      <c r="O329" s="6" t="n"/>
    </row>
    <row r="330" ht="15" customHeight="1">
      <c r="A330" s="103" t="n"/>
      <c r="B330" s="104" t="n"/>
      <c r="C330" s="104" t="n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  <v/>
      </c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  <c r="N330" s="6" t="n"/>
      <c r="O330" s="6" t="n"/>
    </row>
    <row r="331" ht="15" customHeight="1">
      <c r="A331" s="100" t="n"/>
      <c r="B331" s="101" t="n"/>
      <c r="C331" s="101" t="n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  <v/>
      </c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  <c r="N331" s="6" t="n"/>
      <c r="O331" s="6" t="n"/>
    </row>
    <row r="332" ht="15" customHeight="1">
      <c r="A332" s="103" t="n"/>
      <c r="B332" s="104" t="n"/>
      <c r="C332" s="104" t="n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  <v/>
      </c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  <c r="N332" s="6" t="n"/>
      <c r="O332" s="6" t="n"/>
    </row>
    <row r="333" ht="15" customHeight="1">
      <c r="A333" s="100" t="n"/>
      <c r="B333" s="101" t="n"/>
      <c r="C333" s="101" t="n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  <v/>
      </c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  <c r="N333" s="6" t="n"/>
      <c r="O333" s="6" t="n"/>
    </row>
    <row r="334" ht="15" customHeight="1">
      <c r="A334" s="103" t="n"/>
      <c r="B334" s="104" t="n"/>
      <c r="C334" s="104" t="n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  <v/>
      </c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  <c r="N334" s="6" t="n"/>
      <c r="O334" s="6" t="n"/>
    </row>
    <row r="335" ht="15" customHeight="1">
      <c r="A335" s="100" t="n"/>
      <c r="B335" s="101" t="n"/>
      <c r="C335" s="101" t="n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  <v/>
      </c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  <c r="N335" s="6" t="n"/>
      <c r="O335" s="6" t="n"/>
    </row>
    <row r="336" ht="15" customHeight="1">
      <c r="A336" s="103" t="n"/>
      <c r="B336" s="104" t="n"/>
      <c r="C336" s="104" t="n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  <v/>
      </c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  <c r="N336" s="6" t="n"/>
      <c r="O336" s="6" t="n"/>
    </row>
    <row r="337" ht="15" customHeight="1">
      <c r="A337" s="100" t="n"/>
      <c r="B337" s="101" t="n"/>
      <c r="C337" s="101" t="n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  <v/>
      </c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  <c r="N337" s="6" t="n"/>
      <c r="O337" s="6" t="n"/>
    </row>
    <row r="338" ht="15" customHeight="1">
      <c r="A338" s="103" t="n"/>
      <c r="B338" s="104" t="n"/>
      <c r="C338" s="104" t="n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  <v/>
      </c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  <c r="N338" s="6" t="n"/>
      <c r="O338" s="6" t="n"/>
    </row>
    <row r="339" ht="15" customHeight="1">
      <c r="A339" s="100" t="n"/>
      <c r="B339" s="101" t="n"/>
      <c r="C339" s="101" t="n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  <v/>
      </c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  <c r="N339" s="6" t="n"/>
      <c r="O339" s="6" t="n"/>
    </row>
    <row r="340" ht="15" customHeight="1">
      <c r="A340" s="103" t="n"/>
      <c r="B340" s="104" t="n"/>
      <c r="C340" s="104" t="n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  <v/>
      </c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  <c r="N340" s="6" t="n"/>
      <c r="O340" s="6" t="n"/>
    </row>
    <row r="341" ht="15" customHeight="1">
      <c r="A341" s="100" t="n"/>
      <c r="B341" s="101" t="n"/>
      <c r="C341" s="101" t="n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  <v/>
      </c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  <c r="N341" s="6" t="n"/>
      <c r="O341" s="6" t="n"/>
    </row>
    <row r="342" ht="15" customHeight="1">
      <c r="A342" s="103" t="n"/>
      <c r="B342" s="104" t="n"/>
      <c r="C342" s="104" t="n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  <v/>
      </c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  <c r="N342" s="6" t="n"/>
      <c r="O342" s="6" t="n"/>
    </row>
    <row r="343" ht="15" customHeight="1">
      <c r="A343" s="100" t="n"/>
      <c r="B343" s="101" t="n"/>
      <c r="C343" s="101" t="n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  <v/>
      </c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  <c r="N343" s="6" t="n"/>
      <c r="O343" s="6" t="n"/>
    </row>
    <row r="344" ht="15" customHeight="1">
      <c r="A344" s="103" t="n"/>
      <c r="B344" s="104" t="n"/>
      <c r="C344" s="104" t="n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  <v/>
      </c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  <c r="N344" s="6" t="n"/>
      <c r="O344" s="6" t="n"/>
    </row>
    <row r="345" ht="15" customHeight="1">
      <c r="A345" s="100" t="inlineStr">
        <is>
          <t>SUBTOTAL:</t>
        </is>
      </c>
      <c r="B345" s="101">
        <f>COUNTA(A315:A344)</f>
        <v/>
      </c>
      <c r="C345" s="101" t="n"/>
      <c r="D345" s="100" t="n"/>
      <c r="E345" s="100" t="n"/>
      <c r="F345" s="100" t="n"/>
      <c r="G345" s="100" t="n"/>
      <c r="H345" s="100" t="n"/>
      <c r="I345" s="100" t="n"/>
      <c r="J345" s="101" t="n"/>
      <c r="K345" s="100" t="n"/>
      <c r="L345" s="100" t="n"/>
      <c r="M345" s="102" t="n"/>
      <c r="N345" s="6" t="n"/>
      <c r="O345" s="6" t="n"/>
    </row>
    <row r="346" ht="15" customHeight="1">
      <c r="A346" s="103" t="n"/>
      <c r="B346" s="104" t="n"/>
      <c r="C346" s="104" t="n"/>
      <c r="D346" s="103" t="n"/>
      <c r="E346" s="103" t="n"/>
      <c r="F346" s="103" t="n"/>
      <c r="G346" s="103" t="n"/>
      <c r="H346" s="103" t="n"/>
      <c r="I346" s="103" t="n"/>
      <c r="J346" s="104" t="n"/>
      <c r="K346" s="103" t="n"/>
      <c r="L346" s="103" t="n"/>
      <c r="M346" s="105" t="n"/>
      <c r="N346" s="6" t="n"/>
      <c r="O346" s="6" t="n"/>
    </row>
    <row r="347" ht="15" customHeight="1">
      <c r="A347" s="100" t="inlineStr">
        <is>
          <t>NOVEMBER 2026</t>
        </is>
      </c>
      <c r="B347" s="170" t="n"/>
      <c r="C347" s="170" t="n"/>
      <c r="D347" s="170" t="n"/>
      <c r="E347" s="170" t="n"/>
      <c r="F347" s="170" t="n"/>
      <c r="G347" s="170" t="n"/>
      <c r="H347" s="170" t="n"/>
      <c r="I347" s="170" t="n"/>
      <c r="J347" s="170" t="n"/>
      <c r="K347" s="170" t="n"/>
      <c r="L347" s="170" t="n"/>
      <c r="M347" s="171" t="n"/>
      <c r="N347" s="6" t="n"/>
      <c r="O347" s="6" t="n"/>
    </row>
    <row r="348" ht="15" customHeight="1">
      <c r="A348" s="103" t="inlineStr">
        <is>
          <t>Name</t>
        </is>
      </c>
      <c r="B348" s="104" t="inlineStr">
        <is>
          <t>Date of Separation</t>
        </is>
      </c>
      <c r="C348" s="104" t="inlineStr">
        <is>
          <t>DOH</t>
        </is>
      </c>
      <c r="D348" s="103" t="inlineStr">
        <is>
          <t>Length of Service</t>
        </is>
      </c>
      <c r="E348" s="103" t="inlineStr">
        <is>
          <t>Eligible for Rehire</t>
        </is>
      </c>
      <c r="F348" s="103" t="inlineStr">
        <is>
          <t>Status</t>
        </is>
      </c>
      <c r="G348" s="103" t="inlineStr">
        <is>
          <t>Location</t>
        </is>
      </c>
      <c r="H348" s="103" t="inlineStr">
        <is>
          <t>Reason for Leaving</t>
        </is>
      </c>
      <c r="I348" s="103" t="inlineStr">
        <is>
          <t>Supervisor</t>
        </is>
      </c>
      <c r="J348" s="104" t="inlineStr">
        <is>
          <t>Exit Interview Date</t>
        </is>
      </c>
      <c r="K348" s="103" t="inlineStr">
        <is>
          <t>Job</t>
        </is>
      </c>
      <c r="L348" s="103" t="inlineStr">
        <is>
          <t>Comments</t>
        </is>
      </c>
      <c r="M348" s="105" t="inlineStr">
        <is>
          <t>Department</t>
        </is>
      </c>
      <c r="N348" s="6" t="inlineStr">
        <is>
          <t>Synced To Hub</t>
        </is>
      </c>
      <c r="O348" s="6" t="inlineStr">
        <is>
          <t>Do Not Sync</t>
        </is>
      </c>
    </row>
    <row r="349" ht="15" customHeight="1">
      <c r="A349" s="100" t="n"/>
      <c r="B349" s="101" t="n"/>
      <c r="C349" s="101" t="n"/>
      <c r="D349" s="100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  <c r="N349" s="6" t="n"/>
      <c r="O349" s="6" t="n"/>
    </row>
    <row r="350" ht="15" customHeight="1">
      <c r="A350" s="103" t="n"/>
      <c r="B350" s="104" t="n"/>
      <c r="C350" s="104" t="n"/>
      <c r="D350" s="103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  <c r="N350" s="6" t="n"/>
      <c r="O350" s="6" t="n"/>
    </row>
    <row r="351" ht="15" customHeight="1">
      <c r="A351" s="100" t="n"/>
      <c r="B351" s="101" t="n"/>
      <c r="C351" s="101" t="n"/>
      <c r="D351" s="100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  <c r="N351" s="6" t="n"/>
      <c r="O351" s="6" t="n"/>
    </row>
    <row r="352" ht="15" customHeight="1">
      <c r="A352" s="103" t="n"/>
      <c r="B352" s="104" t="n"/>
      <c r="C352" s="104" t="n"/>
      <c r="D352" s="103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  <c r="N352" s="6" t="n"/>
      <c r="O352" s="6" t="n"/>
    </row>
    <row r="353" ht="15" customHeight="1">
      <c r="A353" s="100" t="n"/>
      <c r="B353" s="101" t="n"/>
      <c r="C353" s="101" t="n"/>
      <c r="D353" s="100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  <c r="N353" s="6" t="n"/>
      <c r="O353" s="6" t="n"/>
    </row>
    <row r="354" ht="15" customHeight="1">
      <c r="A354" s="103" t="n"/>
      <c r="B354" s="104" t="n"/>
      <c r="C354" s="104" t="n"/>
      <c r="D354" s="103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  <c r="N354" s="6" t="n"/>
      <c r="O354" s="6" t="n"/>
    </row>
    <row r="355" ht="15" customHeight="1">
      <c r="A355" s="100" t="n"/>
      <c r="B355" s="101" t="n"/>
      <c r="C355" s="101" t="n"/>
      <c r="D355" s="100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  <c r="N355" s="6" t="n"/>
      <c r="O355" s="6" t="n"/>
    </row>
    <row r="356" ht="15" customHeight="1">
      <c r="A356" s="103" t="n"/>
      <c r="B356" s="104" t="n"/>
      <c r="C356" s="104" t="n"/>
      <c r="D356" s="103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  <c r="N356" s="6" t="n"/>
      <c r="O356" s="6" t="n"/>
    </row>
    <row r="357" ht="15" customHeight="1">
      <c r="A357" s="106" t="n"/>
      <c r="B357" s="107" t="n"/>
      <c r="C357" s="108" t="n"/>
      <c r="D357" s="108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>
        <f>IFERROR(VLOOKUP(G357,Reference!$I$2:$J$175,2,FALSE()),"Operations")</f>
        <v/>
      </c>
      <c r="N357" s="6" t="n"/>
      <c r="O357" s="6" t="n"/>
    </row>
    <row r="358" ht="6" customHeight="1">
      <c r="D358">
        <f>IF(OR(B358="",C358=""),"",IF(DATEDIF(C358,B358,"y")&gt;=1,DATEDIF(C358,B358,"y")&amp;IF(DATEDIF(C358,B358,"y")=1," year "," years ")&amp;DATEDIF(C358,B358,"ym")&amp;IF(DATEDIF(C358,B358,"ym")=1," month"," months"),IF(DATEDIF(C358,B358,"m")&gt;=1,DATEDIF(C358,B358,"m")&amp;IF(DATEDIF(C358,B358,"m")=1," month"," months"),DATEDIF(C358,B358,"d")&amp;IF(DATEDIF(C358,B358,"d")=1," day"," days"))))</f>
        <v/>
      </c>
      <c r="M358">
        <f>IFERROR(VLOOKUP(G358,Reference!$I$2:$J$175,2,FALSE()),"Operations")</f>
        <v/>
      </c>
    </row>
    <row r="359">
      <c r="D359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  <v/>
      </c>
      <c r="M359">
        <f>IFERROR(VLOOKUP(G359,Reference!$I$2:$J$175,2,FALSE()),"Operations")</f>
        <v/>
      </c>
    </row>
    <row r="360">
      <c r="D360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  <v/>
      </c>
      <c r="M360">
        <f>IFERROR(VLOOKUP(G360,Reference!$I$2:$J$175,2,FALSE()),"Operations")</f>
        <v/>
      </c>
    </row>
    <row r="361">
      <c r="D361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  <v/>
      </c>
      <c r="M361">
        <f>IFERROR(VLOOKUP(G361,Reference!$I$2:$J$175,2,FALSE()),"Operations")</f>
        <v/>
      </c>
    </row>
    <row r="362">
      <c r="D362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  <v/>
      </c>
      <c r="M362">
        <f>IFERROR(VLOOKUP(G362,Reference!$I$2:$J$175,2,FALSE()),"Operations")</f>
        <v/>
      </c>
    </row>
    <row r="363">
      <c r="D363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  <v/>
      </c>
      <c r="M363">
        <f>IFERROR(VLOOKUP(G363,Reference!$I$2:$J$175,2,FALSE()),"Operations")</f>
        <v/>
      </c>
    </row>
    <row r="364">
      <c r="D364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  <v/>
      </c>
      <c r="M364">
        <f>IFERROR(VLOOKUP(G364,Reference!$I$2:$J$175,2,FALSE()),"Operations")</f>
        <v/>
      </c>
    </row>
    <row r="365">
      <c r="D365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  <v/>
      </c>
      <c r="M365">
        <f>IFERROR(VLOOKUP(G365,Reference!$I$2:$J$175,2,FALSE()),"Operations")</f>
        <v/>
      </c>
    </row>
    <row r="366">
      <c r="D366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  <v/>
      </c>
      <c r="M366">
        <f>IFERROR(VLOOKUP(G366,Reference!$I$2:$J$175,2,FALSE()),"Operations")</f>
        <v/>
      </c>
    </row>
    <row r="367">
      <c r="D367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  <v/>
      </c>
      <c r="M367">
        <f>IFERROR(VLOOKUP(G367,Reference!$I$2:$J$175,2,FALSE()),"Operations")</f>
        <v/>
      </c>
    </row>
    <row r="368">
      <c r="D368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  <v/>
      </c>
      <c r="M368">
        <f>IFERROR(VLOOKUP(G368,Reference!$I$2:$J$175,2,FALSE()),"Operations")</f>
        <v/>
      </c>
    </row>
    <row r="369">
      <c r="D369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  <v/>
      </c>
      <c r="M369">
        <f>IFERROR(VLOOKUP(G369,Reference!$I$2:$J$175,2,FALSE()),"Operations")</f>
        <v/>
      </c>
    </row>
    <row r="370">
      <c r="D370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  <v/>
      </c>
      <c r="M370">
        <f>IFERROR(VLOOKUP(G370,Reference!$I$2:$J$175,2,FALSE()),"Operations")</f>
        <v/>
      </c>
    </row>
    <row r="371">
      <c r="D371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  <v/>
      </c>
      <c r="M371">
        <f>IFERROR(VLOOKUP(G371,Reference!$I$2:$J$175,2,FALSE()),"Operations")</f>
        <v/>
      </c>
    </row>
    <row r="372">
      <c r="D372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  <v/>
      </c>
      <c r="M372">
        <f>IFERROR(VLOOKUP(G372,Reference!$I$2:$J$175,2,FALSE()),"Operations")</f>
        <v/>
      </c>
    </row>
    <row r="373">
      <c r="D373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  <v/>
      </c>
      <c r="M373">
        <f>IFERROR(VLOOKUP(G373,Reference!$I$2:$J$175,2,FALSE()),"Operations")</f>
        <v/>
      </c>
    </row>
    <row r="374">
      <c r="D374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  <v/>
      </c>
      <c r="M374">
        <f>IFERROR(VLOOKUP(G374,Reference!$I$2:$J$175,2,FALSE()),"Operations")</f>
        <v/>
      </c>
    </row>
    <row r="375">
      <c r="D375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  <v/>
      </c>
      <c r="M375">
        <f>IFERROR(VLOOKUP(G375,Reference!$I$2:$J$175,2,FALSE()),"Operations")</f>
        <v/>
      </c>
    </row>
    <row r="376">
      <c r="D376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  <v/>
      </c>
      <c r="M376">
        <f>IFERROR(VLOOKUP(G376,Reference!$I$2:$J$175,2,FALSE()),"Operations")</f>
        <v/>
      </c>
    </row>
    <row r="377">
      <c r="D377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  <v/>
      </c>
      <c r="M377">
        <f>IFERROR(VLOOKUP(G377,Reference!$I$2:$J$175,2,FALSE()),"Operations")</f>
        <v/>
      </c>
    </row>
    <row r="378">
      <c r="D378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  <v/>
      </c>
      <c r="M378">
        <f>IFERROR(VLOOKUP(G378,Reference!$I$2:$J$175,2,FALSE()),"Operations")</f>
        <v/>
      </c>
    </row>
    <row r="379">
      <c r="A379" t="inlineStr">
        <is>
          <t>SUBTOTAL:</t>
        </is>
      </c>
      <c r="B379">
        <f>COUNTA(A349:A378)</f>
        <v/>
      </c>
    </row>
    <row r="381">
      <c r="A381" t="inlineStr">
        <is>
          <t>DECEMBER 2026</t>
        </is>
      </c>
    </row>
    <row r="382">
      <c r="A382" t="inlineStr">
        <is>
          <t>Name</t>
        </is>
      </c>
      <c r="B382" t="inlineStr">
        <is>
          <t>Date of Separation</t>
        </is>
      </c>
      <c r="C382" t="inlineStr">
        <is>
          <t>DOH</t>
        </is>
      </c>
      <c r="D382" t="inlineStr">
        <is>
          <t>Length of Service</t>
        </is>
      </c>
      <c r="E382" t="inlineStr">
        <is>
          <t>Eligible for Rehire</t>
        </is>
      </c>
      <c r="F382" t="inlineStr">
        <is>
          <t>Status</t>
        </is>
      </c>
      <c r="G382" t="inlineStr">
        <is>
          <t>Location</t>
        </is>
      </c>
      <c r="H382" t="inlineStr">
        <is>
          <t>Reason for Leaving</t>
        </is>
      </c>
      <c r="I382" t="inlineStr">
        <is>
          <t>Supervisor</t>
        </is>
      </c>
      <c r="J382" t="inlineStr">
        <is>
          <t>Exit Interview Date</t>
        </is>
      </c>
      <c r="K382" t="inlineStr">
        <is>
          <t>Job</t>
        </is>
      </c>
      <c r="L382" t="inlineStr">
        <is>
          <t>Comments</t>
        </is>
      </c>
      <c r="M382" t="inlineStr">
        <is>
          <t>Department</t>
        </is>
      </c>
      <c r="N382" t="inlineStr">
        <is>
          <t>Synced To Hub</t>
        </is>
      </c>
      <c r="O382" t="inlineStr">
        <is>
          <t>Do Not Sync</t>
        </is>
      </c>
    </row>
    <row r="383">
      <c r="D383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M383">
        <f>IFERROR(VLOOKUP(G383,Reference!$I$2:$J$175,2,FALSE()),"Operations")</f>
        <v/>
      </c>
    </row>
    <row r="384">
      <c r="D384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M384">
        <f>IFERROR(VLOOKUP(G384,Reference!$I$2:$J$175,2,FALSE()),"Operations")</f>
        <v/>
      </c>
    </row>
    <row r="385">
      <c r="D385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M385">
        <f>IFERROR(VLOOKUP(G385,Reference!$I$2:$J$175,2,FALSE()),"Operations")</f>
        <v/>
      </c>
    </row>
    <row r="386">
      <c r="D386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M386">
        <f>IFERROR(VLOOKUP(G386,Reference!$I$2:$J$175,2,FALSE()),"Operations")</f>
        <v/>
      </c>
    </row>
    <row r="387">
      <c r="D38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M387">
        <f>IFERROR(VLOOKUP(G387,Reference!$I$2:$J$175,2,FALSE()),"Operations")</f>
        <v/>
      </c>
    </row>
    <row r="388">
      <c r="D388">
        <f>IF(OR(B388="",C388=""),"",IF(DATEDIF(C388,B388,"y")&gt;=1,DATEDIF(C388,B388,"y")&amp;IF(DATEDIF(C388,B388,"y")=1," year "," years ")&amp;DATEDIF(C388,B388,"ym")&amp;IF(DATEDIF(C388,B388,"ym")=1," month"," months"),IF(DATEDIF(C388,B388,"m")&gt;=1,DATEDIF(C388,B388,"m")&amp;IF(DATEDIF(C388,B388,"m")=1," month"," months"),DATEDIF(C388,B388,"d")&amp;IF(DATEDIF(C388,B388,"d")=1," day"," days"))))</f>
        <v/>
      </c>
      <c r="M388">
        <f>IFERROR(VLOOKUP(G388,Reference!$I$2:$J$175,2,FALSE()),"Operations")</f>
        <v/>
      </c>
    </row>
    <row r="389">
      <c r="D389">
        <f>IF(OR(B389="",C389=""),"",IF(DATEDIF(C389,B389,"y")&gt;=1,DATEDIF(C389,B389,"y")&amp;IF(DATEDIF(C389,B389,"y")=1," year "," years ")&amp;DATEDIF(C389,B389,"ym")&amp;IF(DATEDIF(C389,B389,"ym")=1," month"," months"),IF(DATEDIF(C389,B389,"m")&gt;=1,DATEDIF(C389,B389,"m")&amp;IF(DATEDIF(C389,B389,"m")=1," month"," months"),DATEDIF(C389,B389,"d")&amp;IF(DATEDIF(C389,B389,"d")=1," day"," days"))))</f>
        <v/>
      </c>
      <c r="M389">
        <f>IFERROR(VLOOKUP(G389,Reference!$I$2:$J$175,2,FALSE()),"Operations")</f>
        <v/>
      </c>
    </row>
    <row r="390">
      <c r="D390">
        <f>IF(OR(B390="",C390=""),"",IF(DATEDIF(C390,B390,"y")&gt;=1,DATEDIF(C390,B390,"y")&amp;IF(DATEDIF(C390,B390,"y")=1," year "," years ")&amp;DATEDIF(C390,B390,"ym")&amp;IF(DATEDIF(C390,B390,"ym")=1," month"," months"),IF(DATEDIF(C390,B390,"m")&gt;=1,DATEDIF(C390,B390,"m")&amp;IF(DATEDIF(C390,B390,"m")=1," month"," months"),DATEDIF(C390,B390,"d")&amp;IF(DATEDIF(C390,B390,"d")=1," day"," days"))))</f>
        <v/>
      </c>
      <c r="M390">
        <f>IFERROR(VLOOKUP(G390,Reference!$I$2:$J$175,2,FALSE()),"Operations")</f>
        <v/>
      </c>
    </row>
    <row r="391">
      <c r="D391">
        <f>IF(OR(B391="",C391=""),"",IF(DATEDIF(C391,B391,"y")&gt;=1,DATEDIF(C391,B391,"y")&amp;IF(DATEDIF(C391,B391,"y")=1," year "," years ")&amp;DATEDIF(C391,B391,"ym")&amp;IF(DATEDIF(C391,B391,"ym")=1," month"," months"),IF(DATEDIF(C391,B391,"m")&gt;=1,DATEDIF(C391,B391,"m")&amp;IF(DATEDIF(C391,B391,"m")=1," month"," months"),DATEDIF(C391,B391,"d")&amp;IF(DATEDIF(C391,B391,"d")=1," day"," days"))))</f>
        <v/>
      </c>
      <c r="M391">
        <f>IFERROR(VLOOKUP(G391,Reference!$I$2:$J$175,2,FALSE()),"Operations")</f>
        <v/>
      </c>
    </row>
    <row r="392">
      <c r="D392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  <v/>
      </c>
      <c r="M392">
        <f>IFERROR(VLOOKUP(G392,Reference!$I$2:$J$175,2,FALSE()),"Operations")</f>
        <v/>
      </c>
    </row>
    <row r="393">
      <c r="D393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  <v/>
      </c>
      <c r="M393">
        <f>IFERROR(VLOOKUP(G393,Reference!$I$2:$J$175,2,FALSE()),"Operations")</f>
        <v/>
      </c>
    </row>
    <row r="394">
      <c r="D394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  <v/>
      </c>
      <c r="M394">
        <f>IFERROR(VLOOKUP(G394,Reference!$I$2:$J$175,2,FALSE()),"Operations")</f>
        <v/>
      </c>
    </row>
    <row r="395">
      <c r="D395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  <v/>
      </c>
      <c r="M395">
        <f>IFERROR(VLOOKUP(G395,Reference!$I$2:$J$175,2,FALSE()),"Operations")</f>
        <v/>
      </c>
    </row>
    <row r="396">
      <c r="D396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  <v/>
      </c>
      <c r="M396">
        <f>IFERROR(VLOOKUP(G396,Reference!$I$2:$J$175,2,FALSE()),"Operations")</f>
        <v/>
      </c>
    </row>
    <row r="397">
      <c r="D397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  <v/>
      </c>
      <c r="M397">
        <f>IFERROR(VLOOKUP(G397,Reference!$I$2:$J$175,2,FALSE()),"Operations")</f>
        <v/>
      </c>
    </row>
    <row r="398">
      <c r="D398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  <v/>
      </c>
      <c r="M398">
        <f>IFERROR(VLOOKUP(G398,Reference!$I$2:$J$175,2,FALSE()),"Operations")</f>
        <v/>
      </c>
    </row>
    <row r="399">
      <c r="D399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  <v/>
      </c>
      <c r="M399">
        <f>IFERROR(VLOOKUP(G399,Reference!$I$2:$J$175,2,FALSE()),"Operations")</f>
        <v/>
      </c>
    </row>
    <row r="400">
      <c r="D400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  <v/>
      </c>
      <c r="M400">
        <f>IFERROR(VLOOKUP(G400,Reference!$I$2:$J$175,2,FALSE()),"Operations")</f>
        <v/>
      </c>
    </row>
    <row r="401">
      <c r="D401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  <v/>
      </c>
      <c r="M401">
        <f>IFERROR(VLOOKUP(G401,Reference!$I$2:$J$175,2,FALSE()),"Operations")</f>
        <v/>
      </c>
    </row>
    <row r="402">
      <c r="D402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  <v/>
      </c>
      <c r="M402">
        <f>IFERROR(VLOOKUP(G402,Reference!$I$2:$J$175,2,FALSE()),"Operations")</f>
        <v/>
      </c>
    </row>
    <row r="403">
      <c r="D403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  <v/>
      </c>
      <c r="M403">
        <f>IFERROR(VLOOKUP(G403,Reference!$I$2:$J$175,2,FALSE()),"Operations")</f>
        <v/>
      </c>
    </row>
    <row r="404">
      <c r="D404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  <v/>
      </c>
      <c r="M404">
        <f>IFERROR(VLOOKUP(G404,Reference!$I$2:$J$175,2,FALSE()),"Operations")</f>
        <v/>
      </c>
    </row>
    <row r="405">
      <c r="D405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  <v/>
      </c>
      <c r="M405">
        <f>IFERROR(VLOOKUP(G405,Reference!$I$2:$J$175,2,FALSE()),"Operations")</f>
        <v/>
      </c>
    </row>
    <row r="406">
      <c r="D406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  <v/>
      </c>
      <c r="M406">
        <f>IFERROR(VLOOKUP(G406,Reference!$I$2:$J$175,2,FALSE()),"Operations")</f>
        <v/>
      </c>
    </row>
    <row r="407">
      <c r="D407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  <v/>
      </c>
      <c r="M407">
        <f>IFERROR(VLOOKUP(G407,Reference!$I$2:$J$175,2,FALSE()),"Operations")</f>
        <v/>
      </c>
    </row>
    <row r="408">
      <c r="D408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  <v/>
      </c>
      <c r="M408">
        <f>IFERROR(VLOOKUP(G408,Reference!$I$2:$J$175,2,FALSE()),"Operations")</f>
        <v/>
      </c>
    </row>
    <row r="409">
      <c r="D409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  <v/>
      </c>
      <c r="M409">
        <f>IFERROR(VLOOKUP(G409,Reference!$I$2:$J$175,2,FALSE()),"Operations")</f>
        <v/>
      </c>
    </row>
    <row r="410">
      <c r="D410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  <v/>
      </c>
      <c r="M410">
        <f>IFERROR(VLOOKUP(G410,Reference!$I$2:$J$175,2,FALSE()),"Operations")</f>
        <v/>
      </c>
    </row>
    <row r="411">
      <c r="D411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  <v/>
      </c>
      <c r="M411">
        <f>IFERROR(VLOOKUP(G411,Reference!$I$2:$J$175,2,FALSE()),"Operations")</f>
        <v/>
      </c>
    </row>
    <row r="412">
      <c r="D412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  <v/>
      </c>
      <c r="M412">
        <f>IFERROR(VLOOKUP(G412,Reference!$I$2:$J$175,2,FALSE()),"Operations")</f>
        <v/>
      </c>
    </row>
    <row r="413">
      <c r="A413" t="inlineStr">
        <is>
          <t>SUBTOTAL:</t>
        </is>
      </c>
      <c r="B413">
        <f>COUNTA(A383:A412)</f>
        <v/>
      </c>
    </row>
  </sheetData>
  <mergeCells count="14">
    <mergeCell ref="A177:M177"/>
    <mergeCell ref="A211:M211"/>
    <mergeCell ref="A75:M75"/>
    <mergeCell ref="A313:M313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279:M279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  <extLst>
    <ext xmlns:x14="http://schemas.microsoft.com/office/spreadsheetml/2009/9/main" uri="{CCE6A557-97BC-4B89-ADB6-D9C93CAAB3DF}">
      <x14:dataValidations xmlns:xm="http://schemas.microsoft.com/office/excel/2006/main" count="7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4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4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4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4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4-00000005}">
          <x14:formula1>
            <xm:f>Reference!$L$2:$L$10</xm:f>
          </x14:formula1>
          <xm:sqref>M9:M413</xm:sqref>
        </x14:dataValidation>
        <x14:dataValidation xmlns:xr="http://schemas.microsoft.com/office/spreadsheetml/2014/revision" type="list" errorStyle="stop" allowBlank="1" showInputMessage="1" showErrorMessage="1" errorTitle="Invalid Do Not Sync" error="Do Not Sync must be Yes or No (leave blank for No)." promptTitle="" prompt="" xr:uid="{00000000-0002-0000-0004-00000006}">
          <x14:formula1>
            <xm:f>Reference!$B$2:$B$3</xm:f>
          </x14:formula1>
          <xm:sqref>O9:O413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2E86AB"/>
    <outlinePr summaryBelow="1" summaryRight="1"/>
    <pageSetUpPr/>
  </sheetPr>
  <dimension ref="A1:O413"/>
  <sheetViews>
    <sheetView zoomScaleNormal="100" workbookViewId="0">
      <pane ySplit="6" topLeftCell="A180" activePane="bottomLeft" state="frozen"/>
      <selection pane="bottomLeft" activeCell="D77" sqref="D77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2025</t>
        </is>
      </c>
    </row>
    <row r="3" ht="19.5" customHeight="1">
      <c r="A3" s="164" t="inlineStr">
        <is>
          <t>January 2025 — December 2025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2025",Reference!$N$2:$O$6,2,FALSE),0)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2025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t="inlineStr">
        <is>
          <t>Synced To Hub</t>
        </is>
      </c>
      <c r="O8" t="inlineStr">
        <is>
          <t>Do Not Sync</t>
        </is>
      </c>
    </row>
    <row r="9" ht="15" customHeight="1">
      <c r="A9" s="77" t="inlineStr">
        <is>
          <t>Tiffany Rose</t>
        </is>
      </c>
      <c r="B9" s="111" t="n">
        <v>45659</v>
      </c>
      <c r="C9" s="77" t="n"/>
      <c r="D9" s="77" t="inlineStr">
        <is>
          <t>9 years 11 months</t>
        </is>
      </c>
      <c r="E9" s="77" t="inlineStr">
        <is>
          <t>Yes</t>
        </is>
      </c>
      <c r="F9" s="77" t="inlineStr">
        <is>
          <t>D</t>
        </is>
      </c>
      <c r="G9" s="77" t="inlineStr">
        <is>
          <t>723 Emory Valley</t>
        </is>
      </c>
      <c r="H9" s="77" t="inlineStr">
        <is>
          <t>Better Opportunity</t>
        </is>
      </c>
      <c r="I9" s="77" t="inlineStr">
        <is>
          <t>Kim Jeffers-Whitaker</t>
        </is>
      </c>
      <c r="J9" s="77" t="n"/>
      <c r="K9" s="77" t="inlineStr">
        <is>
          <t>HR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Juliane Rendall</t>
        </is>
      </c>
      <c r="B10" s="112" t="n">
        <v>45667</v>
      </c>
      <c r="C10" s="80" t="n"/>
      <c r="D10" s="80" t="inlineStr">
        <is>
          <t>4 years 11 months</t>
        </is>
      </c>
      <c r="E10" s="80" t="inlineStr">
        <is>
          <t>No</t>
        </is>
      </c>
      <c r="F10" s="80" t="inlineStr">
        <is>
          <t>D</t>
        </is>
      </c>
      <c r="G10" s="80" t="inlineStr">
        <is>
          <t>ELC</t>
        </is>
      </c>
      <c r="H10" s="80" t="inlineStr">
        <is>
          <t>Termination</t>
        </is>
      </c>
      <c r="I10" s="80" t="inlineStr">
        <is>
          <t>Kiersten Wilkerson</t>
        </is>
      </c>
      <c r="J10" s="80" t="n"/>
      <c r="K10" s="80" t="inlineStr">
        <is>
          <t>Sub/Floater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Jon Lomax</t>
        </is>
      </c>
      <c r="B11" s="111" t="n">
        <v>45670</v>
      </c>
      <c r="C11" s="77" t="n"/>
      <c r="D11" s="77" t="inlineStr">
        <is>
          <t>7 days</t>
        </is>
      </c>
      <c r="E11" s="77" t="inlineStr">
        <is>
          <t>No</t>
        </is>
      </c>
      <c r="F11" s="77" t="inlineStr">
        <is>
          <t>U</t>
        </is>
      </c>
      <c r="G11" s="77" t="inlineStr">
        <is>
          <t>Wadsworth</t>
        </is>
      </c>
      <c r="H11" s="77" t="inlineStr">
        <is>
          <t>Other</t>
        </is>
      </c>
      <c r="I11" s="77" t="inlineStr">
        <is>
          <t>Kendray Loy-Coon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Kendra Loy-Coon</t>
        </is>
      </c>
      <c r="B12" s="112" t="n">
        <v>45673</v>
      </c>
      <c r="C12" s="80" t="n"/>
      <c r="D12" s="80" t="inlineStr">
        <is>
          <t>7 years 11 months</t>
        </is>
      </c>
      <c r="E12" s="80" t="inlineStr">
        <is>
          <t>Yes</t>
        </is>
      </c>
      <c r="F12" s="80" t="inlineStr">
        <is>
          <t>D</t>
        </is>
      </c>
      <c r="G12" s="80" t="inlineStr">
        <is>
          <t>Four Mile</t>
        </is>
      </c>
      <c r="H12" s="80" t="inlineStr">
        <is>
          <t>Resignation</t>
        </is>
      </c>
      <c r="I12" s="80" t="inlineStr">
        <is>
          <t>Kasey Foster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Gabriella Kennedy</t>
        </is>
      </c>
      <c r="B13" s="111" t="n">
        <v>45674</v>
      </c>
      <c r="C13" s="77" t="n"/>
      <c r="D13" s="77" t="inlineStr">
        <is>
          <t>11 days</t>
        </is>
      </c>
      <c r="E13" s="77" t="inlineStr">
        <is>
          <t>No</t>
        </is>
      </c>
      <c r="F13" s="77" t="inlineStr">
        <is>
          <t>U</t>
        </is>
      </c>
      <c r="G13" s="77" t="inlineStr">
        <is>
          <t>McAdoo</t>
        </is>
      </c>
      <c r="H13" s="77" t="inlineStr">
        <is>
          <t>Personal Reasons</t>
        </is>
      </c>
      <c r="I13" s="77" t="inlineStr">
        <is>
          <t>Rebecca Smith</t>
        </is>
      </c>
      <c r="J13" s="77" t="n"/>
      <c r="K13" s="77" t="inlineStr">
        <is>
          <t>DSP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Jillina Rogers</t>
        </is>
      </c>
      <c r="B14" s="112" t="n">
        <v>45679</v>
      </c>
      <c r="C14" s="80" t="n"/>
      <c r="D14" s="80" t="inlineStr">
        <is>
          <t>7 months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Thelma</t>
        </is>
      </c>
      <c r="H14" s="80" t="inlineStr">
        <is>
          <t>Personal Reasons</t>
        </is>
      </c>
      <c r="I14" s="80" t="inlineStr">
        <is>
          <t>Bethany Quiggle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Kelci Wiggins</t>
        </is>
      </c>
      <c r="B15" s="111" t="n">
        <v>45677</v>
      </c>
      <c r="C15" s="77" t="n"/>
      <c r="D15" s="77" t="inlineStr">
        <is>
          <t>5 months</t>
        </is>
      </c>
      <c r="E15" s="77" t="inlineStr">
        <is>
          <t>Yes</t>
        </is>
      </c>
      <c r="F15" s="77" t="inlineStr">
        <is>
          <t>D</t>
        </is>
      </c>
      <c r="G15" s="77" t="inlineStr">
        <is>
          <t>LLL</t>
        </is>
      </c>
      <c r="H15" s="77" t="inlineStr">
        <is>
          <t>Termination</t>
        </is>
      </c>
      <c r="I15" s="77" t="inlineStr">
        <is>
          <t>Brittany Webb</t>
        </is>
      </c>
      <c r="J15" s="77" t="n"/>
      <c r="K15" s="77" t="inlineStr">
        <is>
          <t>Sub/Floater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Abby Morlock</t>
        </is>
      </c>
      <c r="B16" s="112" t="n">
        <v>45680</v>
      </c>
      <c r="C16" s="80" t="n"/>
      <c r="D16" s="80" t="inlineStr">
        <is>
          <t>1 year &amp; 1 month</t>
        </is>
      </c>
      <c r="E16" s="80" t="inlineStr">
        <is>
          <t>No</t>
        </is>
      </c>
      <c r="F16" s="80" t="inlineStr">
        <is>
          <t>U</t>
        </is>
      </c>
      <c r="G16" s="80" t="inlineStr">
        <is>
          <t>Dalton</t>
        </is>
      </c>
      <c r="H16" s="80" t="inlineStr">
        <is>
          <t>Personal Reasons</t>
        </is>
      </c>
      <c r="I16" s="80" t="inlineStr">
        <is>
          <t>Orian Miller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Kayla Sullivan</t>
        </is>
      </c>
      <c r="B17" s="111" t="n">
        <v>45659</v>
      </c>
      <c r="C17" s="77" t="n"/>
      <c r="D17" s="77" t="inlineStr">
        <is>
          <t>5 months</t>
        </is>
      </c>
      <c r="E17" s="77" t="inlineStr">
        <is>
          <t>No</t>
        </is>
      </c>
      <c r="F17" s="77" t="inlineStr">
        <is>
          <t>U</t>
        </is>
      </c>
      <c r="G17" s="77" t="inlineStr">
        <is>
          <t>Sapphire</t>
        </is>
      </c>
      <c r="H17" s="77" t="inlineStr">
        <is>
          <t>Job Abandonment</t>
        </is>
      </c>
      <c r="I17" s="77" t="inlineStr">
        <is>
          <t>Melissa Jackson</t>
        </is>
      </c>
      <c r="J17" s="77" t="n"/>
      <c r="K17" s="77" t="inlineStr">
        <is>
          <t>DSP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Emily West</t>
        </is>
      </c>
      <c r="B18" s="112" t="n">
        <v>45678</v>
      </c>
      <c r="C18" s="80" t="n"/>
      <c r="D18" s="80" t="inlineStr">
        <is>
          <t>1 month</t>
        </is>
      </c>
      <c r="E18" s="80" t="inlineStr">
        <is>
          <t>Yes</t>
        </is>
      </c>
      <c r="F18" s="80" t="inlineStr">
        <is>
          <t>U</t>
        </is>
      </c>
      <c r="G18" s="80" t="inlineStr">
        <is>
          <t>723 Emory Valley</t>
        </is>
      </c>
      <c r="H18" s="80" t="inlineStr">
        <is>
          <t>Resignation</t>
        </is>
      </c>
      <c r="I18" s="80" t="inlineStr">
        <is>
          <t>Abigail Donald</t>
        </is>
      </c>
      <c r="J18" s="80" t="n"/>
      <c r="K18" s="80" t="inlineStr">
        <is>
          <t>Other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Jill Battersby</t>
        </is>
      </c>
      <c r="B19" s="111" t="n">
        <v>45684</v>
      </c>
      <c r="C19" s="77" t="n"/>
      <c r="D19" s="77" t="inlineStr">
        <is>
          <t>2 years</t>
        </is>
      </c>
      <c r="E19" s="77" t="inlineStr">
        <is>
          <t>No</t>
        </is>
      </c>
      <c r="F19" s="77" t="inlineStr">
        <is>
          <t>D</t>
        </is>
      </c>
      <c r="G19" s="77" t="inlineStr">
        <is>
          <t>723 Emory Valley</t>
        </is>
      </c>
      <c r="H19" s="77" t="inlineStr">
        <is>
          <t>Resignation</t>
        </is>
      </c>
      <c r="I19" s="77" t="inlineStr">
        <is>
          <t>Abigail Donald</t>
        </is>
      </c>
      <c r="J19" s="77" t="n"/>
      <c r="K19" s="77" t="inlineStr">
        <is>
          <t>Other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Paula Winn</t>
        </is>
      </c>
      <c r="B20" s="112" t="n">
        <v>45686</v>
      </c>
      <c r="C20" s="80" t="n"/>
      <c r="D20" s="80" t="inlineStr">
        <is>
          <t>1 year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Robert Bunch</t>
        </is>
      </c>
      <c r="H20" s="80" t="inlineStr">
        <is>
          <t>Personal Reasons</t>
        </is>
      </c>
      <c r="I20" s="80" t="inlineStr">
        <is>
          <t>Jennie England</t>
        </is>
      </c>
      <c r="J20" s="80" t="n"/>
      <c r="K20" s="80" t="inlineStr">
        <is>
          <t>Other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Fred Terry</t>
        </is>
      </c>
      <c r="B21" s="111" t="n">
        <v>45688</v>
      </c>
      <c r="C21" s="77" t="n"/>
      <c r="D21" s="77" t="inlineStr">
        <is>
          <t>2 years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114 Herbert Heidel</t>
        </is>
      </c>
      <c r="H21" s="77" t="inlineStr">
        <is>
          <t>Personal Reasons</t>
        </is>
      </c>
      <c r="I21" s="77" t="inlineStr">
        <is>
          <t>Jennie England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Abby Dean</t>
        </is>
      </c>
      <c r="B22" s="112" t="n">
        <v>45688</v>
      </c>
      <c r="C22" s="80" t="n"/>
      <c r="D22" s="80" t="inlineStr">
        <is>
          <t>3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ELC</t>
        </is>
      </c>
      <c r="H22" s="80" t="inlineStr">
        <is>
          <t>Personal Reasons</t>
        </is>
      </c>
      <c r="I22" s="80" t="inlineStr">
        <is>
          <t>Kiersten Wilkerson</t>
        </is>
      </c>
      <c r="J22" s="80" t="n"/>
      <c r="K22" s="80" t="inlineStr">
        <is>
          <t>Sub/Floater</t>
        </is>
      </c>
      <c r="L22" s="80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2025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  <c r="N42" t="inlineStr">
        <is>
          <t>Synced To Hub</t>
        </is>
      </c>
      <c r="O42" t="inlineStr">
        <is>
          <t>Do Not Sync</t>
        </is>
      </c>
    </row>
    <row r="43" ht="15" customHeight="1">
      <c r="A43" s="77" t="inlineStr">
        <is>
          <t>Aaron Rutherford</t>
        </is>
      </c>
      <c r="B43" s="111" t="n">
        <v>45689</v>
      </c>
      <c r="C43" s="77" t="n"/>
      <c r="D43" s="77" t="inlineStr">
        <is>
          <t>2 years &amp; 10 months</t>
        </is>
      </c>
      <c r="E43" s="77" t="inlineStr">
        <is>
          <t>No</t>
        </is>
      </c>
      <c r="F43" s="77" t="inlineStr">
        <is>
          <t>D</t>
        </is>
      </c>
      <c r="G43" s="77" t="inlineStr">
        <is>
          <t>Alger</t>
        </is>
      </c>
      <c r="H43" s="77" t="inlineStr">
        <is>
          <t>Job Abandonment</t>
        </is>
      </c>
      <c r="I43" s="77" t="inlineStr">
        <is>
          <t>Dawn Williams</t>
        </is>
      </c>
      <c r="J43" s="77" t="n"/>
      <c r="K43" s="77" t="inlineStr">
        <is>
          <t>DSP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Abigail Donald</t>
        </is>
      </c>
      <c r="B44" s="112" t="n">
        <v>45691</v>
      </c>
      <c r="C44" s="80" t="n"/>
      <c r="D44" s="80" t="inlineStr">
        <is>
          <t>2 years &amp; 5 months</t>
        </is>
      </c>
      <c r="E44" s="80" t="inlineStr">
        <is>
          <t>No</t>
        </is>
      </c>
      <c r="F44" s="80" t="inlineStr">
        <is>
          <t>U</t>
        </is>
      </c>
      <c r="G44" s="80" t="inlineStr">
        <is>
          <t>Behavioral Health/Clinical Services</t>
        </is>
      </c>
      <c r="H44" s="80" t="inlineStr">
        <is>
          <t>Better Opportunity</t>
        </is>
      </c>
      <c r="I44" s="80" t="inlineStr">
        <is>
          <t>Crystal Hicks</t>
        </is>
      </c>
      <c r="J44" s="80" t="n"/>
      <c r="K44" s="80" t="inlineStr">
        <is>
          <t>CM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Trixy Huefner</t>
        </is>
      </c>
      <c r="B45" s="111" t="n">
        <v>45693</v>
      </c>
      <c r="C45" s="77" t="n"/>
      <c r="D45" s="77" t="inlineStr">
        <is>
          <t>3 days</t>
        </is>
      </c>
      <c r="E45" s="77" t="inlineStr">
        <is>
          <t>No</t>
        </is>
      </c>
      <c r="F45" s="77" t="inlineStr">
        <is>
          <t>U</t>
        </is>
      </c>
      <c r="G45" s="77" t="inlineStr">
        <is>
          <t>Thelma</t>
        </is>
      </c>
      <c r="H45" s="77" t="inlineStr">
        <is>
          <t>Personal Reasons</t>
        </is>
      </c>
      <c r="I45" s="77" t="inlineStr">
        <is>
          <t>Bethany Quiggle</t>
        </is>
      </c>
      <c r="J45" s="77" t="n"/>
      <c r="K45" s="77" t="inlineStr">
        <is>
          <t>DSP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Yajaria Herrara</t>
        </is>
      </c>
      <c r="B46" s="112" t="n">
        <v>45699</v>
      </c>
      <c r="C46" s="80" t="n"/>
      <c r="D46" s="80" t="inlineStr">
        <is>
          <t>3 weeks</t>
        </is>
      </c>
      <c r="E46" s="80" t="inlineStr">
        <is>
          <t>No</t>
        </is>
      </c>
      <c r="F46" s="80" t="inlineStr">
        <is>
          <t>D</t>
        </is>
      </c>
      <c r="G46" s="80" t="inlineStr">
        <is>
          <t>Floater</t>
        </is>
      </c>
      <c r="H46" s="80" t="inlineStr">
        <is>
          <t>Performance Issues</t>
        </is>
      </c>
      <c r="I46" s="80" t="inlineStr">
        <is>
          <t>Rebecca Smith</t>
        </is>
      </c>
      <c r="J46" s="80" t="n"/>
      <c r="K46" s="80" t="inlineStr">
        <is>
          <t>Sub/Floater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Djuana Reed</t>
        </is>
      </c>
      <c r="B47" s="111" t="n">
        <v>45701</v>
      </c>
      <c r="C47" s="77" t="n"/>
      <c r="D47" s="77" t="inlineStr">
        <is>
          <t>1 year and 5 months</t>
        </is>
      </c>
      <c r="E47" s="77" t="inlineStr">
        <is>
          <t>Yes</t>
        </is>
      </c>
      <c r="F47" s="77" t="inlineStr">
        <is>
          <t>D</t>
        </is>
      </c>
      <c r="G47" s="77" t="inlineStr">
        <is>
          <t>Remote</t>
        </is>
      </c>
      <c r="H47" s="77" t="inlineStr">
        <is>
          <t>Other</t>
        </is>
      </c>
      <c r="I47" s="77" t="inlineStr">
        <is>
          <t>Aaron Price</t>
        </is>
      </c>
      <c r="J47" s="77" t="n"/>
      <c r="K47" s="77" t="inlineStr">
        <is>
          <t>Other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Elizabeth Harris</t>
        </is>
      </c>
      <c r="B48" s="112" t="n">
        <v>45703</v>
      </c>
      <c r="C48" s="80" t="n"/>
      <c r="D48" s="80" t="inlineStr">
        <is>
          <t>8 months</t>
        </is>
      </c>
      <c r="E48" s="80" t="inlineStr">
        <is>
          <t>Yes</t>
        </is>
      </c>
      <c r="F48" s="80" t="inlineStr">
        <is>
          <t>U</t>
        </is>
      </c>
      <c r="G48" s="80" t="inlineStr">
        <is>
          <t>Thelma</t>
        </is>
      </c>
      <c r="H48" s="80" t="inlineStr">
        <is>
          <t>Better Opportunity</t>
        </is>
      </c>
      <c r="I48" s="80" t="inlineStr">
        <is>
          <t>Bethany Quiggle</t>
        </is>
      </c>
      <c r="J48" s="80" t="n"/>
      <c r="K48" s="80" t="inlineStr">
        <is>
          <t>DSP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Amber Carrol</t>
        </is>
      </c>
      <c r="B49" s="111" t="n">
        <v>45706</v>
      </c>
      <c r="C49" s="77" t="n"/>
      <c r="D49" s="77" t="inlineStr">
        <is>
          <t>11 months</t>
        </is>
      </c>
      <c r="E49" s="77" t="inlineStr">
        <is>
          <t>Yes</t>
        </is>
      </c>
      <c r="F49" s="77" t="inlineStr">
        <is>
          <t>U</t>
        </is>
      </c>
      <c r="G49" s="77" t="inlineStr">
        <is>
          <t>BP 702</t>
        </is>
      </c>
      <c r="H49" s="77" t="inlineStr">
        <is>
          <t>Better Opportunity</t>
        </is>
      </c>
      <c r="I49" s="77" t="inlineStr">
        <is>
          <t>Alishia Jones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Jessica Solis</t>
        </is>
      </c>
      <c r="B50" s="112" t="n">
        <v>45706</v>
      </c>
      <c r="C50" s="80" t="n"/>
      <c r="D50" s="80" t="inlineStr">
        <is>
          <t>7 months</t>
        </is>
      </c>
      <c r="E50" s="80" t="inlineStr">
        <is>
          <t>No</t>
        </is>
      </c>
      <c r="F50" s="80" t="inlineStr">
        <is>
          <t>U</t>
        </is>
      </c>
      <c r="G50" s="80" t="inlineStr">
        <is>
          <t>Family Support</t>
        </is>
      </c>
      <c r="H50" s="80" t="inlineStr">
        <is>
          <t>Personal Reasons</t>
        </is>
      </c>
      <c r="I50" s="80" t="inlineStr">
        <is>
          <t>Regina Wilson</t>
        </is>
      </c>
      <c r="J50" s="80" t="n"/>
      <c r="K50" s="80" t="inlineStr">
        <is>
          <t>Family Support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Kim Sharp</t>
        </is>
      </c>
      <c r="B51" s="111" t="n">
        <v>45709</v>
      </c>
      <c r="C51" s="77" t="n"/>
      <c r="D51" s="77" t="inlineStr">
        <is>
          <t>10 Years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Lower Valley</t>
        </is>
      </c>
      <c r="H51" s="77" t="inlineStr">
        <is>
          <t>Better Opportunity</t>
        </is>
      </c>
      <c r="I51" s="77" t="inlineStr">
        <is>
          <t>Kasey Foster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Misty Mayes</t>
        </is>
      </c>
      <c r="B52" s="112" t="n">
        <v>45714</v>
      </c>
      <c r="C52" s="80" t="n"/>
      <c r="D52" s="80" t="inlineStr">
        <is>
          <t>13 days</t>
        </is>
      </c>
      <c r="E52" s="80" t="inlineStr">
        <is>
          <t>No</t>
        </is>
      </c>
      <c r="F52" s="80" t="inlineStr">
        <is>
          <t>U</t>
        </is>
      </c>
      <c r="G52" s="80" t="inlineStr">
        <is>
          <t>Sapphire</t>
        </is>
      </c>
      <c r="H52" s="80" t="inlineStr">
        <is>
          <t>Job Abandonment</t>
        </is>
      </c>
      <c r="I52" s="80" t="inlineStr">
        <is>
          <t>Sarah Allen</t>
        </is>
      </c>
      <c r="J52" s="80" t="n"/>
      <c r="K52" s="80" t="inlineStr">
        <is>
          <t>DSP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Annie McAmis</t>
        </is>
      </c>
      <c r="B53" s="111" t="n">
        <v>45716</v>
      </c>
      <c r="C53" s="77" t="n"/>
      <c r="D53" s="77" t="inlineStr">
        <is>
          <t>1 year</t>
        </is>
      </c>
      <c r="E53" s="77" t="inlineStr">
        <is>
          <t>Yes</t>
        </is>
      </c>
      <c r="F53" s="77" t="inlineStr">
        <is>
          <t>U</t>
        </is>
      </c>
      <c r="G53" s="77" t="inlineStr">
        <is>
          <t>Hamilton B</t>
        </is>
      </c>
      <c r="H53" s="77" t="inlineStr">
        <is>
          <t>Other</t>
        </is>
      </c>
      <c r="I53" s="77" t="inlineStr">
        <is>
          <t>Mackayla Smith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80" t="inlineStr">
        <is>
          <t>Zoey Spencer</t>
        </is>
      </c>
      <c r="B54" s="112" t="n">
        <v>45715</v>
      </c>
      <c r="C54" s="80" t="n"/>
      <c r="D54" s="80" t="inlineStr">
        <is>
          <t>4 months</t>
        </is>
      </c>
      <c r="E54" s="80" t="inlineStr">
        <is>
          <t>No</t>
        </is>
      </c>
      <c r="F54" s="80" t="inlineStr">
        <is>
          <t>U</t>
        </is>
      </c>
      <c r="G54" s="80" t="inlineStr">
        <is>
          <t>Dalton</t>
        </is>
      </c>
      <c r="H54" s="80" t="inlineStr">
        <is>
          <t>Better Opportunity</t>
        </is>
      </c>
      <c r="I54" s="80" t="inlineStr">
        <is>
          <t>Orian Miller</t>
        </is>
      </c>
      <c r="J54" s="80" t="n"/>
      <c r="K54" s="80" t="inlineStr">
        <is>
          <t>DSP</t>
        </is>
      </c>
      <c r="L54" s="80" t="n"/>
      <c r="M54" s="105">
        <f>IFERROR(VLOOKUP(G54,Reference!$I$2:$J$175,2,FALSE()),"Operations")</f>
        <v/>
      </c>
    </row>
    <row r="55" ht="15" customHeight="1">
      <c r="A55" s="77" t="inlineStr">
        <is>
          <t>Sarah Vega</t>
        </is>
      </c>
      <c r="B55" s="111" t="n">
        <v>45716</v>
      </c>
      <c r="C55" s="77" t="n"/>
      <c r="D55" s="77" t="inlineStr">
        <is>
          <t>11 months</t>
        </is>
      </c>
      <c r="E55" s="77" t="inlineStr">
        <is>
          <t>No</t>
        </is>
      </c>
      <c r="F55" s="77" t="inlineStr">
        <is>
          <t>D</t>
        </is>
      </c>
      <c r="G55" s="77" t="inlineStr">
        <is>
          <t>Livingston/196 Latimer</t>
        </is>
      </c>
      <c r="H55" s="77" t="inlineStr">
        <is>
          <t>Termination</t>
        </is>
      </c>
      <c r="I55" s="77" t="inlineStr">
        <is>
          <t>Sheri McMahan</t>
        </is>
      </c>
      <c r="J55" s="77" t="n"/>
      <c r="K55" s="77" t="inlineStr">
        <is>
          <t>DSP</t>
        </is>
      </c>
      <c r="L55" s="77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2025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  <c r="N76" t="inlineStr">
        <is>
          <t>Synced To Hub</t>
        </is>
      </c>
      <c r="O76" t="inlineStr">
        <is>
          <t>Do Not Sync</t>
        </is>
      </c>
    </row>
    <row r="77" ht="15" customHeight="1">
      <c r="A77" s="77" t="inlineStr">
        <is>
          <t>Christine Bryson</t>
        </is>
      </c>
      <c r="B77" s="111" t="n">
        <v>45727</v>
      </c>
      <c r="C77" s="77" t="n"/>
      <c r="D77" s="77" t="inlineStr">
        <is>
          <t>1 year and 3 months</t>
        </is>
      </c>
      <c r="E77" s="77" t="inlineStr">
        <is>
          <t>No</t>
        </is>
      </c>
      <c r="F77" s="77" t="inlineStr">
        <is>
          <t>U</t>
        </is>
      </c>
      <c r="G77" s="77" t="inlineStr">
        <is>
          <t>Sapphire</t>
        </is>
      </c>
      <c r="H77" s="77" t="inlineStr">
        <is>
          <t>Personal Reasons</t>
        </is>
      </c>
      <c r="I77" s="77" t="inlineStr">
        <is>
          <t>Ashanti Avila-Ramos</t>
        </is>
      </c>
      <c r="J77" s="77" t="n"/>
      <c r="K77" s="77" t="inlineStr">
        <is>
          <t>DSP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Charlsea Burton</t>
        </is>
      </c>
      <c r="B78" s="112" t="n">
        <v>45730</v>
      </c>
      <c r="C78" s="80" t="n"/>
      <c r="D78" s="80" t="inlineStr">
        <is>
          <t>7 days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Sapphire</t>
        </is>
      </c>
      <c r="H78" s="80" t="inlineStr">
        <is>
          <t>Job Abandonment</t>
        </is>
      </c>
      <c r="I78" s="80" t="inlineStr">
        <is>
          <t>Sarah Allen</t>
        </is>
      </c>
      <c r="J78" s="80" t="n"/>
      <c r="K78" s="80" t="inlineStr">
        <is>
          <t>DSP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Merari Morales</t>
        </is>
      </c>
      <c r="B79" s="111" t="n">
        <v>45731</v>
      </c>
      <c r="C79" s="77" t="n"/>
      <c r="D79" s="77" t="inlineStr">
        <is>
          <t>9 months</t>
        </is>
      </c>
      <c r="E79" s="77" t="inlineStr">
        <is>
          <t>Yes</t>
        </is>
      </c>
      <c r="F79" s="77" t="inlineStr">
        <is>
          <t>U</t>
        </is>
      </c>
      <c r="G79" s="77" t="inlineStr">
        <is>
          <t>2290 Turnpike</t>
        </is>
      </c>
      <c r="H79" s="77" t="inlineStr">
        <is>
          <t>Better Opportunity</t>
        </is>
      </c>
      <c r="I79" s="77" t="inlineStr">
        <is>
          <t>Savanna Daniels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Naseen Safa</t>
        </is>
      </c>
      <c r="B80" s="112" t="n">
        <v>45734</v>
      </c>
      <c r="C80" s="80" t="n"/>
      <c r="D80" s="80" t="inlineStr">
        <is>
          <t>8 days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1113 McAdoo</t>
        </is>
      </c>
      <c r="H80" s="80" t="inlineStr">
        <is>
          <t>Job Abandonment</t>
        </is>
      </c>
      <c r="I80" s="80" t="inlineStr">
        <is>
          <t>Sheri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Madison Bourff</t>
        </is>
      </c>
      <c r="B81" s="111" t="n">
        <v>45734</v>
      </c>
      <c r="C81" s="77" t="n"/>
      <c r="D81" s="77" t="inlineStr">
        <is>
          <t>2 months</t>
        </is>
      </c>
      <c r="E81" s="77" t="inlineStr">
        <is>
          <t>No</t>
        </is>
      </c>
      <c r="F81" s="77" t="inlineStr">
        <is>
          <t>D</t>
        </is>
      </c>
      <c r="G81" s="77" t="inlineStr">
        <is>
          <t>ELC</t>
        </is>
      </c>
      <c r="H81" s="77" t="inlineStr">
        <is>
          <t>Personal Reasons</t>
        </is>
      </c>
      <c r="I81" s="77" t="inlineStr">
        <is>
          <t>Kiersten Wilkerson</t>
        </is>
      </c>
      <c r="J81" s="77" t="n"/>
      <c r="K81" s="77" t="inlineStr">
        <is>
          <t>Sub/Floater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Becky Godsey</t>
        </is>
      </c>
      <c r="B82" s="112" t="n">
        <v>45734</v>
      </c>
      <c r="C82" s="80" t="n"/>
      <c r="D82" s="80" t="inlineStr">
        <is>
          <t>13 Years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NA</t>
        </is>
      </c>
      <c r="H82" s="80" t="inlineStr">
        <is>
          <t>Personal Reasons</t>
        </is>
      </c>
      <c r="I82" s="80" t="inlineStr">
        <is>
          <t>Layla Fisher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Kaylia Colwell</t>
        </is>
      </c>
      <c r="B83" s="111" t="n">
        <v>45734</v>
      </c>
      <c r="C83" s="77" t="n"/>
      <c r="D83" s="77" t="inlineStr">
        <is>
          <t>1 month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Hamilton A</t>
        </is>
      </c>
      <c r="H83" s="77" t="inlineStr">
        <is>
          <t>Job Abandonment</t>
        </is>
      </c>
      <c r="I83" s="77" t="inlineStr">
        <is>
          <t>Michaela Smith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Brennan Nicholson</t>
        </is>
      </c>
      <c r="B84" s="112" t="n">
        <v>45736</v>
      </c>
      <c r="C84" s="80" t="n"/>
      <c r="D84" s="80" t="inlineStr">
        <is>
          <t>10 months</t>
        </is>
      </c>
      <c r="E84" s="80" t="inlineStr">
        <is>
          <t>Yes</t>
        </is>
      </c>
      <c r="F84" s="80" t="inlineStr">
        <is>
          <t>U</t>
        </is>
      </c>
      <c r="G84" s="80" t="inlineStr">
        <is>
          <t>2290 Turnpike</t>
        </is>
      </c>
      <c r="H84" s="80" t="inlineStr">
        <is>
          <t>Better Opportunity</t>
        </is>
      </c>
      <c r="I84" s="80" t="inlineStr">
        <is>
          <t>Savanna Daniels</t>
        </is>
      </c>
      <c r="J84" s="80" t="n"/>
      <c r="K84" s="80" t="inlineStr">
        <is>
          <t>DSP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Dusty Disney</t>
        </is>
      </c>
      <c r="B85" s="111" t="n">
        <v>45737</v>
      </c>
      <c r="C85" s="77" t="n"/>
      <c r="D85" s="77" t="inlineStr">
        <is>
          <t>3 years</t>
        </is>
      </c>
      <c r="E85" s="77" t="inlineStr">
        <is>
          <t>Yes</t>
        </is>
      </c>
      <c r="F85" s="77" t="inlineStr">
        <is>
          <t>U</t>
        </is>
      </c>
      <c r="G85" s="77" t="inlineStr">
        <is>
          <t>Finance</t>
        </is>
      </c>
      <c r="H85" s="77" t="inlineStr">
        <is>
          <t>Personal Reasons</t>
        </is>
      </c>
      <c r="I85" s="77" t="inlineStr">
        <is>
          <t>Elyse Vanlandingham</t>
        </is>
      </c>
      <c r="J85" s="77" t="n"/>
      <c r="K85" s="77" t="inlineStr">
        <is>
          <t>Finance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Tyler Bouchelle</t>
        </is>
      </c>
      <c r="B86" s="112" t="n">
        <v>45743</v>
      </c>
      <c r="C86" s="80" t="n"/>
      <c r="D86" s="80" t="inlineStr">
        <is>
          <t>1 month</t>
        </is>
      </c>
      <c r="E86" s="80" t="inlineStr">
        <is>
          <t>No</t>
        </is>
      </c>
      <c r="F86" s="80" t="inlineStr">
        <is>
          <t>U</t>
        </is>
      </c>
      <c r="G86" s="80" t="inlineStr">
        <is>
          <t>Livingston</t>
        </is>
      </c>
      <c r="H86" s="80" t="inlineStr">
        <is>
          <t>Better Opportunity</t>
        </is>
      </c>
      <c r="I86" s="80" t="inlineStr">
        <is>
          <t>Sheri McMahan</t>
        </is>
      </c>
      <c r="J86" s="80" t="n"/>
      <c r="K86" s="80" t="inlineStr">
        <is>
          <t>DSP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Destiny Kelly</t>
        </is>
      </c>
      <c r="B87" s="111" t="n">
        <v>45744</v>
      </c>
      <c r="C87" s="77" t="n"/>
      <c r="D87" s="77" t="inlineStr">
        <is>
          <t>1 yr 3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Workforce Innovation</t>
        </is>
      </c>
      <c r="H87" s="77" t="inlineStr">
        <is>
          <t>Better Opportunity</t>
        </is>
      </c>
      <c r="I87" s="77" t="inlineStr">
        <is>
          <t>Miranda Kelley</t>
        </is>
      </c>
      <c r="J87" s="77" t="n"/>
      <c r="K87" s="77" t="inlineStr">
        <is>
          <t>Job Coach/WI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Kaelynn Godfrey</t>
        </is>
      </c>
      <c r="B88" s="112" t="n">
        <v>45744</v>
      </c>
      <c r="C88" s="80" t="n"/>
      <c r="D88" s="80" t="inlineStr">
        <is>
          <t>8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LLL</t>
        </is>
      </c>
      <c r="H88" s="80" t="inlineStr">
        <is>
          <t>Better Opportunity</t>
        </is>
      </c>
      <c r="I88" s="80" t="inlineStr">
        <is>
          <t>Brittany Webb</t>
        </is>
      </c>
      <c r="J88" s="80" t="n"/>
      <c r="K88" s="80" t="inlineStr">
        <is>
          <t>Sub/Floater</t>
        </is>
      </c>
      <c r="L88" s="80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2025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  <c r="N110" t="inlineStr">
        <is>
          <t>Synced To Hub</t>
        </is>
      </c>
      <c r="O110" t="inlineStr">
        <is>
          <t>Do Not Sync</t>
        </is>
      </c>
    </row>
    <row r="111" ht="15" customHeight="1">
      <c r="A111" s="77" t="inlineStr">
        <is>
          <t>Wilondia “Benard” Musukwa</t>
        </is>
      </c>
      <c r="B111" s="111" t="n">
        <v>45751</v>
      </c>
      <c r="C111" s="77" t="n"/>
      <c r="D111" s="77" t="inlineStr">
        <is>
          <t>Less than 2 weeks</t>
        </is>
      </c>
      <c r="E111" s="77" t="inlineStr">
        <is>
          <t>No</t>
        </is>
      </c>
      <c r="F111" s="77" t="inlineStr">
        <is>
          <t>D</t>
        </is>
      </c>
      <c r="G111" s="77" t="inlineStr">
        <is>
          <t>1113 McAdoo</t>
        </is>
      </c>
      <c r="H111" s="77" t="inlineStr">
        <is>
          <t>Performance Issues</t>
        </is>
      </c>
      <c r="I111" s="77" t="inlineStr">
        <is>
          <t>Rebecca Smith</t>
        </is>
      </c>
      <c r="J111" s="77" t="n"/>
      <c r="K111" s="77" t="inlineStr">
        <is>
          <t>DSP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Melinda Bell</t>
        </is>
      </c>
      <c r="B112" s="112" t="n">
        <v>45754</v>
      </c>
      <c r="C112" s="80" t="n"/>
      <c r="D112" s="80" t="inlineStr">
        <is>
          <t>Less than 2 weeks</t>
        </is>
      </c>
      <c r="E112" s="80" t="inlineStr">
        <is>
          <t>No</t>
        </is>
      </c>
      <c r="F112" s="80" t="inlineStr">
        <is>
          <t>D</t>
        </is>
      </c>
      <c r="G112" s="80" t="inlineStr">
        <is>
          <t>Sapphire</t>
        </is>
      </c>
      <c r="H112" s="80" t="inlineStr">
        <is>
          <t>Attendance Issues</t>
        </is>
      </c>
      <c r="I112" s="80" t="inlineStr">
        <is>
          <t>Sarah Allen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Hope Jenkins</t>
        </is>
      </c>
      <c r="B113" s="111" t="n">
        <v>45757</v>
      </c>
      <c r="C113" s="77" t="n"/>
      <c r="D113" s="77" t="inlineStr">
        <is>
          <t>3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Northwestern</t>
        </is>
      </c>
      <c r="H113" s="77" t="inlineStr">
        <is>
          <t>Personal Reasons</t>
        </is>
      </c>
      <c r="I113" s="77" t="inlineStr">
        <is>
          <t>Michelle Shafer</t>
        </is>
      </c>
      <c r="J113" s="77" t="n"/>
      <c r="K113" s="77" t="inlineStr">
        <is>
          <t>DSP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Jenny Wagner</t>
        </is>
      </c>
      <c r="B114" s="112" t="n">
        <v>45762</v>
      </c>
      <c r="C114" s="80" t="n"/>
      <c r="D114" s="80" t="inlineStr">
        <is>
          <t>1 month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Hamilton B</t>
        </is>
      </c>
      <c r="H114" s="80" t="inlineStr">
        <is>
          <t>Job Abandonment</t>
        </is>
      </c>
      <c r="I114" s="80" t="inlineStr">
        <is>
          <t>Michaela Smith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Joni Hodge</t>
        </is>
      </c>
      <c r="B115" s="111" t="n">
        <v>45762</v>
      </c>
      <c r="C115" s="77" t="n"/>
      <c r="D115" s="77" t="inlineStr">
        <is>
          <t>9 years</t>
        </is>
      </c>
      <c r="E115" s="77" t="inlineStr">
        <is>
          <t>Yes</t>
        </is>
      </c>
      <c r="F115" s="77" t="inlineStr">
        <is>
          <t>U</t>
        </is>
      </c>
      <c r="G115" s="77" t="inlineStr">
        <is>
          <t>EI</t>
        </is>
      </c>
      <c r="H115" s="77" t="inlineStr">
        <is>
          <t>Resignation</t>
        </is>
      </c>
      <c r="I115" s="77" t="inlineStr">
        <is>
          <t>Anna Moore</t>
        </is>
      </c>
      <c r="J115" s="77" t="n"/>
      <c r="K115" s="77" t="inlineStr">
        <is>
          <t>EI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Kimberly Bowman</t>
        </is>
      </c>
      <c r="B116" s="112" t="n">
        <v>45768</v>
      </c>
      <c r="C116" s="80" t="n"/>
      <c r="D116" s="80" t="inlineStr">
        <is>
          <t>3 weeks</t>
        </is>
      </c>
      <c r="E116" s="80" t="inlineStr">
        <is>
          <t>No</t>
        </is>
      </c>
      <c r="F116" s="80" t="inlineStr">
        <is>
          <t>D</t>
        </is>
      </c>
      <c r="G116" s="80" t="inlineStr">
        <is>
          <t>Human Resources</t>
        </is>
      </c>
      <c r="H116" s="80" t="inlineStr">
        <is>
          <t>Termination</t>
        </is>
      </c>
      <c r="I116" s="80" t="inlineStr">
        <is>
          <t>Kim Whitaker</t>
        </is>
      </c>
      <c r="J116" s="80" t="n"/>
      <c r="K116" s="80" t="inlineStr">
        <is>
          <t>HR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Kandi Miller</t>
        </is>
      </c>
      <c r="B117" s="111" t="n">
        <v>45777</v>
      </c>
      <c r="C117" s="77" t="n"/>
      <c r="D117" s="77" t="inlineStr">
        <is>
          <t>1yr</t>
        </is>
      </c>
      <c r="E117" s="77" t="inlineStr">
        <is>
          <t>No</t>
        </is>
      </c>
      <c r="F117" s="77" t="inlineStr">
        <is>
          <t>D</t>
        </is>
      </c>
      <c r="G117" s="77" t="inlineStr">
        <is>
          <t>Livingston</t>
        </is>
      </c>
      <c r="H117" s="77" t="inlineStr">
        <is>
          <t>Resignation</t>
        </is>
      </c>
      <c r="I117" s="77" t="inlineStr">
        <is>
          <t>Sheri McMahan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2025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  <c r="N144" t="inlineStr">
        <is>
          <t>Synced To Hub</t>
        </is>
      </c>
      <c r="O144" t="inlineStr">
        <is>
          <t>Do Not Sync</t>
        </is>
      </c>
    </row>
    <row r="145" ht="15" customHeight="1">
      <c r="A145" s="77" t="inlineStr">
        <is>
          <t>Caitlin Overholser</t>
        </is>
      </c>
      <c r="B145" s="111" t="n">
        <v>45778</v>
      </c>
      <c r="C145" s="77" t="n"/>
      <c r="D145" s="77" t="inlineStr">
        <is>
          <t>2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LLL</t>
        </is>
      </c>
      <c r="H145" s="77" t="inlineStr">
        <is>
          <t>Personal Reasons</t>
        </is>
      </c>
      <c r="I145" s="77" t="inlineStr">
        <is>
          <t>Brittany Webb</t>
        </is>
      </c>
      <c r="J145" s="77" t="n"/>
      <c r="K145" s="77" t="inlineStr">
        <is>
          <t>Sub/Floater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Coogie Pearson</t>
        </is>
      </c>
      <c r="B146" s="112" t="n">
        <v>45780</v>
      </c>
      <c r="C146" s="80" t="n"/>
      <c r="D146" s="80" t="inlineStr">
        <is>
          <t>5 months</t>
        </is>
      </c>
      <c r="E146" s="80" t="inlineStr">
        <is>
          <t>No</t>
        </is>
      </c>
      <c r="F146" s="80" t="inlineStr">
        <is>
          <t>D</t>
        </is>
      </c>
      <c r="G146" s="80" t="inlineStr">
        <is>
          <t>1111 McAdoo</t>
        </is>
      </c>
      <c r="H146" s="80" t="inlineStr">
        <is>
          <t>Resignation</t>
        </is>
      </c>
      <c r="I146" s="80" t="inlineStr">
        <is>
          <t>Rebecca Smith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Andrew Ramsey</t>
        </is>
      </c>
      <c r="B147" s="111" t="n">
        <v>45785</v>
      </c>
      <c r="C147" s="77" t="n"/>
      <c r="D147" s="77" t="inlineStr">
        <is>
          <t>2 yrs</t>
        </is>
      </c>
      <c r="E147" s="77" t="inlineStr">
        <is>
          <t>No</t>
        </is>
      </c>
      <c r="F147" s="77" t="inlineStr">
        <is>
          <t>D</t>
        </is>
      </c>
      <c r="G147" s="77" t="inlineStr">
        <is>
          <t>ECF Services</t>
        </is>
      </c>
      <c r="H147" s="77" t="inlineStr">
        <is>
          <t>Resignation</t>
        </is>
      </c>
      <c r="I147" s="77" t="inlineStr">
        <is>
          <t>Maranda Kelley</t>
        </is>
      </c>
      <c r="J147" s="77" t="n"/>
      <c r="K147" s="77" t="inlineStr">
        <is>
          <t>Other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Ryan Douglas</t>
        </is>
      </c>
      <c r="B148" s="112" t="n">
        <v>45787</v>
      </c>
      <c r="C148" s="80" t="n"/>
      <c r="D148" s="80" t="inlineStr">
        <is>
          <t>4 months</t>
        </is>
      </c>
      <c r="E148" s="80" t="inlineStr">
        <is>
          <t>No</t>
        </is>
      </c>
      <c r="F148" s="80" t="inlineStr">
        <is>
          <t>D</t>
        </is>
      </c>
      <c r="G148" s="80" t="inlineStr">
        <is>
          <t>141 Wainwright</t>
        </is>
      </c>
      <c r="H148" s="80" t="inlineStr">
        <is>
          <t>Job Abandonment</t>
        </is>
      </c>
      <c r="I148" s="80" t="inlineStr">
        <is>
          <t>Cory Depuy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Raeann Brink</t>
        </is>
      </c>
      <c r="B149" s="111" t="n">
        <v>45789</v>
      </c>
      <c r="C149" s="77" t="n"/>
      <c r="D149" s="77" t="inlineStr">
        <is>
          <t>9 years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EI</t>
        </is>
      </c>
      <c r="H149" s="77" t="inlineStr">
        <is>
          <t>Better Opportunity</t>
        </is>
      </c>
      <c r="I149" s="77" t="inlineStr">
        <is>
          <t>Anna Moore</t>
        </is>
      </c>
      <c r="J149" s="77" t="n"/>
      <c r="K149" s="77" t="inlineStr">
        <is>
          <t>EI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George Yost</t>
        </is>
      </c>
      <c r="B150" s="112" t="n">
        <v>45789</v>
      </c>
      <c r="C150" s="80" t="n"/>
      <c r="D150" s="80" t="inlineStr">
        <is>
          <t>1 yr 11 months</t>
        </is>
      </c>
      <c r="E150" s="80" t="inlineStr">
        <is>
          <t>Yes</t>
        </is>
      </c>
      <c r="F150" s="80" t="inlineStr">
        <is>
          <t>U</t>
        </is>
      </c>
      <c r="G150" s="80" t="inlineStr">
        <is>
          <t>Residential</t>
        </is>
      </c>
      <c r="H150" s="80" t="inlineStr">
        <is>
          <t>Other</t>
        </is>
      </c>
      <c r="I150" s="80" t="inlineStr">
        <is>
          <t>Layla Fisher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Keelie Greene</t>
        </is>
      </c>
      <c r="B151" s="111" t="n">
        <v>45789</v>
      </c>
      <c r="C151" s="77" t="n"/>
      <c r="D151" s="77" t="inlineStr">
        <is>
          <t>1 yr 11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Hamilton A</t>
        </is>
      </c>
      <c r="H151" s="77" t="inlineStr">
        <is>
          <t>Job Abandonment</t>
        </is>
      </c>
      <c r="I151" s="77" t="inlineStr">
        <is>
          <t>Michaela Smith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Cathy Lackey</t>
        </is>
      </c>
      <c r="B152" s="112" t="n">
        <v>45790</v>
      </c>
      <c r="C152" s="80" t="n"/>
      <c r="D152" s="80" t="inlineStr">
        <is>
          <t>1 yr 10 months</t>
        </is>
      </c>
      <c r="E152" s="80" t="inlineStr">
        <is>
          <t>No</t>
        </is>
      </c>
      <c r="F152" s="80" t="inlineStr">
        <is>
          <t>D</t>
        </is>
      </c>
      <c r="G152" s="80" t="inlineStr">
        <is>
          <t>On Leave</t>
        </is>
      </c>
      <c r="H152" s="80" t="inlineStr">
        <is>
          <t>Job Abandonment</t>
        </is>
      </c>
      <c r="I152" s="80" t="inlineStr">
        <is>
          <t>Layla Fisher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Madeline Tackett</t>
        </is>
      </c>
      <c r="B153" s="111" t="n">
        <v>45791</v>
      </c>
      <c r="C153" s="77" t="n"/>
      <c r="D153" s="77" t="inlineStr">
        <is>
          <t>7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Workforce Innovation</t>
        </is>
      </c>
      <c r="H153" s="77" t="inlineStr">
        <is>
          <t>Better Opportunity</t>
        </is>
      </c>
      <c r="I153" s="77" t="inlineStr">
        <is>
          <t>Allyssa Chadwick</t>
        </is>
      </c>
      <c r="J153" s="77" t="n"/>
      <c r="K153" s="77" t="inlineStr">
        <is>
          <t>Job Coach/WI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Ashanti Avila-Ramos</t>
        </is>
      </c>
      <c r="B154" s="112" t="n">
        <v>45792</v>
      </c>
      <c r="C154" s="80" t="n"/>
      <c r="D154" s="80" t="inlineStr">
        <is>
          <t>4 months</t>
        </is>
      </c>
      <c r="E154" s="80" t="inlineStr">
        <is>
          <t>No</t>
        </is>
      </c>
      <c r="F154" s="80" t="inlineStr">
        <is>
          <t>D</t>
        </is>
      </c>
      <c r="G154" s="80" t="inlineStr">
        <is>
          <t>104 East Dalton</t>
        </is>
      </c>
      <c r="H154" s="80" t="inlineStr">
        <is>
          <t>Job Abandonment</t>
        </is>
      </c>
      <c r="I154" s="80" t="inlineStr">
        <is>
          <t>Sheri McMahan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Jessica Burkhead</t>
        </is>
      </c>
      <c r="B155" s="111" t="n">
        <v>45792</v>
      </c>
      <c r="C155" s="77" t="n"/>
      <c r="D155" s="77" t="inlineStr">
        <is>
          <t>1 month</t>
        </is>
      </c>
      <c r="E155" s="77" t="inlineStr">
        <is>
          <t>No</t>
        </is>
      </c>
      <c r="F155" s="77" t="inlineStr">
        <is>
          <t>D</t>
        </is>
      </c>
      <c r="G155" s="77" t="inlineStr">
        <is>
          <t>ELC</t>
        </is>
      </c>
      <c r="H155" s="77" t="inlineStr">
        <is>
          <t>Termination</t>
        </is>
      </c>
      <c r="I155" s="77" t="inlineStr">
        <is>
          <t>Kiersten Wilkerson</t>
        </is>
      </c>
      <c r="J155" s="77" t="n"/>
      <c r="K155" s="77" t="inlineStr">
        <is>
          <t>Teacher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Heather Terry</t>
        </is>
      </c>
      <c r="B156" s="112" t="n">
        <v>45793</v>
      </c>
      <c r="C156" s="80" t="n"/>
      <c r="D156" s="80" t="inlineStr">
        <is>
          <t>11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EI</t>
        </is>
      </c>
      <c r="H156" s="80" t="inlineStr">
        <is>
          <t>Resignation</t>
        </is>
      </c>
      <c r="I156" s="80" t="inlineStr">
        <is>
          <t>Chase Davenport</t>
        </is>
      </c>
      <c r="J156" s="80" t="n"/>
      <c r="K156" s="80" t="inlineStr">
        <is>
          <t>EI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Joeusha Soles</t>
        </is>
      </c>
      <c r="B157" s="111" t="n">
        <v>45796</v>
      </c>
      <c r="C157" s="77" t="n"/>
      <c r="D157" s="77" t="inlineStr">
        <is>
          <t>5 months</t>
        </is>
      </c>
      <c r="E157" s="77" t="inlineStr">
        <is>
          <t>No</t>
        </is>
      </c>
      <c r="F157" s="77" t="inlineStr">
        <is>
          <t>U</t>
        </is>
      </c>
      <c r="G157" s="77" t="inlineStr">
        <is>
          <t>ECF Services</t>
        </is>
      </c>
      <c r="H157" s="77" t="inlineStr">
        <is>
          <t>Job Abandonment</t>
        </is>
      </c>
      <c r="I157" s="77" t="inlineStr">
        <is>
          <t>Miranda Kelley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Amber Brooks</t>
        </is>
      </c>
      <c r="B158" s="112" t="n">
        <v>45796</v>
      </c>
      <c r="C158" s="80" t="n"/>
      <c r="D158" s="80" t="inlineStr">
        <is>
          <t>1 yr 2 months</t>
        </is>
      </c>
      <c r="E158" s="80" t="inlineStr">
        <is>
          <t>No</t>
        </is>
      </c>
      <c r="F158" s="80" t="inlineStr">
        <is>
          <t>U</t>
        </is>
      </c>
      <c r="G158" s="80" t="inlineStr">
        <is>
          <t>ELC</t>
        </is>
      </c>
      <c r="H158" s="80" t="inlineStr">
        <is>
          <t>Resignation</t>
        </is>
      </c>
      <c r="I158" s="80" t="inlineStr">
        <is>
          <t>Kirsten Wilkerson</t>
        </is>
      </c>
      <c r="J158" s="80" t="n"/>
      <c r="K158" s="80" t="inlineStr">
        <is>
          <t>Teacher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Dustin Sizemore</t>
        </is>
      </c>
      <c r="B159" s="111" t="n">
        <v>45799</v>
      </c>
      <c r="C159" s="77" t="n"/>
      <c r="D159" s="77" t="inlineStr">
        <is>
          <t>9 months</t>
        </is>
      </c>
      <c r="E159" s="77" t="inlineStr">
        <is>
          <t>No</t>
        </is>
      </c>
      <c r="F159" s="77" t="inlineStr">
        <is>
          <t>D</t>
        </is>
      </c>
      <c r="G159" s="77" t="inlineStr">
        <is>
          <t>207 Wadsworth DSP</t>
        </is>
      </c>
      <c r="H159" s="77" t="inlineStr">
        <is>
          <t>Other</t>
        </is>
      </c>
      <c r="I159" s="77" t="inlineStr">
        <is>
          <t>Cory Depuy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Mayra Alvarado</t>
        </is>
      </c>
      <c r="B160" s="112" t="n">
        <v>45805</v>
      </c>
      <c r="C160" s="80" t="n"/>
      <c r="D160" s="80" t="inlineStr">
        <is>
          <t>1 1/2 month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Hamilton B</t>
        </is>
      </c>
      <c r="H160" s="80" t="inlineStr">
        <is>
          <t>Job Abandonment</t>
        </is>
      </c>
      <c r="I160" s="80" t="inlineStr">
        <is>
          <t>Michaela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Michelle LaVechia</t>
        </is>
      </c>
      <c r="B161" s="111" t="n">
        <v>45806</v>
      </c>
      <c r="C161" s="77" t="n"/>
      <c r="D161" s="77" t="inlineStr">
        <is>
          <t>1 month</t>
        </is>
      </c>
      <c r="E161" s="77" t="inlineStr">
        <is>
          <t>No</t>
        </is>
      </c>
      <c r="F161" s="77" t="inlineStr">
        <is>
          <t>D</t>
        </is>
      </c>
      <c r="G161" s="77" t="inlineStr">
        <is>
          <t>BP 702</t>
        </is>
      </c>
      <c r="H161" s="77" t="inlineStr">
        <is>
          <t>Job Abandonment</t>
        </is>
      </c>
      <c r="I161" s="77" t="inlineStr">
        <is>
          <t>Sheila Huskey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80" t="inlineStr">
        <is>
          <t>Cheryl Overholt</t>
        </is>
      </c>
      <c r="B162" s="112" t="n">
        <v>45808</v>
      </c>
      <c r="C162" s="80" t="n"/>
      <c r="D162" s="80" t="inlineStr">
        <is>
          <t>9 months</t>
        </is>
      </c>
      <c r="E162" s="80" t="inlineStr">
        <is>
          <t>Yes</t>
        </is>
      </c>
      <c r="F162" s="80" t="inlineStr">
        <is>
          <t>U</t>
        </is>
      </c>
      <c r="G162" s="80" t="inlineStr">
        <is>
          <t>200 Latimer</t>
        </is>
      </c>
      <c r="H162" s="80" t="inlineStr">
        <is>
          <t>Resignation</t>
        </is>
      </c>
      <c r="I162" s="80" t="inlineStr">
        <is>
          <t>Dustan Kelley</t>
        </is>
      </c>
      <c r="J162" s="80" t="n"/>
      <c r="K162" s="80" t="inlineStr">
        <is>
          <t>DSP</t>
        </is>
      </c>
      <c r="L162" s="80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2025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  <c r="N178" t="inlineStr">
        <is>
          <t>Synced To Hub</t>
        </is>
      </c>
      <c r="O178" t="inlineStr">
        <is>
          <t>Do Not Sync</t>
        </is>
      </c>
    </row>
    <row r="179" ht="15" customHeight="1">
      <c r="A179" s="77" t="inlineStr">
        <is>
          <t>Alishia Jones</t>
        </is>
      </c>
      <c r="B179" s="111" t="n">
        <v>45813</v>
      </c>
      <c r="C179" s="77" t="n"/>
      <c r="D179" s="77" t="inlineStr">
        <is>
          <t>2 yrs 11 months</t>
        </is>
      </c>
      <c r="E179" s="77" t="inlineStr">
        <is>
          <t>No</t>
        </is>
      </c>
      <c r="F179" s="77" t="inlineStr">
        <is>
          <t>D</t>
        </is>
      </c>
      <c r="G179" s="77" t="inlineStr">
        <is>
          <t>723 Emory Valley Rd</t>
        </is>
      </c>
      <c r="H179" s="77" t="inlineStr">
        <is>
          <t>Better Opportunity</t>
        </is>
      </c>
      <c r="I179" s="77" t="inlineStr">
        <is>
          <t>Layla Fisher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Jorghette Phanthavong</t>
        </is>
      </c>
      <c r="B180" s="112" t="n">
        <v>45821</v>
      </c>
      <c r="C180" s="80" t="n"/>
      <c r="D180" s="80" t="inlineStr">
        <is>
          <t>8 months</t>
        </is>
      </c>
      <c r="E180" s="80" t="inlineStr">
        <is>
          <t>N</t>
        </is>
      </c>
      <c r="F180" s="80" t="inlineStr">
        <is>
          <t>D</t>
        </is>
      </c>
      <c r="G180" s="80" t="inlineStr">
        <is>
          <t>Hamilton B</t>
        </is>
      </c>
      <c r="H180" s="80" t="inlineStr">
        <is>
          <t>Job Abandonment</t>
        </is>
      </c>
      <c r="I180" s="80" t="inlineStr">
        <is>
          <t>Michaela Smith</t>
        </is>
      </c>
      <c r="J180" s="80" t="n"/>
      <c r="K180" s="80" t="inlineStr">
        <is>
          <t>DSP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James Cummings</t>
        </is>
      </c>
      <c r="B181" s="111" t="n">
        <v>45825</v>
      </c>
      <c r="C181" s="77" t="n"/>
      <c r="D181" s="77" t="inlineStr">
        <is>
          <t>8 months</t>
        </is>
      </c>
      <c r="E181" s="77" t="inlineStr">
        <is>
          <t>N</t>
        </is>
      </c>
      <c r="F181" s="77" t="inlineStr">
        <is>
          <t>D</t>
        </is>
      </c>
      <c r="G181" s="77" t="inlineStr">
        <is>
          <t>141 Wainwright</t>
        </is>
      </c>
      <c r="H181" s="77" t="inlineStr">
        <is>
          <t>Job Abandonment</t>
        </is>
      </c>
      <c r="I181" s="77" t="inlineStr">
        <is>
          <t>Cory Depuy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Zy’ona Nelson</t>
        </is>
      </c>
      <c r="B182" s="112" t="n">
        <v>45830</v>
      </c>
      <c r="C182" s="80" t="n"/>
      <c r="D182" s="80" t="inlineStr">
        <is>
          <t>8 months</t>
        </is>
      </c>
      <c r="E182" s="80" t="inlineStr">
        <is>
          <t>Yes</t>
        </is>
      </c>
      <c r="F182" s="80" t="inlineStr">
        <is>
          <t>U</t>
        </is>
      </c>
      <c r="G182" s="80" t="inlineStr">
        <is>
          <t>361 West Outer</t>
        </is>
      </c>
      <c r="H182" s="80" t="inlineStr">
        <is>
          <t>Relocation</t>
        </is>
      </c>
      <c r="I182" s="80" t="inlineStr">
        <is>
          <t>Cory Depuy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Viola Wharton</t>
        </is>
      </c>
      <c r="B183" s="111" t="n">
        <v>45835</v>
      </c>
      <c r="C183" s="77" t="n"/>
      <c r="D183" s="77" t="inlineStr">
        <is>
          <t>1 yr</t>
        </is>
      </c>
      <c r="E183" s="77" t="inlineStr">
        <is>
          <t>N</t>
        </is>
      </c>
      <c r="F183" s="77" t="inlineStr">
        <is>
          <t>D</t>
        </is>
      </c>
      <c r="G183" s="77" t="inlineStr">
        <is>
          <t>Human Resources</t>
        </is>
      </c>
      <c r="H183" s="77" t="inlineStr">
        <is>
          <t>Resignation</t>
        </is>
      </c>
      <c r="I183" s="77" t="inlineStr">
        <is>
          <t>Kim Jeffers-Whitaker</t>
        </is>
      </c>
      <c r="J183" s="77" t="n"/>
      <c r="K183" s="77" t="inlineStr">
        <is>
          <t>HR</t>
        </is>
      </c>
      <c r="L183" s="77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2025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  <c r="N212" t="inlineStr">
        <is>
          <t>Synced To Hub</t>
        </is>
      </c>
      <c r="O212" t="inlineStr">
        <is>
          <t>Do Not Sync</t>
        </is>
      </c>
    </row>
    <row r="213" ht="15" customHeight="1">
      <c r="A213" s="77" t="inlineStr">
        <is>
          <t>Heather Bradburn</t>
        </is>
      </c>
      <c r="B213" s="111" t="n">
        <v>45841</v>
      </c>
      <c r="C213" s="111" t="n">
        <v>42552</v>
      </c>
      <c r="D213" s="77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77" t="inlineStr">
        <is>
          <t>No</t>
        </is>
      </c>
      <c r="F213" s="77" t="inlineStr">
        <is>
          <t>U</t>
        </is>
      </c>
      <c r="G213" s="77" t="inlineStr">
        <is>
          <t>EI-Pilot Program</t>
        </is>
      </c>
      <c r="H213" s="77" t="inlineStr">
        <is>
          <t>Resignation</t>
        </is>
      </c>
      <c r="I213" s="77" t="inlineStr">
        <is>
          <t>Anna Moore</t>
        </is>
      </c>
      <c r="J213" s="111" t="n">
        <v>45840</v>
      </c>
      <c r="K213" s="77" t="inlineStr">
        <is>
          <t>EI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Jessica Oliver</t>
        </is>
      </c>
      <c r="B214" s="112" t="n">
        <v>45846</v>
      </c>
      <c r="C214" s="112" t="n">
        <v>45778</v>
      </c>
      <c r="D214" s="80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80" t="inlineStr">
        <is>
          <t>No</t>
        </is>
      </c>
      <c r="F214" s="80" t="inlineStr">
        <is>
          <t>D</t>
        </is>
      </c>
      <c r="G214" s="80" t="inlineStr">
        <is>
          <t>131 Wadsworth</t>
        </is>
      </c>
      <c r="H214" s="80" t="inlineStr">
        <is>
          <t>Resignation</t>
        </is>
      </c>
      <c r="I214" s="80" t="inlineStr">
        <is>
          <t>Michelle Shafer</t>
        </is>
      </c>
      <c r="J214" s="80" t="inlineStr">
        <is>
          <t>No Response</t>
        </is>
      </c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Jennifer Cummings</t>
        </is>
      </c>
      <c r="B215" s="111" t="n">
        <v>45846</v>
      </c>
      <c r="C215" s="111" t="n">
        <v>45082</v>
      </c>
      <c r="D215" s="77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77" t="inlineStr">
        <is>
          <t>Yes</t>
        </is>
      </c>
      <c r="F215" s="77" t="inlineStr">
        <is>
          <t>U</t>
        </is>
      </c>
      <c r="G215" s="77" t="inlineStr">
        <is>
          <t>EI</t>
        </is>
      </c>
      <c r="H215" s="77" t="inlineStr">
        <is>
          <t>Resignation</t>
        </is>
      </c>
      <c r="I215" s="77" t="inlineStr">
        <is>
          <t>Anna Moore</t>
        </is>
      </c>
      <c r="J215" s="77" t="inlineStr">
        <is>
          <t>No Response</t>
        </is>
      </c>
      <c r="K215" s="77" t="inlineStr">
        <is>
          <t>EI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Natalie Harper</t>
        </is>
      </c>
      <c r="B216" s="112" t="n">
        <v>45846</v>
      </c>
      <c r="C216" s="112" t="n">
        <v>44655</v>
      </c>
      <c r="D216" s="80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80" t="inlineStr">
        <is>
          <t>No</t>
        </is>
      </c>
      <c r="F216" s="80" t="inlineStr">
        <is>
          <t>D</t>
        </is>
      </c>
      <c r="G216" s="80" t="inlineStr">
        <is>
          <t>SEPARATIONS BY JOB</t>
        </is>
      </c>
      <c r="H216" s="80" t="inlineStr">
        <is>
          <t>Resignation</t>
        </is>
      </c>
      <c r="I216" s="80" t="inlineStr">
        <is>
          <t>Bryan Taylor</t>
        </is>
      </c>
      <c r="J216" s="80" t="inlineStr">
        <is>
          <t>N/A</t>
        </is>
      </c>
      <c r="K216" s="80" t="inlineStr">
        <is>
          <t>Finance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Monica Turner</t>
        </is>
      </c>
      <c r="B217" s="111" t="n">
        <v>45847</v>
      </c>
      <c r="C217" s="111" t="n">
        <v>45516</v>
      </c>
      <c r="D217" s="77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77" t="inlineStr">
        <is>
          <t>Yes</t>
        </is>
      </c>
      <c r="F217" s="77" t="inlineStr">
        <is>
          <t>D</t>
        </is>
      </c>
      <c r="G217" s="77" t="inlineStr">
        <is>
          <t>Professional Services</t>
        </is>
      </c>
      <c r="H217" s="77" t="inlineStr">
        <is>
          <t>Resignation</t>
        </is>
      </c>
      <c r="I217" s="77" t="inlineStr">
        <is>
          <t>Michelle West</t>
        </is>
      </c>
      <c r="J217" s="77" t="inlineStr">
        <is>
          <t>N/A</t>
        </is>
      </c>
      <c r="K217" s="77" t="inlineStr">
        <is>
          <t>CM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Kiersten Wilkerson</t>
        </is>
      </c>
      <c r="B218" s="112" t="n">
        <v>45850</v>
      </c>
      <c r="C218" s="112" t="n">
        <v>45536</v>
      </c>
      <c r="D218" s="80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80" t="inlineStr">
        <is>
          <t>No</t>
        </is>
      </c>
      <c r="F218" s="80" t="inlineStr">
        <is>
          <t>D</t>
        </is>
      </c>
      <c r="G218" s="80" t="inlineStr">
        <is>
          <t>ELC</t>
        </is>
      </c>
      <c r="H218" s="80" t="inlineStr">
        <is>
          <t>Resignation</t>
        </is>
      </c>
      <c r="I218" s="80" t="inlineStr">
        <is>
          <t>Anna Moore</t>
        </is>
      </c>
      <c r="J218" s="80" t="inlineStr">
        <is>
          <t>N/A</t>
        </is>
      </c>
      <c r="K218" s="80" t="inlineStr">
        <is>
          <t>Director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Abbigail Renner</t>
        </is>
      </c>
      <c r="B219" s="111" t="n">
        <v>45850</v>
      </c>
      <c r="C219" s="111" t="n">
        <v>45593</v>
      </c>
      <c r="D219" s="77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77" t="inlineStr">
        <is>
          <t>Yes</t>
        </is>
      </c>
      <c r="F219" s="77" t="inlineStr">
        <is>
          <t>U</t>
        </is>
      </c>
      <c r="G219" s="77" t="inlineStr">
        <is>
          <t>LLL</t>
        </is>
      </c>
      <c r="H219" s="77" t="inlineStr">
        <is>
          <t>Resignation</t>
        </is>
      </c>
      <c r="I219" s="77" t="inlineStr">
        <is>
          <t>Brittany Webb</t>
        </is>
      </c>
      <c r="J219" s="111" t="n">
        <v>45860</v>
      </c>
      <c r="K219" s="77" t="inlineStr">
        <is>
          <t>Sub/Floater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Julia Nelson</t>
        </is>
      </c>
      <c r="B220" s="112" t="n">
        <v>45850</v>
      </c>
      <c r="C220" s="112" t="n">
        <v>45824</v>
      </c>
      <c r="D220" s="80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80" t="inlineStr">
        <is>
          <t>No</t>
        </is>
      </c>
      <c r="F220" s="80" t="inlineStr">
        <is>
          <t>D</t>
        </is>
      </c>
      <c r="G220" s="80" t="inlineStr">
        <is>
          <t>Residential/Lower Valley</t>
        </is>
      </c>
      <c r="H220" s="80" t="inlineStr">
        <is>
          <t>Resignation</t>
        </is>
      </c>
      <c r="I220" s="80" t="inlineStr">
        <is>
          <t>Andria Cassell</t>
        </is>
      </c>
      <c r="J220" s="80" t="inlineStr">
        <is>
          <t>No Response</t>
        </is>
      </c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Andrea Jones</t>
        </is>
      </c>
      <c r="B221" s="111" t="n">
        <v>45856</v>
      </c>
      <c r="C221" s="111" t="n">
        <v>45709</v>
      </c>
      <c r="D221" s="77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77" t="inlineStr">
        <is>
          <t>No</t>
        </is>
      </c>
      <c r="F221" s="77" t="inlineStr">
        <is>
          <t>D</t>
        </is>
      </c>
      <c r="G221" s="77" t="inlineStr">
        <is>
          <t>200 Latimer</t>
        </is>
      </c>
      <c r="H221" s="77" t="inlineStr">
        <is>
          <t>Resignation</t>
        </is>
      </c>
      <c r="I221" s="77" t="inlineStr">
        <is>
          <t>Layla Fisher</t>
        </is>
      </c>
      <c r="J221" s="111" t="n">
        <v>45863</v>
      </c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Megan Loy</t>
        </is>
      </c>
      <c r="B222" s="112" t="n">
        <v>45860</v>
      </c>
      <c r="C222" s="112" t="n">
        <v>45726</v>
      </c>
      <c r="D222" s="80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80" t="inlineStr">
        <is>
          <t>No</t>
        </is>
      </c>
      <c r="F222" s="80" t="inlineStr">
        <is>
          <t>D</t>
        </is>
      </c>
      <c r="G222" s="80" t="inlineStr">
        <is>
          <t>2290 Turnpike</t>
        </is>
      </c>
      <c r="H222" s="80" t="inlineStr">
        <is>
          <t>Resignation</t>
        </is>
      </c>
      <c r="I222" s="80" t="inlineStr">
        <is>
          <t>Savanna Harrison</t>
        </is>
      </c>
      <c r="J222" s="80" t="inlineStr">
        <is>
          <t>N/A</t>
        </is>
      </c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Holly Jones</t>
        </is>
      </c>
      <c r="B223" s="111" t="n">
        <v>45860</v>
      </c>
      <c r="C223" s="111" t="n">
        <v>45689</v>
      </c>
      <c r="D223" s="77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E223" s="77" t="inlineStr">
        <is>
          <t>Yes</t>
        </is>
      </c>
      <c r="F223" s="77" t="inlineStr">
        <is>
          <t>U</t>
        </is>
      </c>
      <c r="G223" s="77" t="inlineStr">
        <is>
          <t>Residential/Robert Bunch</t>
        </is>
      </c>
      <c r="H223" s="77" t="inlineStr">
        <is>
          <t>Resignation</t>
        </is>
      </c>
      <c r="I223" s="77" t="inlineStr">
        <is>
          <t>Jennie England</t>
        </is>
      </c>
      <c r="J223" s="111" t="n">
        <v>45862</v>
      </c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John Rose</t>
        </is>
      </c>
      <c r="B224" s="112" t="n">
        <v>45861</v>
      </c>
      <c r="C224" s="112" t="n">
        <v>45704</v>
      </c>
      <c r="D224" s="80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80" t="inlineStr">
        <is>
          <t>No</t>
        </is>
      </c>
      <c r="F224" s="80" t="inlineStr">
        <is>
          <t>D</t>
        </is>
      </c>
      <c r="G224" s="80" t="inlineStr">
        <is>
          <t>Four Mile</t>
        </is>
      </c>
      <c r="H224" s="80" t="inlineStr">
        <is>
          <t>Resignation</t>
        </is>
      </c>
      <c r="I224" s="80" t="inlineStr">
        <is>
          <t>Annie Carbajal</t>
        </is>
      </c>
      <c r="J224" s="80" t="inlineStr">
        <is>
          <t>No Response</t>
        </is>
      </c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Danine Graham</t>
        </is>
      </c>
      <c r="B225" s="111" t="n">
        <v>45862</v>
      </c>
      <c r="C225" s="111" t="n">
        <v>45778</v>
      </c>
      <c r="D225" s="77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77" t="inlineStr">
        <is>
          <t>No</t>
        </is>
      </c>
      <c r="F225" s="77" t="inlineStr">
        <is>
          <t>D</t>
        </is>
      </c>
      <c r="G225" s="77" t="inlineStr">
        <is>
          <t>1111 McAdoo</t>
        </is>
      </c>
      <c r="H225" s="77" t="inlineStr">
        <is>
          <t>Resignation</t>
        </is>
      </c>
      <c r="I225" s="77" t="inlineStr">
        <is>
          <t>Rebecca Smith</t>
        </is>
      </c>
      <c r="J225" s="77" t="inlineStr">
        <is>
          <t>No Response</t>
        </is>
      </c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80" t="inlineStr">
        <is>
          <t>Erica Fox</t>
        </is>
      </c>
      <c r="B226" s="112" t="n">
        <v>45862</v>
      </c>
      <c r="C226" s="112" t="n">
        <v>45852</v>
      </c>
      <c r="D226" s="80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80" t="inlineStr">
        <is>
          <t>No</t>
        </is>
      </c>
      <c r="F226" s="80" t="inlineStr">
        <is>
          <t>D</t>
        </is>
      </c>
      <c r="G226" s="80" t="inlineStr">
        <is>
          <t>Superimposed/Residential</t>
        </is>
      </c>
      <c r="H226" s="80" t="inlineStr">
        <is>
          <t>Resignation</t>
        </is>
      </c>
      <c r="I226" s="80" t="inlineStr">
        <is>
          <t>Catie Robinson</t>
        </is>
      </c>
      <c r="J226" s="80" t="inlineStr">
        <is>
          <t>No Response</t>
        </is>
      </c>
      <c r="K226" s="80" t="inlineStr">
        <is>
          <t>DSP</t>
        </is>
      </c>
      <c r="L226" s="80" t="n"/>
      <c r="M226" s="105">
        <f>IFERROR(VLOOKUP(G226,Reference!$I$2:$J$175,2,FALSE()),"Operations")</f>
        <v/>
      </c>
    </row>
    <row r="227" ht="15" customHeight="1">
      <c r="A227" s="77" t="inlineStr">
        <is>
          <t>Cara Herrell</t>
        </is>
      </c>
      <c r="B227" s="111" t="n">
        <v>45863</v>
      </c>
      <c r="C227" s="111" t="n">
        <v>43857</v>
      </c>
      <c r="D227" s="77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77" t="inlineStr">
        <is>
          <t>Yes</t>
        </is>
      </c>
      <c r="F227" s="77" t="inlineStr">
        <is>
          <t>U</t>
        </is>
      </c>
      <c r="G227" s="77" t="inlineStr">
        <is>
          <t>EI</t>
        </is>
      </c>
      <c r="H227" s="77" t="inlineStr">
        <is>
          <t>Resignation</t>
        </is>
      </c>
      <c r="I227" s="77" t="inlineStr">
        <is>
          <t>Anna Moore</t>
        </is>
      </c>
      <c r="J227" s="111" t="n">
        <v>45863</v>
      </c>
      <c r="K227" s="77" t="inlineStr">
        <is>
          <t>EI</t>
        </is>
      </c>
      <c r="L227" s="77" t="n"/>
      <c r="M227" s="102">
        <f>IFERROR(VLOOKUP(G227,Reference!$I$2:$J$175,2,FALSE()),"Operations")</f>
        <v/>
      </c>
    </row>
    <row r="228" ht="15" customHeight="1">
      <c r="A228" s="80" t="inlineStr">
        <is>
          <t>Michele West</t>
        </is>
      </c>
      <c r="B228" s="112" t="n">
        <v>45869</v>
      </c>
      <c r="C228" s="112" t="n">
        <v>44652</v>
      </c>
      <c r="D228" s="80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80" t="inlineStr">
        <is>
          <t>Yes</t>
        </is>
      </c>
      <c r="F228" s="80" t="inlineStr">
        <is>
          <t>D</t>
        </is>
      </c>
      <c r="G228" s="80" t="inlineStr">
        <is>
          <t>Professional Services</t>
        </is>
      </c>
      <c r="H228" s="80" t="inlineStr">
        <is>
          <t>Resignation</t>
        </is>
      </c>
      <c r="I228" s="80" t="inlineStr">
        <is>
          <t>Kristen Otto</t>
        </is>
      </c>
      <c r="J228" s="112" t="n">
        <v>45868</v>
      </c>
      <c r="K228" s="80" t="inlineStr">
        <is>
          <t>Director</t>
        </is>
      </c>
      <c r="L228" s="80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2025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  <c r="N246" t="inlineStr">
        <is>
          <t>Synced To Hub</t>
        </is>
      </c>
      <c r="O246" t="inlineStr">
        <is>
          <t>Do Not Sync</t>
        </is>
      </c>
    </row>
    <row r="247" ht="15" customHeight="1">
      <c r="A247" s="77" t="inlineStr">
        <is>
          <t>Sharon Hill</t>
        </is>
      </c>
      <c r="B247" s="111" t="n">
        <v>45877</v>
      </c>
      <c r="C247" s="111" t="n">
        <v>44652</v>
      </c>
      <c r="D247" s="77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77" t="inlineStr">
        <is>
          <t>No</t>
        </is>
      </c>
      <c r="F247" s="77" t="inlineStr">
        <is>
          <t>D</t>
        </is>
      </c>
      <c r="G247" s="77" t="inlineStr">
        <is>
          <t>Professional Services</t>
        </is>
      </c>
      <c r="H247" s="77" t="inlineStr">
        <is>
          <t>Resignation</t>
        </is>
      </c>
      <c r="I247" s="77" t="inlineStr">
        <is>
          <t>Amanda Tackett</t>
        </is>
      </c>
      <c r="J247" s="77" t="inlineStr">
        <is>
          <t>Job Abandonment</t>
        </is>
      </c>
      <c r="K247" s="77" t="inlineStr">
        <is>
          <t>CM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Darcy Johnson</t>
        </is>
      </c>
      <c r="B248" s="112" t="n">
        <v>45870</v>
      </c>
      <c r="C248" s="112" t="n">
        <v>45852</v>
      </c>
      <c r="D248" s="80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80" t="inlineStr">
        <is>
          <t>No</t>
        </is>
      </c>
      <c r="F248" s="80" t="inlineStr">
        <is>
          <t>D</t>
        </is>
      </c>
      <c r="G248" s="80" t="inlineStr">
        <is>
          <t>Hamilton B</t>
        </is>
      </c>
      <c r="H248" s="80" t="inlineStr">
        <is>
          <t>Resignation</t>
        </is>
      </c>
      <c r="I248" s="80" t="inlineStr">
        <is>
          <t>Micheala Smith</t>
        </is>
      </c>
      <c r="J248" s="80" t="inlineStr">
        <is>
          <t>NA</t>
        </is>
      </c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John Zerga</t>
        </is>
      </c>
      <c r="B249" s="111" t="n">
        <v>45873</v>
      </c>
      <c r="C249" s="111" t="n">
        <v>45870</v>
      </c>
      <c r="D249" s="77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77" t="inlineStr">
        <is>
          <t>No</t>
        </is>
      </c>
      <c r="F249" s="77" t="inlineStr">
        <is>
          <t>D</t>
        </is>
      </c>
      <c r="G249" s="77" t="inlineStr">
        <is>
          <t>Residential</t>
        </is>
      </c>
      <c r="H249" s="77" t="inlineStr">
        <is>
          <t>Resignation</t>
        </is>
      </c>
      <c r="I249" s="77" t="inlineStr">
        <is>
          <t>Rebecca Smith</t>
        </is>
      </c>
      <c r="J249" s="77" t="inlineStr">
        <is>
          <t>NA</t>
        </is>
      </c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Jessie Miles</t>
        </is>
      </c>
      <c r="B250" s="112" t="n">
        <v>45870</v>
      </c>
      <c r="C250" s="112" t="n">
        <v>45860</v>
      </c>
      <c r="D250" s="80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80" t="inlineStr">
        <is>
          <t>No</t>
        </is>
      </c>
      <c r="F250" s="80" t="inlineStr">
        <is>
          <t>D</t>
        </is>
      </c>
      <c r="G250" s="80" t="inlineStr">
        <is>
          <t>Residential</t>
        </is>
      </c>
      <c r="H250" s="80" t="inlineStr">
        <is>
          <t>Resignation</t>
        </is>
      </c>
      <c r="I250" s="80" t="inlineStr">
        <is>
          <t>Rebecca Smith</t>
        </is>
      </c>
      <c r="J250" s="80" t="inlineStr">
        <is>
          <t>NA</t>
        </is>
      </c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Savanna Daniels Harrison</t>
        </is>
      </c>
      <c r="B251" s="111" t="n">
        <v>45877</v>
      </c>
      <c r="C251" s="111" t="n">
        <v>45778</v>
      </c>
      <c r="D251" s="77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77" t="inlineStr">
        <is>
          <t>No</t>
        </is>
      </c>
      <c r="F251" s="77" t="inlineStr">
        <is>
          <t>U</t>
        </is>
      </c>
      <c r="G251" s="77" t="inlineStr">
        <is>
          <t>Turnpike/</t>
        </is>
      </c>
      <c r="H251" s="77" t="inlineStr">
        <is>
          <t>Resignation</t>
        </is>
      </c>
      <c r="I251" s="77" t="inlineStr">
        <is>
          <t>Cory Depuy</t>
        </is>
      </c>
      <c r="J251" s="111" t="n">
        <v>45881</v>
      </c>
      <c r="K251" s="77" t="inlineStr">
        <is>
          <t>HM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Breanna Hutcheson</t>
        </is>
      </c>
      <c r="B252" s="112" t="n">
        <v>45875</v>
      </c>
      <c r="C252" s="112" t="n">
        <v>45817</v>
      </c>
      <c r="D252" s="80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80" t="inlineStr">
        <is>
          <t>No</t>
        </is>
      </c>
      <c r="F252" s="80" t="inlineStr">
        <is>
          <t>U</t>
        </is>
      </c>
      <c r="G252" s="80" t="inlineStr">
        <is>
          <t>2292 Turnpike</t>
        </is>
      </c>
      <c r="H252" s="80" t="inlineStr">
        <is>
          <t>Resignation</t>
        </is>
      </c>
      <c r="I252" s="80" t="inlineStr">
        <is>
          <t>Savanna Harrison</t>
        </is>
      </c>
      <c r="J252" s="80" t="inlineStr">
        <is>
          <t>No Response</t>
        </is>
      </c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Molly Decker</t>
        </is>
      </c>
      <c r="B253" s="111" t="n">
        <v>45884</v>
      </c>
      <c r="C253" s="111" t="n">
        <v>45874</v>
      </c>
      <c r="D253" s="77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77" t="inlineStr">
        <is>
          <t>No</t>
        </is>
      </c>
      <c r="F253" s="77" t="inlineStr">
        <is>
          <t>U</t>
        </is>
      </c>
      <c r="G253" s="77" t="inlineStr">
        <is>
          <t>2290 Turnpike</t>
        </is>
      </c>
      <c r="H253" s="77" t="inlineStr">
        <is>
          <t>Better Opportunity</t>
        </is>
      </c>
      <c r="I253" s="77" t="inlineStr">
        <is>
          <t>Cory Depuy</t>
        </is>
      </c>
      <c r="J253" s="77" t="inlineStr">
        <is>
          <t>No Response</t>
        </is>
      </c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Brandi Neikirk</t>
        </is>
      </c>
      <c r="B254" s="112" t="n">
        <v>45885</v>
      </c>
      <c r="C254" s="112" t="n">
        <v>45566</v>
      </c>
      <c r="D254" s="80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80" t="inlineStr">
        <is>
          <t>Yes</t>
        </is>
      </c>
      <c r="F254" s="80" t="inlineStr">
        <is>
          <t>D</t>
        </is>
      </c>
      <c r="G254" s="80" t="inlineStr">
        <is>
          <t>Family Support</t>
        </is>
      </c>
      <c r="H254" s="80" t="inlineStr">
        <is>
          <t>End of Contract</t>
        </is>
      </c>
      <c r="I254" s="80" t="inlineStr">
        <is>
          <t>Regina Wilson</t>
        </is>
      </c>
      <c r="J254" s="112" t="n">
        <v>45895</v>
      </c>
      <c r="K254" s="80" t="inlineStr">
        <is>
          <t>Family Support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Shelby Bowlin</t>
        </is>
      </c>
      <c r="B255" s="111" t="n">
        <v>45886</v>
      </c>
      <c r="C255" s="111" t="n">
        <v>45876</v>
      </c>
      <c r="D255" s="77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77" t="inlineStr">
        <is>
          <t>Yes</t>
        </is>
      </c>
      <c r="F255" s="77" t="inlineStr">
        <is>
          <t>U</t>
        </is>
      </c>
      <c r="G255" s="77" t="inlineStr">
        <is>
          <t>1111 McAdoo</t>
        </is>
      </c>
      <c r="H255" s="77" t="inlineStr">
        <is>
          <t>Relocation</t>
        </is>
      </c>
      <c r="I255" s="77" t="inlineStr">
        <is>
          <t>Rebecca Smith</t>
        </is>
      </c>
      <c r="J255" s="77" t="inlineStr">
        <is>
          <t>No Response</t>
        </is>
      </c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Meagan Peacock</t>
        </is>
      </c>
      <c r="B256" s="112" t="n">
        <v>45887</v>
      </c>
      <c r="C256" s="112" t="n">
        <v>45083</v>
      </c>
      <c r="D256" s="80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80" t="inlineStr">
        <is>
          <t>Yes</t>
        </is>
      </c>
      <c r="F256" s="80" t="inlineStr">
        <is>
          <t>D</t>
        </is>
      </c>
      <c r="G256" s="80" t="inlineStr">
        <is>
          <t>ELC</t>
        </is>
      </c>
      <c r="H256" s="80" t="inlineStr">
        <is>
          <t>Personal Reasons</t>
        </is>
      </c>
      <c r="I256" s="80" t="inlineStr">
        <is>
          <t>Brittany Webb</t>
        </is>
      </c>
      <c r="J256" s="80" t="inlineStr">
        <is>
          <t>Job Abandonment</t>
        </is>
      </c>
      <c r="K256" s="80" t="inlineStr">
        <is>
          <t>Sub/Floater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Brittany Biggerstaff</t>
        </is>
      </c>
      <c r="B257" s="111" t="n">
        <v>45894</v>
      </c>
      <c r="C257" s="111" t="n">
        <v>45856</v>
      </c>
      <c r="D257" s="7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E257" s="77" t="inlineStr">
        <is>
          <t>No</t>
        </is>
      </c>
      <c r="F257" s="77" t="inlineStr">
        <is>
          <t>U</t>
        </is>
      </c>
      <c r="G257" s="77" t="inlineStr">
        <is>
          <t>Residential</t>
        </is>
      </c>
      <c r="H257" s="77" t="inlineStr">
        <is>
          <t>Resignation</t>
        </is>
      </c>
      <c r="I257" s="77" t="inlineStr">
        <is>
          <t>Cathleen Robinson</t>
        </is>
      </c>
      <c r="J257" s="77" t="inlineStr">
        <is>
          <t>No Response</t>
        </is>
      </c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Hannah Turner</t>
        </is>
      </c>
      <c r="B258" s="112" t="n">
        <v>45880</v>
      </c>
      <c r="C258" s="112" t="n">
        <v>45860</v>
      </c>
      <c r="D258" s="80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80" t="inlineStr">
        <is>
          <t>No</t>
        </is>
      </c>
      <c r="F258" s="80" t="inlineStr">
        <is>
          <t>D</t>
        </is>
      </c>
      <c r="G258" s="80" t="inlineStr">
        <is>
          <t>ELC</t>
        </is>
      </c>
      <c r="H258" s="80" t="inlineStr">
        <is>
          <t>Resignation</t>
        </is>
      </c>
      <c r="I258" s="80" t="inlineStr">
        <is>
          <t>Heather Cox</t>
        </is>
      </c>
      <c r="J258" s="80" t="inlineStr">
        <is>
          <t>NA</t>
        </is>
      </c>
      <c r="K258" s="80" t="inlineStr">
        <is>
          <t>Assistant Teacher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Jennifer Jackson</t>
        </is>
      </c>
      <c r="B259" s="111" t="n">
        <v>45898</v>
      </c>
      <c r="C259" s="111" t="n">
        <v>45152</v>
      </c>
      <c r="D259" s="77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77" t="inlineStr">
        <is>
          <t>No</t>
        </is>
      </c>
      <c r="F259" s="77" t="inlineStr">
        <is>
          <t>U</t>
        </is>
      </c>
      <c r="G259" s="77" t="inlineStr">
        <is>
          <t>Professional Services</t>
        </is>
      </c>
      <c r="H259" s="77" t="inlineStr">
        <is>
          <t>Resignation</t>
        </is>
      </c>
      <c r="I259" s="77" t="inlineStr">
        <is>
          <t>Amanda Tackett</t>
        </is>
      </c>
      <c r="J259" s="111" t="n">
        <v>45897</v>
      </c>
      <c r="K259" s="77" t="inlineStr">
        <is>
          <t>CM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Beverly Smith</t>
        </is>
      </c>
      <c r="B260" s="112" t="n">
        <v>45898</v>
      </c>
      <c r="C260" s="112" t="n">
        <v>45123</v>
      </c>
      <c r="D260" s="80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80" t="inlineStr">
        <is>
          <t>No</t>
        </is>
      </c>
      <c r="F260" s="80" t="inlineStr">
        <is>
          <t>U</t>
        </is>
      </c>
      <c r="G260" s="80" t="inlineStr">
        <is>
          <t>Professional Services</t>
        </is>
      </c>
      <c r="H260" s="80" t="inlineStr">
        <is>
          <t>Resignation</t>
        </is>
      </c>
      <c r="I260" s="80" t="inlineStr">
        <is>
          <t>Amanda Tackett</t>
        </is>
      </c>
      <c r="J260" s="112" t="n">
        <v>45898</v>
      </c>
      <c r="K260" s="80" t="inlineStr">
        <is>
          <t>CM</t>
        </is>
      </c>
      <c r="L260" s="80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2025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  <c r="N280" t="inlineStr">
        <is>
          <t>Synced To Hub</t>
        </is>
      </c>
      <c r="O280" t="inlineStr">
        <is>
          <t>Do Not Sync</t>
        </is>
      </c>
    </row>
    <row r="281" ht="15" customHeight="1">
      <c r="A281" s="77" t="inlineStr">
        <is>
          <t>Jasmine Holsopple</t>
        </is>
      </c>
      <c r="B281" s="111" t="n">
        <v>45903</v>
      </c>
      <c r="C281" s="111" t="n">
        <v>44977</v>
      </c>
      <c r="D281" s="77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77" t="inlineStr">
        <is>
          <t>Yes</t>
        </is>
      </c>
      <c r="F281" s="77" t="inlineStr">
        <is>
          <t>U</t>
        </is>
      </c>
      <c r="G281" s="77" t="inlineStr">
        <is>
          <t>Professional Services</t>
        </is>
      </c>
      <c r="H281" s="77" t="inlineStr">
        <is>
          <t>Resignation</t>
        </is>
      </c>
      <c r="I281" s="77" t="inlineStr">
        <is>
          <t>Amanda Tackett</t>
        </is>
      </c>
      <c r="J281" s="111" t="n">
        <v>45902</v>
      </c>
      <c r="K281" s="77" t="inlineStr">
        <is>
          <t>CM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Alex Gadd</t>
        </is>
      </c>
      <c r="B282" s="112" t="n">
        <v>45905</v>
      </c>
      <c r="C282" s="112" t="n">
        <v>45792</v>
      </c>
      <c r="D282" s="80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80" t="inlineStr">
        <is>
          <t>No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Resignation</t>
        </is>
      </c>
      <c r="I282" s="80" t="inlineStr">
        <is>
          <t>Brittany Cox</t>
        </is>
      </c>
      <c r="J282" s="80" t="inlineStr">
        <is>
          <t>NA</t>
        </is>
      </c>
      <c r="K282" s="80" t="inlineStr">
        <is>
          <t>Assistant Teacher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Kayla Lane</t>
        </is>
      </c>
      <c r="B283" s="111" t="n">
        <v>45920</v>
      </c>
      <c r="C283" s="111" t="n">
        <v>45679</v>
      </c>
      <c r="D283" s="77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77" t="inlineStr">
        <is>
          <t>Yes</t>
        </is>
      </c>
      <c r="F283" s="77" t="inlineStr">
        <is>
          <t>U</t>
        </is>
      </c>
      <c r="G283" s="77" t="inlineStr">
        <is>
          <t>200 Latimer</t>
        </is>
      </c>
      <c r="H283" s="77" t="inlineStr">
        <is>
          <t>Resignation</t>
        </is>
      </c>
      <c r="I283" s="77" t="inlineStr">
        <is>
          <t>Dustan Kelley</t>
        </is>
      </c>
      <c r="J283" s="77" t="inlineStr">
        <is>
          <t>Nonresponsive</t>
        </is>
      </c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Alana Jones</t>
        </is>
      </c>
      <c r="B284" s="112" t="n">
        <v>45912</v>
      </c>
      <c r="C284" s="112" t="n">
        <v>45400</v>
      </c>
      <c r="D284" s="80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80" t="inlineStr">
        <is>
          <t>No</t>
        </is>
      </c>
      <c r="F284" s="80" t="inlineStr">
        <is>
          <t>U</t>
        </is>
      </c>
      <c r="G284" s="80" t="inlineStr">
        <is>
          <t>194 Latimer</t>
        </is>
      </c>
      <c r="H284" s="80" t="inlineStr">
        <is>
          <t>Resignation</t>
        </is>
      </c>
      <c r="I284" s="80" t="inlineStr">
        <is>
          <t>Dustan Kelley</t>
        </is>
      </c>
      <c r="J284" s="112" t="n">
        <v>45917</v>
      </c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Marianne King</t>
        </is>
      </c>
      <c r="B285" s="111" t="n">
        <v>45917</v>
      </c>
      <c r="C285" s="111" t="n">
        <v>45866</v>
      </c>
      <c r="D285" s="77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77" t="inlineStr">
        <is>
          <t>No</t>
        </is>
      </c>
      <c r="F285" s="77" t="inlineStr">
        <is>
          <t>D</t>
        </is>
      </c>
      <c r="G285" s="77" t="inlineStr">
        <is>
          <t>Northwestern</t>
        </is>
      </c>
      <c r="H285" s="77" t="inlineStr">
        <is>
          <t>Job Abandonment</t>
        </is>
      </c>
      <c r="I285" s="77" t="inlineStr">
        <is>
          <t>Michelle Shafer</t>
        </is>
      </c>
      <c r="J285" s="77" t="inlineStr">
        <is>
          <t>NA</t>
        </is>
      </c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John Murray</t>
        </is>
      </c>
      <c r="B286" s="112" t="n">
        <v>45919</v>
      </c>
      <c r="C286" s="112" t="n">
        <v>45835</v>
      </c>
      <c r="D286" s="80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80" t="inlineStr">
        <is>
          <t>No</t>
        </is>
      </c>
      <c r="F286" s="80" t="inlineStr">
        <is>
          <t>U</t>
        </is>
      </c>
      <c r="G286" s="80" t="inlineStr">
        <is>
          <t>Northwestern</t>
        </is>
      </c>
      <c r="H286" s="80" t="inlineStr">
        <is>
          <t>Resignation</t>
        </is>
      </c>
      <c r="I286" s="80" t="inlineStr">
        <is>
          <t>Patreese Poore</t>
        </is>
      </c>
      <c r="J286" s="112" t="n">
        <v>45929</v>
      </c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Flanary</t>
        </is>
      </c>
      <c r="B287" s="111" t="n">
        <v>45925</v>
      </c>
      <c r="C287" s="111" t="n">
        <v>45908</v>
      </c>
      <c r="D287" s="77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77" t="inlineStr">
        <is>
          <t>Yes</t>
        </is>
      </c>
      <c r="F287" s="77" t="inlineStr">
        <is>
          <t>U</t>
        </is>
      </c>
      <c r="G287" s="77" t="inlineStr">
        <is>
          <t>LLL</t>
        </is>
      </c>
      <c r="H287" s="77" t="inlineStr">
        <is>
          <t>Resignation</t>
        </is>
      </c>
      <c r="I287" s="77" t="inlineStr">
        <is>
          <t>Brittany Webb</t>
        </is>
      </c>
      <c r="J287" s="77" t="inlineStr">
        <is>
          <t>NA</t>
        </is>
      </c>
      <c r="K287" s="77" t="inlineStr">
        <is>
          <t>Sub/Floater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Megan Harold</t>
        </is>
      </c>
      <c r="B288" s="112" t="n">
        <v>45924</v>
      </c>
      <c r="C288" s="112" t="n">
        <v>45908</v>
      </c>
      <c r="D288" s="80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80" t="inlineStr">
        <is>
          <t>No</t>
        </is>
      </c>
      <c r="F288" s="80" t="inlineStr">
        <is>
          <t>D</t>
        </is>
      </c>
      <c r="G288" s="80" t="inlineStr">
        <is>
          <t>ELC</t>
        </is>
      </c>
      <c r="H288" s="80" t="inlineStr">
        <is>
          <t>Resignation</t>
        </is>
      </c>
      <c r="I288" s="80" t="inlineStr">
        <is>
          <t>Brittany Cox</t>
        </is>
      </c>
      <c r="J288" s="80" t="inlineStr">
        <is>
          <t>NA</t>
        </is>
      </c>
      <c r="K288" s="80" t="inlineStr">
        <is>
          <t>Sub/Floater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Jessica Lewellyn</t>
        </is>
      </c>
      <c r="B289" s="111" t="n">
        <v>45924</v>
      </c>
      <c r="C289" s="111" t="n">
        <v>45806</v>
      </c>
      <c r="D289" s="77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77" t="inlineStr">
        <is>
          <t>No</t>
        </is>
      </c>
      <c r="F289" s="77" t="inlineStr">
        <is>
          <t>D</t>
        </is>
      </c>
      <c r="G289" s="77" t="inlineStr">
        <is>
          <t>ELC</t>
        </is>
      </c>
      <c r="H289" s="77" t="inlineStr">
        <is>
          <t>Resignation</t>
        </is>
      </c>
      <c r="I289" s="77" t="inlineStr">
        <is>
          <t>Brittany Cox</t>
        </is>
      </c>
      <c r="J289" s="77" t="inlineStr">
        <is>
          <t>NA</t>
        </is>
      </c>
      <c r="K289" s="77" t="inlineStr">
        <is>
          <t>Sub/Floater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Mayra Alvarado</t>
        </is>
      </c>
      <c r="B290" s="112" t="n">
        <v>45925</v>
      </c>
      <c r="C290" s="112" t="n">
        <v>45764</v>
      </c>
      <c r="D290" s="80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80" t="inlineStr">
        <is>
          <t>No</t>
        </is>
      </c>
      <c r="F290" s="80" t="inlineStr">
        <is>
          <t>U</t>
        </is>
      </c>
      <c r="G290" s="80" t="inlineStr">
        <is>
          <t>Hamilton B</t>
        </is>
      </c>
      <c r="H290" s="80" t="inlineStr">
        <is>
          <t>Job Abandonment</t>
        </is>
      </c>
      <c r="I290" s="80" t="inlineStr">
        <is>
          <t>Michaela Smith</t>
        </is>
      </c>
      <c r="J290" s="80" t="inlineStr">
        <is>
          <t>Nonresponsive</t>
        </is>
      </c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Cory DePuy</t>
        </is>
      </c>
      <c r="B291" s="111" t="n">
        <v>45926</v>
      </c>
      <c r="C291" s="111" t="n">
        <v>44586</v>
      </c>
      <c r="D291" s="77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E291" s="77" t="inlineStr">
        <is>
          <t>No</t>
        </is>
      </c>
      <c r="F291" s="77" t="inlineStr">
        <is>
          <t>D</t>
        </is>
      </c>
      <c r="G291" s="77" t="inlineStr">
        <is>
          <t>Residential</t>
        </is>
      </c>
      <c r="H291" s="77" t="inlineStr">
        <is>
          <t>Resignation</t>
        </is>
      </c>
      <c r="I291" s="77" t="inlineStr">
        <is>
          <t>Layla Fisher</t>
        </is>
      </c>
      <c r="J291" s="111" t="n">
        <v>45930</v>
      </c>
      <c r="K291" s="77" t="inlineStr">
        <is>
          <t>HM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Emily Kelley</t>
        </is>
      </c>
      <c r="B292" s="112" t="n">
        <v>45926</v>
      </c>
      <c r="C292" s="112" t="n">
        <v>45910</v>
      </c>
      <c r="D292" s="80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80" t="inlineStr">
        <is>
          <t>No</t>
        </is>
      </c>
      <c r="F292" s="80" t="inlineStr">
        <is>
          <t>U</t>
        </is>
      </c>
      <c r="G292" s="80" t="inlineStr">
        <is>
          <t>2290 Turnpike</t>
        </is>
      </c>
      <c r="H292" s="80" t="inlineStr">
        <is>
          <t>Resignation</t>
        </is>
      </c>
      <c r="I292" s="80" t="inlineStr">
        <is>
          <t>Rebecca Smith</t>
        </is>
      </c>
      <c r="J292" s="80" t="inlineStr">
        <is>
          <t>Nonresponsive</t>
        </is>
      </c>
      <c r="K292" s="80" t="inlineStr">
        <is>
          <t>HM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2025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  <c r="N314" t="inlineStr">
        <is>
          <t>Synced To Hub</t>
        </is>
      </c>
      <c r="O314" t="inlineStr">
        <is>
          <t>Do Not Sync</t>
        </is>
      </c>
    </row>
    <row r="315" ht="15" customHeight="1">
      <c r="A315" s="77" t="inlineStr">
        <is>
          <t>Connor Mitchell</t>
        </is>
      </c>
      <c r="B315" s="111" t="n">
        <v>45940</v>
      </c>
      <c r="C315" s="111" t="n">
        <v>45778</v>
      </c>
      <c r="D315" s="77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77" t="inlineStr">
        <is>
          <t>Yes</t>
        </is>
      </c>
      <c r="F315" s="77" t="inlineStr">
        <is>
          <t>D</t>
        </is>
      </c>
      <c r="G315" s="77" t="inlineStr">
        <is>
          <t>HR</t>
        </is>
      </c>
      <c r="H315" s="77" t="inlineStr">
        <is>
          <t>Resignation</t>
        </is>
      </c>
      <c r="I315" s="77" t="inlineStr">
        <is>
          <t>Kim Jeffers-Whitaker</t>
        </is>
      </c>
      <c r="J315" s="111" t="n">
        <v>45940</v>
      </c>
      <c r="K315" s="77" t="inlineStr">
        <is>
          <t>HR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Joshua Woods</t>
        </is>
      </c>
      <c r="B316" s="112" t="n">
        <v>45932</v>
      </c>
      <c r="C316" s="112" t="n">
        <v>45778</v>
      </c>
      <c r="D316" s="80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80" t="inlineStr">
        <is>
          <t>No</t>
        </is>
      </c>
      <c r="F316" s="80" t="inlineStr">
        <is>
          <t>U</t>
        </is>
      </c>
      <c r="G316" s="80" t="inlineStr">
        <is>
          <t>QA</t>
        </is>
      </c>
      <c r="H316" s="80" t="inlineStr">
        <is>
          <t>Resignation</t>
        </is>
      </c>
      <c r="I316" s="80" t="inlineStr">
        <is>
          <t>Kristen Otto</t>
        </is>
      </c>
      <c r="J316" s="112" t="n">
        <v>45939</v>
      </c>
      <c r="K316" s="80" t="inlineStr">
        <is>
          <t>QA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Shauwna Gicking</t>
        </is>
      </c>
      <c r="B317" s="111" t="n">
        <v>45933</v>
      </c>
      <c r="C317" s="111" t="n">
        <v>45748</v>
      </c>
      <c r="D317" s="77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77" t="inlineStr">
        <is>
          <t>No</t>
        </is>
      </c>
      <c r="F317" s="77" t="inlineStr">
        <is>
          <t>U</t>
        </is>
      </c>
      <c r="G317" s="77" t="inlineStr">
        <is>
          <t>Workfoce Innovation</t>
        </is>
      </c>
      <c r="H317" s="77" t="inlineStr">
        <is>
          <t>Resignation</t>
        </is>
      </c>
      <c r="I317" s="77" t="inlineStr">
        <is>
          <t>Miranda Kelley</t>
        </is>
      </c>
      <c r="J317" s="77" t="inlineStr">
        <is>
          <t>Out of the Country for 2 weeks</t>
        </is>
      </c>
      <c r="K317" s="77" t="inlineStr">
        <is>
          <t>Other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Montana Tatham</t>
        </is>
      </c>
      <c r="B318" s="112" t="n">
        <v>45932</v>
      </c>
      <c r="C318" s="112" t="n">
        <v>45903</v>
      </c>
      <c r="D318" s="80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80" t="inlineStr">
        <is>
          <t>No</t>
        </is>
      </c>
      <c r="F318" s="80" t="inlineStr">
        <is>
          <t>U</t>
        </is>
      </c>
      <c r="G318" s="80" t="inlineStr">
        <is>
          <t>813 Sapphire Rd</t>
        </is>
      </c>
      <c r="H318" s="80" t="inlineStr">
        <is>
          <t>Job Abandonment</t>
        </is>
      </c>
      <c r="I318" s="80" t="inlineStr">
        <is>
          <t>Rebecca Smith</t>
        </is>
      </c>
      <c r="J318" s="80" t="inlineStr">
        <is>
          <t>Nonresponsive</t>
        </is>
      </c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Mya Simmons</t>
        </is>
      </c>
      <c r="B319" s="111" t="n">
        <v>45938</v>
      </c>
      <c r="C319" s="111" t="n">
        <v>45931</v>
      </c>
      <c r="D319" s="77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77" t="inlineStr">
        <is>
          <t>No</t>
        </is>
      </c>
      <c r="F319" s="77" t="inlineStr">
        <is>
          <t>U</t>
        </is>
      </c>
      <c r="G319" s="77" t="inlineStr">
        <is>
          <t>1111 McAdoo</t>
        </is>
      </c>
      <c r="H319" s="77" t="inlineStr">
        <is>
          <t>Job Abandonment</t>
        </is>
      </c>
      <c r="I319" s="77" t="inlineStr">
        <is>
          <t>Delia Briceno</t>
        </is>
      </c>
      <c r="J319" s="77" t="inlineStr">
        <is>
          <t>10/10/2025- no answer</t>
        </is>
      </c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Detrick Grove</t>
        </is>
      </c>
      <c r="B320" s="112" t="n">
        <v>45938</v>
      </c>
      <c r="C320" s="112" t="n">
        <v>44294</v>
      </c>
      <c r="D320" s="80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80" t="inlineStr">
        <is>
          <t>No</t>
        </is>
      </c>
      <c r="F320" s="80" t="inlineStr">
        <is>
          <t>U</t>
        </is>
      </c>
      <c r="G320" s="80" t="inlineStr">
        <is>
          <t>131 Wadsworth</t>
        </is>
      </c>
      <c r="H320" s="80" t="inlineStr">
        <is>
          <t>Job Abandonment</t>
        </is>
      </c>
      <c r="I320" s="80" t="inlineStr">
        <is>
          <t>Michelle Shafer</t>
        </is>
      </c>
      <c r="J320" s="80" t="inlineStr">
        <is>
          <t>Emailed, # disconnected</t>
        </is>
      </c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Alexandra Bean</t>
        </is>
      </c>
      <c r="B321" s="111" t="n">
        <v>45937</v>
      </c>
      <c r="C321" s="111" t="n">
        <v>45854</v>
      </c>
      <c r="D321" s="77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77" t="inlineStr">
        <is>
          <t>Yes</t>
        </is>
      </c>
      <c r="F321" s="77" t="inlineStr">
        <is>
          <t>U</t>
        </is>
      </c>
      <c r="G321" s="77" t="inlineStr">
        <is>
          <t>289 Royce, #207</t>
        </is>
      </c>
      <c r="H321" s="77" t="inlineStr">
        <is>
          <t>Resignation</t>
        </is>
      </c>
      <c r="I321" s="77" t="inlineStr">
        <is>
          <t>Dawn Williams</t>
        </is>
      </c>
      <c r="J321" s="77" t="inlineStr">
        <is>
          <t>Emailed, left vm</t>
        </is>
      </c>
      <c r="K321" s="77" t="inlineStr">
        <is>
          <t>HM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Hannah Broadus</t>
        </is>
      </c>
      <c r="B322" s="112" t="n">
        <v>45947</v>
      </c>
      <c r="C322" s="112" t="n">
        <v>45709</v>
      </c>
      <c r="D322" s="80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80" t="inlineStr">
        <is>
          <t>Yes</t>
        </is>
      </c>
      <c r="F322" s="80" t="inlineStr">
        <is>
          <t>U</t>
        </is>
      </c>
      <c r="G322" s="80" t="inlineStr">
        <is>
          <t>ELC</t>
        </is>
      </c>
      <c r="H322" s="80" t="inlineStr">
        <is>
          <t>Resignation</t>
        </is>
      </c>
      <c r="I322" s="80" t="inlineStr">
        <is>
          <t>Brittany Cox</t>
        </is>
      </c>
      <c r="J322" s="112" t="n">
        <v>45943</v>
      </c>
      <c r="K322" s="80" t="inlineStr">
        <is>
          <t>Teacher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Jordan Mills</t>
        </is>
      </c>
      <c r="B323" s="111" t="n">
        <v>45940</v>
      </c>
      <c r="C323" s="111" t="n">
        <v>45929</v>
      </c>
      <c r="D323" s="77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77" t="inlineStr">
        <is>
          <t>Yes</t>
        </is>
      </c>
      <c r="F323" s="77" t="inlineStr">
        <is>
          <t>U</t>
        </is>
      </c>
      <c r="G323" s="77" t="inlineStr">
        <is>
          <t>194 Latimer</t>
        </is>
      </c>
      <c r="H323" s="77" t="inlineStr">
        <is>
          <t>Other</t>
        </is>
      </c>
      <c r="I323" s="77" t="inlineStr">
        <is>
          <t>Layla Fisher</t>
        </is>
      </c>
      <c r="J323" s="77" t="inlineStr">
        <is>
          <t>NA</t>
        </is>
      </c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Abigail Morlock</t>
        </is>
      </c>
      <c r="B324" s="112" t="n">
        <v>45938</v>
      </c>
      <c r="C324" s="112" t="n">
        <v>45925</v>
      </c>
      <c r="D324" s="80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80" t="inlineStr">
        <is>
          <t>No</t>
        </is>
      </c>
      <c r="F324" s="80" t="inlineStr">
        <is>
          <t>U</t>
        </is>
      </c>
      <c r="G324" s="80" t="inlineStr">
        <is>
          <t>2290 Turnpike</t>
        </is>
      </c>
      <c r="H324" s="80" t="inlineStr">
        <is>
          <t>Other</t>
        </is>
      </c>
      <c r="I324" s="80" t="inlineStr">
        <is>
          <t>Layla Fisher</t>
        </is>
      </c>
      <c r="J324" s="80" t="inlineStr">
        <is>
          <t>NA</t>
        </is>
      </c>
      <c r="K324" s="80" t="inlineStr">
        <is>
          <t>DSP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Jessica Taylor</t>
        </is>
      </c>
      <c r="B325" s="111" t="n">
        <v>45950</v>
      </c>
      <c r="C325" s="111" t="n">
        <v>45536</v>
      </c>
      <c r="D325" s="77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E325" s="77" t="inlineStr">
        <is>
          <t>No</t>
        </is>
      </c>
      <c r="F325" s="77" t="inlineStr">
        <is>
          <t>U</t>
        </is>
      </c>
      <c r="G325" s="77" t="inlineStr">
        <is>
          <t>BP 911</t>
        </is>
      </c>
      <c r="H325" s="77" t="inlineStr">
        <is>
          <t>Job Abandonment</t>
        </is>
      </c>
      <c r="I325" s="77" t="inlineStr">
        <is>
          <t>Michelle Shafer</t>
        </is>
      </c>
      <c r="J325" s="77" t="inlineStr">
        <is>
          <t>Nonresponsive</t>
        </is>
      </c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Calvin Barber</t>
        </is>
      </c>
      <c r="B326" s="112" t="n">
        <v>45950</v>
      </c>
      <c r="C326" s="112" t="n">
        <v>43874</v>
      </c>
      <c r="D326" s="80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80" t="inlineStr">
        <is>
          <t>No</t>
        </is>
      </c>
      <c r="F326" s="80" t="inlineStr">
        <is>
          <t>D</t>
        </is>
      </c>
      <c r="G326" s="80" t="inlineStr">
        <is>
          <t>Northwestern</t>
        </is>
      </c>
      <c r="H326" s="80" t="inlineStr">
        <is>
          <t>Personal Reasons</t>
        </is>
      </c>
      <c r="I326" s="80" t="inlineStr">
        <is>
          <t>Patreese Poore</t>
        </is>
      </c>
      <c r="J326" s="80" t="inlineStr">
        <is>
          <t>Nonresponsive</t>
        </is>
      </c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77" t="inlineStr">
        <is>
          <t>Linda Thompson</t>
        </is>
      </c>
      <c r="B327" s="111" t="n">
        <v>45957</v>
      </c>
      <c r="C327" s="111" t="n">
        <v>45805</v>
      </c>
      <c r="D327" s="77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77" t="inlineStr">
        <is>
          <t>No</t>
        </is>
      </c>
      <c r="F327" s="77" t="inlineStr">
        <is>
          <t>U</t>
        </is>
      </c>
      <c r="G327" s="77" t="inlineStr">
        <is>
          <t>Royce 207</t>
        </is>
      </c>
      <c r="H327" s="77" t="inlineStr">
        <is>
          <t>Resignation</t>
        </is>
      </c>
      <c r="I327" s="77" t="inlineStr">
        <is>
          <t>Dawn Williams</t>
        </is>
      </c>
      <c r="J327" s="77" t="n"/>
      <c r="K327" s="77" t="inlineStr">
        <is>
          <t>DSP</t>
        </is>
      </c>
      <c r="L327" s="77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2025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  <c r="N348" t="inlineStr">
        <is>
          <t>Synced To Hub</t>
        </is>
      </c>
      <c r="O348" t="inlineStr">
        <is>
          <t>Do Not Sync</t>
        </is>
      </c>
    </row>
    <row r="349" ht="15" customHeight="1">
      <c r="A349" s="77" t="inlineStr">
        <is>
          <t>Emilie Damos</t>
        </is>
      </c>
      <c r="B349" s="111" t="n">
        <v>45967</v>
      </c>
      <c r="C349" s="111" t="n">
        <v>45526</v>
      </c>
      <c r="D349" s="77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77" t="inlineStr">
        <is>
          <t>No</t>
        </is>
      </c>
      <c r="F349" s="77" t="inlineStr">
        <is>
          <t>D</t>
        </is>
      </c>
      <c r="G349" s="77" t="inlineStr">
        <is>
          <t>ELC</t>
        </is>
      </c>
      <c r="H349" s="77" t="inlineStr">
        <is>
          <t>Resignation</t>
        </is>
      </c>
      <c r="I349" s="77" t="inlineStr">
        <is>
          <t>Brittany Cox</t>
        </is>
      </c>
      <c r="J349" s="111" t="n">
        <v>45981</v>
      </c>
      <c r="K349" s="77" t="inlineStr">
        <is>
          <t>Assistant Teacher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Emily Comeaux</t>
        </is>
      </c>
      <c r="B350" s="112" t="n">
        <v>45972</v>
      </c>
      <c r="C350" s="112" t="n">
        <v>45923</v>
      </c>
      <c r="D350" s="80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80" t="inlineStr">
        <is>
          <t>No</t>
        </is>
      </c>
      <c r="F350" s="80" t="inlineStr">
        <is>
          <t>U</t>
        </is>
      </c>
      <c r="G350" s="80" t="inlineStr">
        <is>
          <t>345 W Outer</t>
        </is>
      </c>
      <c r="H350" s="80" t="inlineStr">
        <is>
          <t>Resignation</t>
        </is>
      </c>
      <c r="I350" s="80" t="inlineStr">
        <is>
          <t>Dawn Williams</t>
        </is>
      </c>
      <c r="J350" s="112" t="n">
        <v>45979</v>
      </c>
      <c r="K350" s="80" t="inlineStr">
        <is>
          <t>DSP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Michelle Whitt</t>
        </is>
      </c>
      <c r="B351" s="111" t="n">
        <v>45973</v>
      </c>
      <c r="C351" s="111" t="n">
        <v>45931</v>
      </c>
      <c r="D351" s="77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77" t="inlineStr">
        <is>
          <t>No</t>
        </is>
      </c>
      <c r="F351" s="77" t="inlineStr">
        <is>
          <t>D</t>
        </is>
      </c>
      <c r="G351" s="77" t="inlineStr">
        <is>
          <t>723 Emory Valley Road</t>
        </is>
      </c>
      <c r="H351" s="77" t="inlineStr">
        <is>
          <t>Resignation</t>
        </is>
      </c>
      <c r="I351" s="77" t="inlineStr">
        <is>
          <t>Nichole Brooks</t>
        </is>
      </c>
      <c r="J351" s="77" t="inlineStr">
        <is>
          <t>NA</t>
        </is>
      </c>
      <c r="K351" s="77" t="inlineStr">
        <is>
          <t>HR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Tammy Smiddy</t>
        </is>
      </c>
      <c r="B352" s="112" t="n">
        <v>45974</v>
      </c>
      <c r="C352" s="112" t="n">
        <v>45236</v>
      </c>
      <c r="D352" s="80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80" t="inlineStr">
        <is>
          <t>No</t>
        </is>
      </c>
      <c r="F352" s="80" t="inlineStr">
        <is>
          <t>U</t>
        </is>
      </c>
      <c r="G352" s="80" t="inlineStr">
        <is>
          <t>723 Emory Valley Road</t>
        </is>
      </c>
      <c r="H352" s="80" t="inlineStr">
        <is>
          <t>Job Abandonment</t>
        </is>
      </c>
      <c r="I352" s="80" t="inlineStr">
        <is>
          <t>Layla Fisher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Ashely Fee</t>
        </is>
      </c>
      <c r="B353" s="111" t="n">
        <v>45973</v>
      </c>
      <c r="C353" s="111" t="n">
        <v>45895</v>
      </c>
      <c r="D353" s="77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77" t="inlineStr">
        <is>
          <t>No</t>
        </is>
      </c>
      <c r="F353" s="77" t="inlineStr">
        <is>
          <t>U</t>
        </is>
      </c>
      <c r="G353" s="77" t="inlineStr">
        <is>
          <t>ELC</t>
        </is>
      </c>
      <c r="H353" s="77" t="inlineStr">
        <is>
          <t>Resignation</t>
        </is>
      </c>
      <c r="I353" s="77" t="inlineStr">
        <is>
          <t>Brittany Cox</t>
        </is>
      </c>
      <c r="J353" s="77" t="n"/>
      <c r="K353" s="77" t="inlineStr">
        <is>
          <t>Assistant Teacher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Chandler Glover</t>
        </is>
      </c>
      <c r="B354" s="112" t="n">
        <v>45978</v>
      </c>
      <c r="C354" s="112" t="n">
        <v>45874</v>
      </c>
      <c r="D354" s="80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80" t="inlineStr">
        <is>
          <t>No</t>
        </is>
      </c>
      <c r="F354" s="80" t="inlineStr">
        <is>
          <t>U</t>
        </is>
      </c>
      <c r="G354" s="80" t="inlineStr">
        <is>
          <t>723 Emory Valley Road</t>
        </is>
      </c>
      <c r="H354" s="80" t="inlineStr">
        <is>
          <t>Resignation</t>
        </is>
      </c>
      <c r="I354" s="80" t="inlineStr">
        <is>
          <t>Nichole Brooks</t>
        </is>
      </c>
      <c r="J354" s="112" t="n">
        <v>45978</v>
      </c>
      <c r="K354" s="80" t="inlineStr">
        <is>
          <t>HR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Pamela Hargis</t>
        </is>
      </c>
      <c r="B355" s="111" t="n">
        <v>45982</v>
      </c>
      <c r="C355" s="111" t="n">
        <v>45890</v>
      </c>
      <c r="D355" s="77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77" t="inlineStr">
        <is>
          <t>No</t>
        </is>
      </c>
      <c r="F355" s="77" t="inlineStr">
        <is>
          <t>D</t>
        </is>
      </c>
      <c r="G355" s="77" t="inlineStr">
        <is>
          <t>723 Emory Valley Road</t>
        </is>
      </c>
      <c r="H355" s="77" t="inlineStr">
        <is>
          <t>Resignation</t>
        </is>
      </c>
      <c r="I355" s="77" t="inlineStr">
        <is>
          <t>Bryan Taylor</t>
        </is>
      </c>
      <c r="J355" s="77" t="inlineStr">
        <is>
          <t>NA</t>
        </is>
      </c>
      <c r="K355" s="77" t="inlineStr">
        <is>
          <t>Finance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Krista Mayfield</t>
        </is>
      </c>
      <c r="B356" s="112" t="n">
        <v>45988</v>
      </c>
      <c r="C356" s="112" t="n">
        <v>45719</v>
      </c>
      <c r="D356" s="80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80" t="inlineStr">
        <is>
          <t>No</t>
        </is>
      </c>
      <c r="F356" s="80" t="inlineStr">
        <is>
          <t>U</t>
        </is>
      </c>
      <c r="G356" s="80" t="inlineStr">
        <is>
          <t>ELC</t>
        </is>
      </c>
      <c r="H356" s="80" t="inlineStr">
        <is>
          <t>Resignation</t>
        </is>
      </c>
      <c r="I356" s="80" t="inlineStr">
        <is>
          <t>Brittany Cox</t>
        </is>
      </c>
      <c r="J356" s="80" t="inlineStr">
        <is>
          <t>NA</t>
        </is>
      </c>
      <c r="K356" s="80" t="inlineStr">
        <is>
          <t>Sub/Floater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Jonni Ravyn Smelcer</t>
        </is>
      </c>
      <c r="B357" s="111" t="n">
        <v>45990</v>
      </c>
      <c r="C357" s="111" t="n">
        <v>45910</v>
      </c>
      <c r="D357" s="77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77" t="inlineStr">
        <is>
          <t>No</t>
        </is>
      </c>
      <c r="F357" s="77" t="inlineStr">
        <is>
          <t>U</t>
        </is>
      </c>
      <c r="G357" s="77" t="inlineStr">
        <is>
          <t>104 E Dalton</t>
        </is>
      </c>
      <c r="H357" s="77" t="inlineStr">
        <is>
          <t>Personal Reasons</t>
        </is>
      </c>
      <c r="I357" s="77" t="inlineStr">
        <is>
          <t>Catie Robinson</t>
        </is>
      </c>
      <c r="J357" s="77" t="inlineStr">
        <is>
          <t>Received Text</t>
        </is>
      </c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2025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  <c r="N382" t="inlineStr">
        <is>
          <t>Synced To Hub</t>
        </is>
      </c>
      <c r="O382" t="inlineStr">
        <is>
          <t>Do Not Sync</t>
        </is>
      </c>
    </row>
    <row r="383" ht="15" customHeight="1">
      <c r="A383" s="77" t="inlineStr">
        <is>
          <t>Ashley Knight</t>
        </is>
      </c>
      <c r="B383" s="111" t="n">
        <v>46012</v>
      </c>
      <c r="C383" s="111" t="n">
        <v>45509</v>
      </c>
      <c r="D383" s="77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E383" s="77" t="inlineStr">
        <is>
          <t>No</t>
        </is>
      </c>
      <c r="F383" s="77" t="inlineStr">
        <is>
          <t>D</t>
        </is>
      </c>
      <c r="G383" s="77" t="inlineStr">
        <is>
          <t>ELC</t>
        </is>
      </c>
      <c r="H383" s="77" t="inlineStr">
        <is>
          <t>Resignation</t>
        </is>
      </c>
      <c r="I383" s="77" t="inlineStr">
        <is>
          <t>Brittany Cox</t>
        </is>
      </c>
      <c r="J383" s="77" t="inlineStr">
        <is>
          <t>NA</t>
        </is>
      </c>
      <c r="K383" s="77" t="inlineStr">
        <is>
          <t>Teacher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Charlie Rucker</t>
        </is>
      </c>
      <c r="B384" s="112" t="n">
        <v>46016</v>
      </c>
      <c r="C384" s="112" t="n">
        <v>45237</v>
      </c>
      <c r="D384" s="80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E384" s="80" t="inlineStr">
        <is>
          <t>Yes</t>
        </is>
      </c>
      <c r="F384" s="80" t="inlineStr">
        <is>
          <t>U</t>
        </is>
      </c>
      <c r="G384" s="80" t="inlineStr">
        <is>
          <t>361 W Outer</t>
        </is>
      </c>
      <c r="H384" s="80" t="inlineStr">
        <is>
          <t>Better Opportunity</t>
        </is>
      </c>
      <c r="I384" s="80" t="inlineStr">
        <is>
          <t>Dustin Kelley</t>
        </is>
      </c>
      <c r="J384" s="80" t="inlineStr">
        <is>
          <t>NA</t>
        </is>
      </c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Cerra Merrick</t>
        </is>
      </c>
      <c r="B385" s="111" t="n">
        <v>46004</v>
      </c>
      <c r="C385" s="111" t="n">
        <v>45937</v>
      </c>
      <c r="D385" s="77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E385" s="77" t="inlineStr">
        <is>
          <t>Yes</t>
        </is>
      </c>
      <c r="F385" s="77" t="inlineStr">
        <is>
          <t>U</t>
        </is>
      </c>
      <c r="G385" s="77" t="inlineStr">
        <is>
          <t>ELC</t>
        </is>
      </c>
      <c r="H385" s="77" t="inlineStr">
        <is>
          <t>Other</t>
        </is>
      </c>
      <c r="I385" s="77" t="inlineStr">
        <is>
          <t>Brittany Cox</t>
        </is>
      </c>
      <c r="J385" s="77" t="inlineStr">
        <is>
          <t>NA</t>
        </is>
      </c>
      <c r="K385" s="77" t="inlineStr">
        <is>
          <t>Sub/Floater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Corie Reynolds</t>
        </is>
      </c>
      <c r="B386" s="112" t="n">
        <v>46020</v>
      </c>
      <c r="C386" s="112" t="n">
        <v>45966</v>
      </c>
      <c r="D386" s="80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E386" s="80" t="inlineStr">
        <is>
          <t>No</t>
        </is>
      </c>
      <c r="F386" s="80" t="inlineStr">
        <is>
          <t>U</t>
        </is>
      </c>
      <c r="G386" s="80" t="inlineStr">
        <is>
          <t>345 W Outer</t>
        </is>
      </c>
      <c r="H386" s="80" t="inlineStr">
        <is>
          <t>Better Opportunity</t>
        </is>
      </c>
      <c r="I386" s="80" t="inlineStr">
        <is>
          <t>Kasey Foster</t>
        </is>
      </c>
      <c r="J386" s="80" t="inlineStr">
        <is>
          <t>NA</t>
        </is>
      </c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Delio Briceno</t>
        </is>
      </c>
      <c r="B387" s="111" t="n">
        <v>49673</v>
      </c>
      <c r="C387" s="111" t="n">
        <v>45735</v>
      </c>
      <c r="D387" s="7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E387" s="77" t="inlineStr">
        <is>
          <t>No</t>
        </is>
      </c>
      <c r="F387" s="77" t="inlineStr">
        <is>
          <t>U</t>
        </is>
      </c>
      <c r="G387" s="77" t="inlineStr">
        <is>
          <t>Sapphire/194 Latimer</t>
        </is>
      </c>
      <c r="H387" s="77" t="inlineStr">
        <is>
          <t>Personal Reasons</t>
        </is>
      </c>
      <c r="I387" s="77" t="n"/>
      <c r="J387" s="77" t="n"/>
      <c r="K387" s="77" t="inlineStr">
        <is>
          <t>HM</t>
        </is>
      </c>
      <c r="L387" s="77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75:M75"/>
    <mergeCell ref="A211:M211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3-00000005}">
          <x14:formula1>
            <xm:f>Reference!$L$2:$L$10</xm:f>
          </x14:formula1>
          <xm:sqref>M9:M413</xm:sqref>
        </x14:dataValidation>
        <x14:dataValidation xmlns:xr="http://schemas.microsoft.com/office/spreadsheetml/2014/revision" type="list" errorStyle="stop" allowBlank="1" showInputMessage="1" showErrorMessage="1" errorTitle="Invalid Do Not Sync" error="Do Not Sync must be Yes or No (leave blank for No)." promptTitle="" prompt="" xr:uid="{00000000-0002-0000-0003-00000006}">
          <x14:formula1>
            <xm:f>Reference!$B$2:$B$3</xm:f>
          </x14:formula1>
          <xm:sqref>O9:O413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tabColor rgb="FF2E86AB"/>
    <outlinePr summaryBelow="1" summaryRight="1"/>
    <pageSetUpPr/>
  </sheetPr>
  <dimension ref="A1:O413"/>
  <sheetViews>
    <sheetView zoomScaleNormal="100" workbookViewId="0">
      <pane ySplit="6" topLeftCell="A202" activePane="bottomLeft" state="frozen"/>
      <selection pane="bottomLeft" activeCell="A224" sqref="A22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2024</t>
        </is>
      </c>
    </row>
    <row r="3" ht="19.5" customHeight="1">
      <c r="A3" s="164" t="inlineStr">
        <is>
          <t>January 2024 — December 2024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2024",Reference!$N$2:$O$6,2,FALSE),0)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2024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t="inlineStr">
        <is>
          <t>Synced To Hub</t>
        </is>
      </c>
      <c r="O8" t="inlineStr">
        <is>
          <t>Do Not Sync</t>
        </is>
      </c>
    </row>
    <row r="9" ht="15" customHeight="1">
      <c r="A9" s="77" t="inlineStr">
        <is>
          <t>Kerri Shelton</t>
        </is>
      </c>
      <c r="B9" s="77" t="n"/>
      <c r="C9" s="77" t="n"/>
      <c r="D9" s="77" t="inlineStr">
        <is>
          <t>1 year and 8 months</t>
        </is>
      </c>
      <c r="E9" s="77" t="inlineStr">
        <is>
          <t>Yes</t>
        </is>
      </c>
      <c r="F9" s="77" t="inlineStr">
        <is>
          <t>U</t>
        </is>
      </c>
      <c r="G9" s="77" t="inlineStr">
        <is>
          <t>Northwestern</t>
        </is>
      </c>
      <c r="H9" s="77" t="inlineStr">
        <is>
          <t>Relocation</t>
        </is>
      </c>
      <c r="I9" s="77" t="inlineStr">
        <is>
          <t>Kasey Foster</t>
        </is>
      </c>
      <c r="J9" s="77" t="n"/>
      <c r="K9" s="77" t="inlineStr">
        <is>
          <t>DSP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Cade Crowe</t>
        </is>
      </c>
      <c r="B10" s="80" t="n"/>
      <c r="C10" s="80" t="n"/>
      <c r="D10" s="80" t="inlineStr">
        <is>
          <t>6 months</t>
        </is>
      </c>
      <c r="E10" s="80" t="inlineStr">
        <is>
          <t>Yes</t>
        </is>
      </c>
      <c r="F10" s="80" t="inlineStr">
        <is>
          <t>U</t>
        </is>
      </c>
      <c r="G10" s="80" t="n"/>
      <c r="H10" s="80" t="inlineStr">
        <is>
          <t>Personal Reasons</t>
        </is>
      </c>
      <c r="I10" s="80" t="inlineStr">
        <is>
          <t>Crystal Hicks</t>
        </is>
      </c>
      <c r="J10" s="80" t="n"/>
      <c r="K10" s="80" t="inlineStr">
        <is>
          <t>Other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Paul Nipper</t>
        </is>
      </c>
      <c r="B11" s="77" t="n"/>
      <c r="C11" s="77" t="n"/>
      <c r="D11" s="77" t="inlineStr">
        <is>
          <t>1/15/2024 (1year and 1 month)</t>
        </is>
      </c>
      <c r="E11" s="77" t="inlineStr">
        <is>
          <t>Yes</t>
        </is>
      </c>
      <c r="F11" s="77" t="inlineStr">
        <is>
          <t>U</t>
        </is>
      </c>
      <c r="G11" s="77" t="inlineStr">
        <is>
          <t>196 Latimer</t>
        </is>
      </c>
      <c r="H11" s="77" t="inlineStr">
        <is>
          <t>Personal Reasons</t>
        </is>
      </c>
      <c r="I11" s="77" t="inlineStr">
        <is>
          <t>Kayla Birdswell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James Leighner</t>
        </is>
      </c>
      <c r="B12" s="80" t="n"/>
      <c r="C12" s="80" t="n"/>
      <c r="D12" s="80" t="inlineStr">
        <is>
          <t>1/15/2024 (5 months)</t>
        </is>
      </c>
      <c r="E12" s="80" t="inlineStr">
        <is>
          <t>Yes</t>
        </is>
      </c>
      <c r="F12" s="80" t="inlineStr">
        <is>
          <t>U</t>
        </is>
      </c>
      <c r="G12" s="80" t="inlineStr">
        <is>
          <t>Atlanta</t>
        </is>
      </c>
      <c r="H12" s="80" t="inlineStr">
        <is>
          <t>Personal Reasons</t>
        </is>
      </c>
      <c r="I12" s="80" t="inlineStr">
        <is>
          <t>Kayla Birdswell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Daisy Pratt</t>
        </is>
      </c>
      <c r="B13" s="77" t="n"/>
      <c r="C13" s="77" t="n"/>
      <c r="D13" s="77" t="inlineStr">
        <is>
          <t>23 years</t>
        </is>
      </c>
      <c r="E13" s="77" t="inlineStr">
        <is>
          <t>Yes</t>
        </is>
      </c>
      <c r="F13" s="77" t="inlineStr">
        <is>
          <t>U</t>
        </is>
      </c>
      <c r="G13" s="77" t="inlineStr">
        <is>
          <t>Worforce</t>
        </is>
      </c>
      <c r="H13" s="77" t="inlineStr">
        <is>
          <t>Other</t>
        </is>
      </c>
      <c r="I13" s="77" t="inlineStr">
        <is>
          <t>Miranda McClain</t>
        </is>
      </c>
      <c r="J13" s="77" t="n"/>
      <c r="K13" s="77" t="inlineStr">
        <is>
          <t>Job Coach/WI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Fila Munuo</t>
        </is>
      </c>
      <c r="B14" s="80" t="n"/>
      <c r="C14" s="80" t="n"/>
      <c r="D14" s="80" t="inlineStr">
        <is>
          <t>5 years and 1 month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Sapphire</t>
        </is>
      </c>
      <c r="H14" s="80" t="inlineStr">
        <is>
          <t>Personal Reasons</t>
        </is>
      </c>
      <c r="I14" s="80" t="inlineStr">
        <is>
          <t>Rebecca Smith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Sean Green</t>
        </is>
      </c>
      <c r="B15" s="77" t="n"/>
      <c r="C15" s="77" t="n"/>
      <c r="D15" s="77" t="inlineStr">
        <is>
          <t>1/29/2024 (8 years and 5 months)</t>
        </is>
      </c>
      <c r="E15" s="77" t="inlineStr">
        <is>
          <t>Yes</t>
        </is>
      </c>
      <c r="F15" s="77" t="inlineStr">
        <is>
          <t>U</t>
        </is>
      </c>
      <c r="G15" s="77" t="inlineStr">
        <is>
          <t>162 Wadsworth</t>
        </is>
      </c>
      <c r="H15" s="77" t="inlineStr">
        <is>
          <t>Personal Reasons</t>
        </is>
      </c>
      <c r="I15" s="77" t="inlineStr">
        <is>
          <t>Rebecca Smith</t>
        </is>
      </c>
      <c r="J15" s="77" t="n"/>
      <c r="K15" s="77" t="inlineStr">
        <is>
          <t>DSP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Cardiana Davis</t>
        </is>
      </c>
      <c r="B16" s="80" t="n"/>
      <c r="C16" s="80" t="n"/>
      <c r="D16" s="80" t="inlineStr">
        <is>
          <t>3 years and 7 months</t>
        </is>
      </c>
      <c r="E16" s="80" t="inlineStr">
        <is>
          <t>Yes</t>
        </is>
      </c>
      <c r="F16" s="80" t="inlineStr">
        <is>
          <t>U</t>
        </is>
      </c>
      <c r="G16" s="80" t="inlineStr">
        <is>
          <t>Ulena</t>
        </is>
      </c>
      <c r="H16" s="80" t="inlineStr">
        <is>
          <t>Other</t>
        </is>
      </c>
      <c r="I16" s="80" t="inlineStr">
        <is>
          <t>Sherri McMahan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Cynthia Gillars</t>
        </is>
      </c>
      <c r="B17" s="77" t="n"/>
      <c r="C17" s="77" t="n"/>
      <c r="D17" s="77" t="inlineStr">
        <is>
          <t>2 years</t>
        </is>
      </c>
      <c r="E17" s="77" t="inlineStr">
        <is>
          <t>Yes</t>
        </is>
      </c>
      <c r="F17" s="77" t="inlineStr">
        <is>
          <t>U</t>
        </is>
      </c>
      <c r="G17" s="77" t="inlineStr">
        <is>
          <t>Professional Services</t>
        </is>
      </c>
      <c r="H17" s="77" t="inlineStr">
        <is>
          <t>Better Opportunity</t>
        </is>
      </c>
      <c r="I17" s="77" t="inlineStr">
        <is>
          <t>Michele West</t>
        </is>
      </c>
      <c r="J17" s="77" t="n"/>
      <c r="K17" s="77" t="inlineStr">
        <is>
          <t>CM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Carol Faulkner</t>
        </is>
      </c>
      <c r="B18" s="80" t="n"/>
      <c r="C18" s="80" t="n"/>
      <c r="D18" s="80" t="inlineStr">
        <is>
          <t>1 year and 6 months</t>
        </is>
      </c>
      <c r="E18" s="80" t="inlineStr">
        <is>
          <t>No</t>
        </is>
      </c>
      <c r="F18" s="80" t="inlineStr">
        <is>
          <t>U</t>
        </is>
      </c>
      <c r="G18" s="80" t="inlineStr">
        <is>
          <t>702 Bristol</t>
        </is>
      </c>
      <c r="H18" s="80" t="inlineStr">
        <is>
          <t>Relocation</t>
        </is>
      </c>
      <c r="I18" s="80" t="inlineStr">
        <is>
          <t>Rebecca Smith</t>
        </is>
      </c>
      <c r="J18" s="80" t="n"/>
      <c r="K18" s="80" t="inlineStr">
        <is>
          <t>DSP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Christina Westernman</t>
        </is>
      </c>
      <c r="B19" s="77" t="n"/>
      <c r="C19" s="77" t="n"/>
      <c r="D19" s="77" t="inlineStr">
        <is>
          <t>2 1/2 months</t>
        </is>
      </c>
      <c r="E19" s="77" t="inlineStr">
        <is>
          <t>No</t>
        </is>
      </c>
      <c r="F19" s="77" t="inlineStr">
        <is>
          <t>U</t>
        </is>
      </c>
      <c r="G19" s="77" t="inlineStr">
        <is>
          <t>162 Wadsworth</t>
        </is>
      </c>
      <c r="H19" s="77" t="inlineStr">
        <is>
          <t>Other</t>
        </is>
      </c>
      <c r="I19" s="77" t="inlineStr">
        <is>
          <t>Rebecca Smith</t>
        </is>
      </c>
      <c r="J19" s="77" t="n"/>
      <c r="K19" s="77" t="inlineStr">
        <is>
          <t>DSP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Patricia Gordon</t>
        </is>
      </c>
      <c r="B20" s="80" t="n"/>
      <c r="C20" s="80" t="n"/>
      <c r="D20" s="80" t="inlineStr">
        <is>
          <t>2 years and 3 months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Floater</t>
        </is>
      </c>
      <c r="H20" s="80" t="inlineStr">
        <is>
          <t>Personal Reasons</t>
        </is>
      </c>
      <c r="I20" s="80" t="inlineStr">
        <is>
          <t>Rebecca Smith</t>
        </is>
      </c>
      <c r="J20" s="80" t="n"/>
      <c r="K20" s="80" t="inlineStr">
        <is>
          <t>DSP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Lesa Alcorn</t>
        </is>
      </c>
      <c r="B21" s="77" t="n"/>
      <c r="C21" s="77" t="n"/>
      <c r="D21" s="77" t="inlineStr">
        <is>
          <t>4 months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196 Laimter</t>
        </is>
      </c>
      <c r="H21" s="77" t="inlineStr">
        <is>
          <t>Personal Reasons</t>
        </is>
      </c>
      <c r="I21" s="77" t="inlineStr">
        <is>
          <t>Kayla Birdswell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Melissa Lessard</t>
        </is>
      </c>
      <c r="B22" s="80" t="n"/>
      <c r="C22" s="80" t="n"/>
      <c r="D22" s="80" t="inlineStr">
        <is>
          <t>5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Ulena</t>
        </is>
      </c>
      <c r="H22" s="80" t="inlineStr">
        <is>
          <t>Better Opportunity</t>
        </is>
      </c>
      <c r="I22" s="80" t="inlineStr">
        <is>
          <t>Sherri McMahan</t>
        </is>
      </c>
      <c r="J22" s="80" t="n"/>
      <c r="K22" s="80" t="inlineStr">
        <is>
          <t>DSP</t>
        </is>
      </c>
      <c r="L22" s="80" t="n"/>
      <c r="M22" s="105">
        <f>IFERROR(VLOOKUP(G22,Reference!$I$2:$J$175,2,FALSE()),"Operations")</f>
        <v/>
      </c>
    </row>
    <row r="23" ht="15" customHeight="1">
      <c r="A23" s="77" t="inlineStr">
        <is>
          <t>Kadie Burke</t>
        </is>
      </c>
      <c r="B23" s="77" t="n"/>
      <c r="C23" s="77" t="n"/>
      <c r="D23" s="77" t="inlineStr">
        <is>
          <t>3 months</t>
        </is>
      </c>
      <c r="E23" s="77" t="inlineStr">
        <is>
          <t>No</t>
        </is>
      </c>
      <c r="F23" s="77" t="inlineStr">
        <is>
          <t>U</t>
        </is>
      </c>
      <c r="G23" s="77" t="inlineStr">
        <is>
          <t>Tuskegee</t>
        </is>
      </c>
      <c r="H23" s="77" t="inlineStr">
        <is>
          <t>Other</t>
        </is>
      </c>
      <c r="I23" s="77" t="inlineStr">
        <is>
          <t>Casey Chumley</t>
        </is>
      </c>
      <c r="J23" s="77" t="n"/>
      <c r="K23" s="77" t="inlineStr">
        <is>
          <t>DSP</t>
        </is>
      </c>
      <c r="L23" s="77" t="n"/>
      <c r="M23" s="102">
        <f>IFERROR(VLOOKUP(G23,Reference!$I$2:$J$175,2,FALSE()),"Operations")</f>
        <v/>
      </c>
    </row>
    <row r="24" ht="15" customHeight="1">
      <c r="A24" s="80" t="inlineStr">
        <is>
          <t>Maiara Thomas</t>
        </is>
      </c>
      <c r="B24" s="80" t="n"/>
      <c r="C24" s="80" t="n"/>
      <c r="D24" s="80" t="inlineStr">
        <is>
          <t>7nmonths</t>
        </is>
      </c>
      <c r="E24" s="80" t="inlineStr">
        <is>
          <t>Yes</t>
        </is>
      </c>
      <c r="F24" s="80" t="inlineStr">
        <is>
          <t>U</t>
        </is>
      </c>
      <c r="G24" s="80" t="inlineStr">
        <is>
          <t>Family Support</t>
        </is>
      </c>
      <c r="H24" s="80" t="inlineStr">
        <is>
          <t>Relocation</t>
        </is>
      </c>
      <c r="I24" s="80" t="inlineStr">
        <is>
          <t>Regina Wilson</t>
        </is>
      </c>
      <c r="J24" s="80" t="n"/>
      <c r="K24" s="80" t="inlineStr">
        <is>
          <t>Family Support</t>
        </is>
      </c>
      <c r="L24" s="80" t="n"/>
      <c r="M24" s="105">
        <f>IFERROR(VLOOKUP(G24,Reference!$I$2:$J$175,2,FALSE()),"Operations")</f>
        <v/>
      </c>
    </row>
    <row r="25" ht="15" customHeight="1">
      <c r="A25" s="77" t="inlineStr">
        <is>
          <t>Jerr Dantzler</t>
        </is>
      </c>
      <c r="B25" s="77" t="n"/>
      <c r="C25" s="77" t="n"/>
      <c r="D25" s="77" t="inlineStr">
        <is>
          <t>5 1/2 months</t>
        </is>
      </c>
      <c r="E25" s="77" t="inlineStr">
        <is>
          <t>Yes</t>
        </is>
      </c>
      <c r="F25" s="77" t="inlineStr">
        <is>
          <t>U</t>
        </is>
      </c>
      <c r="G25" s="77" t="inlineStr">
        <is>
          <t>207 Wadsworth</t>
        </is>
      </c>
      <c r="H25" s="77" t="inlineStr">
        <is>
          <t>Better Opportunity</t>
        </is>
      </c>
      <c r="I25" s="77" t="inlineStr">
        <is>
          <t>Rebecca Smith</t>
        </is>
      </c>
      <c r="J25" s="77" t="n"/>
      <c r="K25" s="77" t="inlineStr">
        <is>
          <t>DSP</t>
        </is>
      </c>
      <c r="L25" s="77" t="n"/>
      <c r="M25" s="102">
        <f>IFERROR(VLOOKUP(G25,Reference!$I$2:$J$175,2,FALSE()),"Operations")</f>
        <v/>
      </c>
    </row>
    <row r="26" ht="15" customHeight="1">
      <c r="A26" s="80" t="inlineStr">
        <is>
          <t>Christopher Ouma</t>
        </is>
      </c>
      <c r="B26" s="80" t="n"/>
      <c r="C26" s="80" t="n"/>
      <c r="D26" s="80" t="inlineStr">
        <is>
          <t>2 years and 4 months</t>
        </is>
      </c>
      <c r="E26" s="80" t="inlineStr">
        <is>
          <t>Yes</t>
        </is>
      </c>
      <c r="F26" s="80" t="inlineStr">
        <is>
          <t>U</t>
        </is>
      </c>
      <c r="G26" s="80" t="inlineStr">
        <is>
          <t>Estabrook</t>
        </is>
      </c>
      <c r="H26" s="80" t="inlineStr">
        <is>
          <t>Personal Reasons</t>
        </is>
      </c>
      <c r="I26" s="80" t="inlineStr">
        <is>
          <t>Sherri McMahan</t>
        </is>
      </c>
      <c r="J26" s="80" t="n"/>
      <c r="K26" s="80" t="inlineStr">
        <is>
          <t>DSP</t>
        </is>
      </c>
      <c r="L26" s="80" t="n"/>
      <c r="M26" s="105">
        <f>IFERROR(VLOOKUP(G26,Reference!$I$2:$J$175,2,FALSE()),"Operations")</f>
        <v/>
      </c>
    </row>
    <row r="27" ht="15" customHeight="1">
      <c r="A27" s="77" t="inlineStr">
        <is>
          <t>Autumn Burton</t>
        </is>
      </c>
      <c r="B27" s="77" t="n"/>
      <c r="C27" s="77" t="n"/>
      <c r="D27" s="77" t="inlineStr">
        <is>
          <t>1 year 4 months</t>
        </is>
      </c>
      <c r="E27" s="77" t="inlineStr">
        <is>
          <t>No</t>
        </is>
      </c>
      <c r="F27" s="77" t="inlineStr">
        <is>
          <t>U</t>
        </is>
      </c>
      <c r="G27" s="77" t="inlineStr">
        <is>
          <t>Dalton</t>
        </is>
      </c>
      <c r="H27" s="77" t="inlineStr">
        <is>
          <t>Personal Reasons</t>
        </is>
      </c>
      <c r="I27" s="77" t="inlineStr">
        <is>
          <t>Casey Chumley</t>
        </is>
      </c>
      <c r="J27" s="77" t="n"/>
      <c r="K27" s="77" t="inlineStr">
        <is>
          <t>DSP</t>
        </is>
      </c>
      <c r="L27" s="77" t="n"/>
      <c r="M27" s="102">
        <f>IFERROR(VLOOKUP(G27,Reference!$I$2:$J$175,2,FALSE()),"Operations")</f>
        <v/>
      </c>
    </row>
    <row r="28" ht="15" customHeight="1">
      <c r="A28" s="80" t="inlineStr">
        <is>
          <t>Brealexandria Bryan</t>
        </is>
      </c>
      <c r="B28" s="80" t="n"/>
      <c r="C28" s="80" t="n"/>
      <c r="D28" s="80" t="inlineStr">
        <is>
          <t>6 weeks</t>
        </is>
      </c>
      <c r="E28" s="80" t="inlineStr">
        <is>
          <t>No</t>
        </is>
      </c>
      <c r="F28" s="80" t="inlineStr">
        <is>
          <t>U</t>
        </is>
      </c>
      <c r="G28" s="80" t="inlineStr">
        <is>
          <t>Salem/Ulena</t>
        </is>
      </c>
      <c r="H28" s="80" t="inlineStr">
        <is>
          <t>Better Opportunity</t>
        </is>
      </c>
      <c r="I28" s="80" t="inlineStr">
        <is>
          <t>Casey Chumley</t>
        </is>
      </c>
      <c r="J28" s="80" t="n"/>
      <c r="K28" s="80" t="inlineStr">
        <is>
          <t>DSP</t>
        </is>
      </c>
      <c r="L28" s="80" t="n"/>
      <c r="M28" s="105">
        <f>IFERROR(VLOOKUP(G28,Reference!$I$2:$J$175,2,FALSE()),"Operations")</f>
        <v/>
      </c>
    </row>
    <row r="29" ht="15" customHeight="1">
      <c r="A29" s="77" t="inlineStr">
        <is>
          <t>Sasha Russell</t>
        </is>
      </c>
      <c r="B29" s="77" t="n"/>
      <c r="C29" s="77" t="n"/>
      <c r="D29" s="77" t="inlineStr">
        <is>
          <t>2 months</t>
        </is>
      </c>
      <c r="E29" s="77" t="inlineStr">
        <is>
          <t>Yes</t>
        </is>
      </c>
      <c r="F29" s="77" t="inlineStr">
        <is>
          <t>U</t>
        </is>
      </c>
      <c r="G29" s="77" t="inlineStr">
        <is>
          <t>Tucker/Estabrook</t>
        </is>
      </c>
      <c r="H29" s="77" t="inlineStr">
        <is>
          <t>Other</t>
        </is>
      </c>
      <c r="I29" s="77" t="inlineStr">
        <is>
          <t>Kayla Birdswell</t>
        </is>
      </c>
      <c r="J29" s="77" t="n"/>
      <c r="K29" s="77" t="inlineStr">
        <is>
          <t>DSP</t>
        </is>
      </c>
      <c r="L29" s="77" t="n"/>
      <c r="M29" s="102">
        <f>IFERROR(VLOOKUP(G29,Reference!$I$2:$J$175,2,FALSE()),"Operations")</f>
        <v/>
      </c>
    </row>
    <row r="30" ht="15" customHeight="1">
      <c r="A30" s="80" t="inlineStr">
        <is>
          <t>Daniel Cobble</t>
        </is>
      </c>
      <c r="B30" s="80" t="n"/>
      <c r="C30" s="80" t="n"/>
      <c r="D30" s="80" t="inlineStr">
        <is>
          <t>9 months</t>
        </is>
      </c>
      <c r="E30" s="80" t="inlineStr">
        <is>
          <t>No</t>
        </is>
      </c>
      <c r="F30" s="80" t="inlineStr">
        <is>
          <t>D</t>
        </is>
      </c>
      <c r="G30" s="80" t="inlineStr">
        <is>
          <t>Finance</t>
        </is>
      </c>
      <c r="H30" s="80" t="inlineStr">
        <is>
          <t>Termination</t>
        </is>
      </c>
      <c r="I30" s="80" t="inlineStr">
        <is>
          <t>Brian Taylor</t>
        </is>
      </c>
      <c r="J30" s="80" t="n"/>
      <c r="K30" s="80" t="inlineStr">
        <is>
          <t>Other</t>
        </is>
      </c>
      <c r="L30" s="80" t="n"/>
      <c r="M30" s="105">
        <f>IFERROR(VLOOKUP(G30,Reference!$I$2:$J$175,2,FALSE()),"Operations")</f>
        <v/>
      </c>
    </row>
    <row r="31" ht="15" customHeight="1">
      <c r="A31" s="77" t="inlineStr">
        <is>
          <t>Lucas Baker</t>
        </is>
      </c>
      <c r="B31" s="77" t="n"/>
      <c r="C31" s="77" t="n"/>
      <c r="D31" s="77" t="inlineStr">
        <is>
          <t>6 weeks</t>
        </is>
      </c>
      <c r="E31" s="77" t="inlineStr">
        <is>
          <t>No</t>
        </is>
      </c>
      <c r="F31" s="77" t="inlineStr">
        <is>
          <t>U</t>
        </is>
      </c>
      <c r="G31" s="77" t="inlineStr">
        <is>
          <t>200 Latimer</t>
        </is>
      </c>
      <c r="H31" s="77" t="inlineStr">
        <is>
          <t>Other</t>
        </is>
      </c>
      <c r="I31" s="77" t="inlineStr">
        <is>
          <t>Sherri McMahan</t>
        </is>
      </c>
      <c r="J31" s="77" t="n"/>
      <c r="K31" s="77" t="inlineStr">
        <is>
          <t>DSP</t>
        </is>
      </c>
      <c r="L31" s="77" t="n"/>
      <c r="M31" s="102">
        <f>IFERROR(VLOOKUP(G31,Reference!$I$2:$J$175,2,FALSE()),"Operations")</f>
        <v/>
      </c>
    </row>
    <row r="32" ht="15" customHeight="1">
      <c r="A32" s="80" t="inlineStr">
        <is>
          <t>Rebecca Kern</t>
        </is>
      </c>
      <c r="B32" s="80" t="n"/>
      <c r="C32" s="80" t="n"/>
      <c r="D32" s="80" t="inlineStr">
        <is>
          <t>2 1/2 months</t>
        </is>
      </c>
      <c r="E32" s="80" t="inlineStr">
        <is>
          <t>No</t>
        </is>
      </c>
      <c r="F32" s="80" t="inlineStr">
        <is>
          <t>U</t>
        </is>
      </c>
      <c r="G32" s="80" t="inlineStr">
        <is>
          <t>162 Wadsworth</t>
        </is>
      </c>
      <c r="H32" s="80" t="inlineStr">
        <is>
          <t>Other</t>
        </is>
      </c>
      <c r="I32" s="80" t="inlineStr">
        <is>
          <t>Rebecca Smith</t>
        </is>
      </c>
      <c r="J32" s="80" t="n"/>
      <c r="K32" s="80" t="inlineStr">
        <is>
          <t>DSP</t>
        </is>
      </c>
      <c r="L32" s="80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2024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  <c r="N42" t="inlineStr">
        <is>
          <t>Synced To Hub</t>
        </is>
      </c>
      <c r="O42" t="inlineStr">
        <is>
          <t>Do Not Sync</t>
        </is>
      </c>
    </row>
    <row r="43" ht="15" customHeight="1">
      <c r="A43" s="77" t="inlineStr">
        <is>
          <t>Anthony Lado</t>
        </is>
      </c>
      <c r="B43" s="111" t="n">
        <v>45327</v>
      </c>
      <c r="C43" s="77" t="n"/>
      <c r="D43" s="77" t="inlineStr">
        <is>
          <t>1 year</t>
        </is>
      </c>
      <c r="E43" s="77" t="inlineStr">
        <is>
          <t>Yes</t>
        </is>
      </c>
      <c r="F43" s="77" t="inlineStr">
        <is>
          <t>U</t>
        </is>
      </c>
      <c r="G43" s="77" t="inlineStr">
        <is>
          <t>Human Resources</t>
        </is>
      </c>
      <c r="H43" s="77" t="inlineStr">
        <is>
          <t>Better Opportunity</t>
        </is>
      </c>
      <c r="I43" s="77" t="inlineStr">
        <is>
          <t>Jennifer Enderson</t>
        </is>
      </c>
      <c r="J43" s="77" t="n"/>
      <c r="K43" s="77" t="inlineStr">
        <is>
          <t>Director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Angel Schlau</t>
        </is>
      </c>
      <c r="B44" s="112" t="n">
        <v>45324</v>
      </c>
      <c r="C44" s="80" t="n"/>
      <c r="D44" s="80" t="inlineStr">
        <is>
          <t>2 years and 8 months</t>
        </is>
      </c>
      <c r="E44" s="80" t="inlineStr">
        <is>
          <t>Yes</t>
        </is>
      </c>
      <c r="F44" s="80" t="inlineStr">
        <is>
          <t>U</t>
        </is>
      </c>
      <c r="G44" s="80" t="inlineStr">
        <is>
          <t>911 Bristol Park</t>
        </is>
      </c>
      <c r="H44" s="80" t="inlineStr">
        <is>
          <t>Personal Reasons</t>
        </is>
      </c>
      <c r="I44" s="80" t="inlineStr">
        <is>
          <t>Kayla Birdsell</t>
        </is>
      </c>
      <c r="J44" s="80" t="n"/>
      <c r="K44" s="80" t="inlineStr">
        <is>
          <t>DSP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Patrick McDonald</t>
        </is>
      </c>
      <c r="B45" s="111" t="n">
        <v>45328</v>
      </c>
      <c r="C45" s="77" t="n"/>
      <c r="D45" s="77" t="inlineStr">
        <is>
          <t>10 years and 6 months</t>
        </is>
      </c>
      <c r="E45" s="77" t="inlineStr">
        <is>
          <t>Yes</t>
        </is>
      </c>
      <c r="F45" s="77" t="inlineStr">
        <is>
          <t>U</t>
        </is>
      </c>
      <c r="G45" s="77" t="inlineStr">
        <is>
          <t>Employment Services</t>
        </is>
      </c>
      <c r="H45" s="77" t="inlineStr">
        <is>
          <t>Personal Reasons</t>
        </is>
      </c>
      <c r="I45" s="77" t="inlineStr">
        <is>
          <t>Miranda McLain</t>
        </is>
      </c>
      <c r="J45" s="77" t="n"/>
      <c r="K45" s="77" t="inlineStr">
        <is>
          <t>Job Coach/WI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Felisha Byrd</t>
        </is>
      </c>
      <c r="B46" s="112" t="n">
        <v>45330</v>
      </c>
      <c r="C46" s="80" t="n"/>
      <c r="D46" s="80" t="inlineStr">
        <is>
          <t>2 years and 2 months</t>
        </is>
      </c>
      <c r="E46" s="80" t="inlineStr">
        <is>
          <t>No</t>
        </is>
      </c>
      <c r="F46" s="80" t="inlineStr">
        <is>
          <t>U</t>
        </is>
      </c>
      <c r="G46" s="80" t="inlineStr">
        <is>
          <t>Livingston</t>
        </is>
      </c>
      <c r="H46" s="80" t="inlineStr">
        <is>
          <t>Other</t>
        </is>
      </c>
      <c r="I46" s="80" t="inlineStr">
        <is>
          <t>Sherri McMahan</t>
        </is>
      </c>
      <c r="J46" s="80" t="n"/>
      <c r="K46" s="80" t="inlineStr">
        <is>
          <t>DSP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Lita Byrd</t>
        </is>
      </c>
      <c r="B47" s="111" t="n">
        <v>45330</v>
      </c>
      <c r="C47" s="77" t="n"/>
      <c r="D47" s="77" t="inlineStr">
        <is>
          <t>2 years and 5 months</t>
        </is>
      </c>
      <c r="E47" s="77" t="inlineStr">
        <is>
          <t>No</t>
        </is>
      </c>
      <c r="F47" s="77" t="inlineStr">
        <is>
          <t>U</t>
        </is>
      </c>
      <c r="G47" s="77" t="inlineStr">
        <is>
          <t>Livingston</t>
        </is>
      </c>
      <c r="H47" s="77" t="inlineStr">
        <is>
          <t>Other</t>
        </is>
      </c>
      <c r="I47" s="77" t="inlineStr">
        <is>
          <t>Sherri McMahan</t>
        </is>
      </c>
      <c r="J47" s="77" t="n"/>
      <c r="K47" s="77" t="inlineStr">
        <is>
          <t>DSP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Leah Shurden</t>
        </is>
      </c>
      <c r="B48" s="112" t="n">
        <v>45331</v>
      </c>
      <c r="C48" s="80" t="n"/>
      <c r="D48" s="80" t="inlineStr">
        <is>
          <t>8 months</t>
        </is>
      </c>
      <c r="E48" s="80" t="inlineStr">
        <is>
          <t>No</t>
        </is>
      </c>
      <c r="F48" s="80" t="inlineStr">
        <is>
          <t>U</t>
        </is>
      </c>
      <c r="G48" s="80" t="inlineStr">
        <is>
          <t>200 Latimer</t>
        </is>
      </c>
      <c r="H48" s="80" t="inlineStr">
        <is>
          <t>Other</t>
        </is>
      </c>
      <c r="I48" s="80" t="inlineStr">
        <is>
          <t>Sherri McMahan</t>
        </is>
      </c>
      <c r="J48" s="80" t="n"/>
      <c r="K48" s="80" t="inlineStr">
        <is>
          <t>HM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Rosemary Schenck</t>
        </is>
      </c>
      <c r="B49" s="111" t="n">
        <v>45341</v>
      </c>
      <c r="C49" s="77" t="n"/>
      <c r="D49" s="77" t="inlineStr">
        <is>
          <t>6 years and 9 months</t>
        </is>
      </c>
      <c r="E49" s="77" t="inlineStr">
        <is>
          <t>NA</t>
        </is>
      </c>
      <c r="F49" s="77" t="inlineStr">
        <is>
          <t>NA</t>
        </is>
      </c>
      <c r="G49" s="77" t="inlineStr">
        <is>
          <t>911 Bristol Park</t>
        </is>
      </c>
      <c r="H49" s="77" t="inlineStr">
        <is>
          <t>Other</t>
        </is>
      </c>
      <c r="I49" s="77" t="inlineStr">
        <is>
          <t>Kayla Birdsell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Lydia Bowling</t>
        </is>
      </c>
      <c r="B50" s="112" t="n">
        <v>45344</v>
      </c>
      <c r="C50" s="80" t="n"/>
      <c r="D50" s="80" t="inlineStr">
        <is>
          <t>2 years</t>
        </is>
      </c>
      <c r="E50" s="80" t="inlineStr">
        <is>
          <t>Yes</t>
        </is>
      </c>
      <c r="F50" s="80" t="inlineStr">
        <is>
          <t>U</t>
        </is>
      </c>
      <c r="G50" s="80" t="inlineStr">
        <is>
          <t>Lower Valley/Estabrook</t>
        </is>
      </c>
      <c r="H50" s="80" t="inlineStr">
        <is>
          <t>Other</t>
        </is>
      </c>
      <c r="I50" s="80" t="inlineStr">
        <is>
          <t>Kasey Foster</t>
        </is>
      </c>
      <c r="J50" s="80" t="n"/>
      <c r="K50" s="80" t="inlineStr">
        <is>
          <t>HM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Pamela Moore</t>
        </is>
      </c>
      <c r="B51" s="111" t="n">
        <v>45348</v>
      </c>
      <c r="C51" s="77" t="n"/>
      <c r="D51" s="77" t="inlineStr">
        <is>
          <t>4 years and 8 months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Northwestern</t>
        </is>
      </c>
      <c r="H51" s="77" t="inlineStr">
        <is>
          <t>Resignation</t>
        </is>
      </c>
      <c r="I51" s="77" t="inlineStr">
        <is>
          <t>Kas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Donna Vonderalage</t>
        </is>
      </c>
      <c r="B52" s="112" t="n">
        <v>45350</v>
      </c>
      <c r="C52" s="80" t="n"/>
      <c r="D52" s="80" t="inlineStr">
        <is>
          <t>14 years and 3 months</t>
        </is>
      </c>
      <c r="E52" s="80" t="inlineStr">
        <is>
          <t>Yes</t>
        </is>
      </c>
      <c r="F52" s="80" t="inlineStr">
        <is>
          <t>U</t>
        </is>
      </c>
      <c r="G52" s="80" t="inlineStr">
        <is>
          <t>ELC</t>
        </is>
      </c>
      <c r="H52" s="80" t="inlineStr">
        <is>
          <t>Retirement</t>
        </is>
      </c>
      <c r="I52" s="80" t="inlineStr">
        <is>
          <t>Brittany Webb</t>
        </is>
      </c>
      <c r="J52" s="80" t="n"/>
      <c r="K52" s="80" t="inlineStr">
        <is>
          <t>Sub/Floater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Summer Newport</t>
        </is>
      </c>
      <c r="B53" s="111" t="n">
        <v>45351</v>
      </c>
      <c r="C53" s="77" t="n"/>
      <c r="D53" s="77" t="inlineStr">
        <is>
          <t>3 weeks</t>
        </is>
      </c>
      <c r="E53" s="77" t="inlineStr">
        <is>
          <t>No</t>
        </is>
      </c>
      <c r="F53" s="77" t="inlineStr">
        <is>
          <t>U</t>
        </is>
      </c>
      <c r="G53" s="77" t="inlineStr">
        <is>
          <t>Livingston</t>
        </is>
      </c>
      <c r="H53" s="77" t="inlineStr">
        <is>
          <t>Job Abandonment</t>
        </is>
      </c>
      <c r="I53" s="77" t="inlineStr">
        <is>
          <t>Sherri McMahan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2024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  <c r="N76" t="inlineStr">
        <is>
          <t>Synced To Hub</t>
        </is>
      </c>
      <c r="O76" t="inlineStr">
        <is>
          <t>Do Not Sync</t>
        </is>
      </c>
    </row>
    <row r="77" ht="15" customHeight="1">
      <c r="A77" s="77" t="inlineStr">
        <is>
          <t>Katie Wood</t>
        </is>
      </c>
      <c r="B77" s="111" t="n">
        <v>45355</v>
      </c>
      <c r="C77" s="77" t="n"/>
      <c r="D77" s="77" t="inlineStr">
        <is>
          <t>3 years and 9 months</t>
        </is>
      </c>
      <c r="E77" s="77" t="inlineStr">
        <is>
          <t>Yes</t>
        </is>
      </c>
      <c r="F77" s="77" t="inlineStr">
        <is>
          <t>U</t>
        </is>
      </c>
      <c r="G77" s="77" t="inlineStr">
        <is>
          <t>Another Job</t>
        </is>
      </c>
      <c r="H77" s="77" t="inlineStr">
        <is>
          <t>Better Opportunity</t>
        </is>
      </c>
      <c r="I77" s="77" t="inlineStr">
        <is>
          <t>Chase Davenport</t>
        </is>
      </c>
      <c r="J77" s="77" t="n"/>
      <c r="K77" s="77" t="inlineStr">
        <is>
          <t>Other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Brittany Smith</t>
        </is>
      </c>
      <c r="B78" s="112" t="n">
        <v>45355</v>
      </c>
      <c r="C78" s="80" t="n"/>
      <c r="D78" s="80" t="inlineStr">
        <is>
          <t>6 months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Another Job</t>
        </is>
      </c>
      <c r="H78" s="80" t="inlineStr">
        <is>
          <t>Better Opportunity</t>
        </is>
      </c>
      <c r="I78" s="80" t="inlineStr">
        <is>
          <t>Layla Fisher</t>
        </is>
      </c>
      <c r="J78" s="80" t="n"/>
      <c r="K78" s="80" t="inlineStr">
        <is>
          <t>RM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Kaitlyn Chandler</t>
        </is>
      </c>
      <c r="B79" s="111" t="n">
        <v>45355</v>
      </c>
      <c r="C79" s="77" t="n"/>
      <c r="D79" s="77" t="inlineStr">
        <is>
          <t>3 weeks</t>
        </is>
      </c>
      <c r="E79" s="77" t="inlineStr">
        <is>
          <t>No</t>
        </is>
      </c>
      <c r="F79" s="77" t="inlineStr">
        <is>
          <t>U</t>
        </is>
      </c>
      <c r="G79" s="77" t="inlineStr">
        <is>
          <t>Job Abandonment</t>
        </is>
      </c>
      <c r="H79" s="77" t="inlineStr">
        <is>
          <t>Job Abandonment</t>
        </is>
      </c>
      <c r="I79" s="77" t="inlineStr">
        <is>
          <t>Sherri McMahan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Megan Miller</t>
        </is>
      </c>
      <c r="B80" s="112" t="n">
        <v>45354</v>
      </c>
      <c r="C80" s="80" t="n"/>
      <c r="D80" s="80" t="inlineStr">
        <is>
          <t>8 months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Staff late to shift</t>
        </is>
      </c>
      <c r="H80" s="80" t="inlineStr">
        <is>
          <t>Attendance Issues</t>
        </is>
      </c>
      <c r="I80" s="80" t="inlineStr">
        <is>
          <t>Sherri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Erica Webb</t>
        </is>
      </c>
      <c r="B81" s="111" t="n">
        <v>45358</v>
      </c>
      <c r="C81" s="77" t="n"/>
      <c r="D81" s="77" t="inlineStr">
        <is>
          <t>3 months</t>
        </is>
      </c>
      <c r="E81" s="77" t="inlineStr">
        <is>
          <t>No</t>
        </is>
      </c>
      <c r="F81" s="77" t="inlineStr">
        <is>
          <t>U</t>
        </is>
      </c>
      <c r="G81" s="77" t="inlineStr">
        <is>
          <t>Superimposed Schedule conflict</t>
        </is>
      </c>
      <c r="H81" s="77" t="inlineStr">
        <is>
          <t>Personal Reasons</t>
        </is>
      </c>
      <c r="I81" s="77" t="inlineStr">
        <is>
          <t>Rebecca Smith</t>
        </is>
      </c>
      <c r="J81" s="77" t="n"/>
      <c r="K81" s="77" t="inlineStr">
        <is>
          <t>DSP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Halie Campbell</t>
        </is>
      </c>
      <c r="B82" s="112" t="n">
        <v>45359</v>
      </c>
      <c r="C82" s="80" t="n"/>
      <c r="D82" s="80" t="inlineStr">
        <is>
          <t>2 months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Violation of Company Policy</t>
        </is>
      </c>
      <c r="H82" s="80" t="inlineStr">
        <is>
          <t>Termination</t>
        </is>
      </c>
      <c r="I82" s="80" t="inlineStr">
        <is>
          <t>Kayla Birdsell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Zackary Cordero</t>
        </is>
      </c>
      <c r="B83" s="111" t="n">
        <v>45359</v>
      </c>
      <c r="C83" s="77" t="n"/>
      <c r="D83" s="77" t="inlineStr">
        <is>
          <t>2.5 months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None given</t>
        </is>
      </c>
      <c r="H83" s="77" t="inlineStr">
        <is>
          <t>Other</t>
        </is>
      </c>
      <c r="I83" s="77" t="inlineStr">
        <is>
          <t>Kayla Birdsell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Mandy Denton</t>
        </is>
      </c>
      <c r="B84" s="112" t="n">
        <v>45363</v>
      </c>
      <c r="C84" s="80" t="n"/>
      <c r="D84" s="80" t="inlineStr">
        <is>
          <t>6 months</t>
        </is>
      </c>
      <c r="E84" s="80" t="inlineStr">
        <is>
          <t>No</t>
        </is>
      </c>
      <c r="F84" s="80" t="inlineStr">
        <is>
          <t>U</t>
        </is>
      </c>
      <c r="G84" s="80" t="inlineStr">
        <is>
          <t>Not enough hours</t>
        </is>
      </c>
      <c r="H84" s="80" t="inlineStr">
        <is>
          <t>Better Opportunity</t>
        </is>
      </c>
      <c r="I84" s="80" t="inlineStr">
        <is>
          <t>Miranda McLain</t>
        </is>
      </c>
      <c r="J84" s="80" t="n"/>
      <c r="K84" s="80" t="inlineStr">
        <is>
          <t>Job Coach/WI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Alexis Morris</t>
        </is>
      </c>
      <c r="B85" s="111" t="n">
        <v>45366</v>
      </c>
      <c r="C85" s="77" t="n"/>
      <c r="D85" s="77" t="inlineStr">
        <is>
          <t>1 week</t>
        </is>
      </c>
      <c r="E85" s="77" t="inlineStr">
        <is>
          <t>No</t>
        </is>
      </c>
      <c r="F85" s="77" t="inlineStr">
        <is>
          <t>U</t>
        </is>
      </c>
      <c r="G85" s="77" t="inlineStr">
        <is>
          <t>Stopped training/No Call No Show</t>
        </is>
      </c>
      <c r="H85" s="77" t="inlineStr">
        <is>
          <t>Job Abandonment</t>
        </is>
      </c>
      <c r="I85" s="77" t="inlineStr">
        <is>
          <t>Layla Fisher</t>
        </is>
      </c>
      <c r="J85" s="77" t="n"/>
      <c r="K85" s="77" t="inlineStr">
        <is>
          <t>DSP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Christina Samples</t>
        </is>
      </c>
      <c r="B86" s="112" t="n">
        <v>45372</v>
      </c>
      <c r="C86" s="80" t="n"/>
      <c r="D86" s="80" t="inlineStr">
        <is>
          <t>1 year and 6  months</t>
        </is>
      </c>
      <c r="E86" s="80" t="inlineStr">
        <is>
          <t>No</t>
        </is>
      </c>
      <c r="F86" s="80" t="inlineStr">
        <is>
          <t>D</t>
        </is>
      </c>
      <c r="G86" s="80" t="inlineStr">
        <is>
          <t>Violation of Company Policy</t>
        </is>
      </c>
      <c r="H86" s="80" t="inlineStr">
        <is>
          <t>Termination</t>
        </is>
      </c>
      <c r="I86" s="80" t="inlineStr">
        <is>
          <t>Brittany Smith</t>
        </is>
      </c>
      <c r="J86" s="80" t="n"/>
      <c r="K86" s="80" t="inlineStr">
        <is>
          <t>Teacher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Bridget Dalton</t>
        </is>
      </c>
      <c r="B87" s="111" t="n">
        <v>45373</v>
      </c>
      <c r="C87" s="77" t="n"/>
      <c r="D87" s="77" t="inlineStr">
        <is>
          <t>6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Going back to school</t>
        </is>
      </c>
      <c r="H87" s="77" t="inlineStr">
        <is>
          <t>Personal Reasons</t>
        </is>
      </c>
      <c r="I87" s="77" t="inlineStr">
        <is>
          <t>Tiffany Rose</t>
        </is>
      </c>
      <c r="J87" s="77" t="n"/>
      <c r="K87" s="77" t="inlineStr">
        <is>
          <t>Other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Kathy Hamby</t>
        </is>
      </c>
      <c r="B88" s="112" t="n">
        <v>45376</v>
      </c>
      <c r="C88" s="80" t="n"/>
      <c r="D88" s="80" t="inlineStr">
        <is>
          <t>1 year and 3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Another Job</t>
        </is>
      </c>
      <c r="H88" s="80" t="inlineStr">
        <is>
          <t>Better Opportunity</t>
        </is>
      </c>
      <c r="I88" s="80" t="inlineStr">
        <is>
          <t>Kasey Foster</t>
        </is>
      </c>
      <c r="J88" s="80" t="n"/>
      <c r="K88" s="80" t="inlineStr">
        <is>
          <t>DSP</t>
        </is>
      </c>
      <c r="L88" s="80" t="n"/>
      <c r="M88" s="105">
        <f>IFERROR(VLOOKUP(G88,Reference!$I$2:$J$175,2,FALSE()),"Operations")</f>
        <v/>
      </c>
    </row>
    <row r="89" ht="15" customHeight="1">
      <c r="A89" s="77" t="inlineStr">
        <is>
          <t>Carol Morse</t>
        </is>
      </c>
      <c r="B89" s="111" t="n">
        <v>45376</v>
      </c>
      <c r="C89" s="77" t="n"/>
      <c r="D89" s="77" t="inlineStr">
        <is>
          <t>8 months</t>
        </is>
      </c>
      <c r="E89" s="77" t="inlineStr">
        <is>
          <t>Yes</t>
        </is>
      </c>
      <c r="F89" s="77" t="inlineStr">
        <is>
          <t>U</t>
        </is>
      </c>
      <c r="G89" s="77" t="inlineStr">
        <is>
          <t>Discharged- LOA denied</t>
        </is>
      </c>
      <c r="H89" s="77" t="inlineStr">
        <is>
          <t>Termination</t>
        </is>
      </c>
      <c r="I89" s="77" t="inlineStr">
        <is>
          <t>Crystal Hicks</t>
        </is>
      </c>
      <c r="J89" s="77" t="n"/>
      <c r="K89" s="77" t="inlineStr">
        <is>
          <t>Other</t>
        </is>
      </c>
      <c r="L89" s="77" t="n"/>
      <c r="M89" s="102">
        <f>IFERROR(VLOOKUP(G89,Reference!$I$2:$J$175,2,FALSE()),"Operations")</f>
        <v/>
      </c>
    </row>
    <row r="90" ht="15" customHeight="1">
      <c r="A90" s="80" t="inlineStr">
        <is>
          <t>Susan Seber</t>
        </is>
      </c>
      <c r="B90" s="112" t="n">
        <v>45382</v>
      </c>
      <c r="C90" s="80" t="n"/>
      <c r="D90" s="80" t="inlineStr">
        <is>
          <t>2 years</t>
        </is>
      </c>
      <c r="E90" s="80" t="inlineStr">
        <is>
          <t>No</t>
        </is>
      </c>
      <c r="F90" s="80" t="inlineStr">
        <is>
          <t>U</t>
        </is>
      </c>
      <c r="G90" s="80" t="inlineStr">
        <is>
          <t>Job Abandonment</t>
        </is>
      </c>
      <c r="H90" s="80" t="inlineStr">
        <is>
          <t>Job Abandonment</t>
        </is>
      </c>
      <c r="I90" s="80" t="inlineStr">
        <is>
          <t>Kasey Foster</t>
        </is>
      </c>
      <c r="J90" s="80" t="n"/>
      <c r="K90" s="80" t="inlineStr">
        <is>
          <t>DSP</t>
        </is>
      </c>
      <c r="L90" s="80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2024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  <c r="N110" t="inlineStr">
        <is>
          <t>Synced To Hub</t>
        </is>
      </c>
      <c r="O110" t="inlineStr">
        <is>
          <t>Do Not Sync</t>
        </is>
      </c>
    </row>
    <row r="111" ht="15" customHeight="1">
      <c r="A111" s="77" t="inlineStr">
        <is>
          <t>Renee Deason</t>
        </is>
      </c>
      <c r="B111" s="111" t="n">
        <v>45397</v>
      </c>
      <c r="C111" s="77" t="n"/>
      <c r="D111" s="77" t="inlineStr">
        <is>
          <t>10 months</t>
        </is>
      </c>
      <c r="E111" s="77" t="inlineStr">
        <is>
          <t>Yes</t>
        </is>
      </c>
      <c r="F111" s="77" t="inlineStr">
        <is>
          <t>U</t>
        </is>
      </c>
      <c r="G111" s="77" t="inlineStr">
        <is>
          <t>EI</t>
        </is>
      </c>
      <c r="H111" s="77" t="inlineStr">
        <is>
          <t>Relocation</t>
        </is>
      </c>
      <c r="I111" s="77" t="inlineStr">
        <is>
          <t>Anna Moore</t>
        </is>
      </c>
      <c r="J111" s="77" t="n"/>
      <c r="K111" s="77" t="inlineStr">
        <is>
          <t>EI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Kaleb Selvidge</t>
        </is>
      </c>
      <c r="B112" s="112" t="n">
        <v>45392</v>
      </c>
      <c r="C112" s="80" t="n"/>
      <c r="D112" s="80" t="inlineStr">
        <is>
          <t>5 years and 4 months</t>
        </is>
      </c>
      <c r="E112" s="80" t="inlineStr">
        <is>
          <t>Yes</t>
        </is>
      </c>
      <c r="F112" s="80" t="inlineStr">
        <is>
          <t>U</t>
        </is>
      </c>
      <c r="G112" s="80" t="inlineStr">
        <is>
          <t>Residential</t>
        </is>
      </c>
      <c r="H112" s="80" t="inlineStr">
        <is>
          <t>Better Opportunity</t>
        </is>
      </c>
      <c r="I112" s="80" t="inlineStr">
        <is>
          <t>Layla Fisher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Jen Johnson</t>
        </is>
      </c>
      <c r="B113" s="111" t="n">
        <v>45394</v>
      </c>
      <c r="C113" s="77" t="n"/>
      <c r="D113" s="77" t="inlineStr">
        <is>
          <t>5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EI</t>
        </is>
      </c>
      <c r="H113" s="77" t="inlineStr">
        <is>
          <t>Better Opportunity</t>
        </is>
      </c>
      <c r="I113" s="77" t="inlineStr">
        <is>
          <t>Anna Moore</t>
        </is>
      </c>
      <c r="J113" s="77" t="n"/>
      <c r="K113" s="77" t="inlineStr">
        <is>
          <t>EI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Donna Pruitt-Brawner</t>
        </is>
      </c>
      <c r="B114" s="112" t="n">
        <v>45387</v>
      </c>
      <c r="C114" s="80" t="n"/>
      <c r="D114" s="80" t="inlineStr">
        <is>
          <t>2 months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702 BP</t>
        </is>
      </c>
      <c r="H114" s="80" t="inlineStr">
        <is>
          <t>Job Abandonment</t>
        </is>
      </c>
      <c r="I114" s="80" t="inlineStr">
        <is>
          <t>Sherri McMahan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Anna Holland</t>
        </is>
      </c>
      <c r="B115" s="111" t="n">
        <v>45391</v>
      </c>
      <c r="C115" s="77" t="n"/>
      <c r="D115" s="77" t="inlineStr">
        <is>
          <t>2 weeks</t>
        </is>
      </c>
      <c r="E115" s="77" t="inlineStr">
        <is>
          <t>No</t>
        </is>
      </c>
      <c r="F115" s="77" t="inlineStr">
        <is>
          <t>U</t>
        </is>
      </c>
      <c r="G115" s="77" t="inlineStr">
        <is>
          <t>N. Purdue</t>
        </is>
      </c>
      <c r="H115" s="77" t="inlineStr">
        <is>
          <t>Job Abandonment</t>
        </is>
      </c>
      <c r="I115" s="77" t="inlineStr">
        <is>
          <t>Kayla Birdsell</t>
        </is>
      </c>
      <c r="J115" s="77" t="n"/>
      <c r="K115" s="77" t="inlineStr">
        <is>
          <t>DSP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Christina Foster</t>
        </is>
      </c>
      <c r="B116" s="112" t="n">
        <v>45391</v>
      </c>
      <c r="C116" s="80" t="n"/>
      <c r="D116" s="80" t="inlineStr">
        <is>
          <t>2 weeks</t>
        </is>
      </c>
      <c r="E116" s="80" t="inlineStr">
        <is>
          <t>No</t>
        </is>
      </c>
      <c r="F116" s="80" t="inlineStr">
        <is>
          <t>U</t>
        </is>
      </c>
      <c r="G116" s="80" t="inlineStr">
        <is>
          <t>911 Bristol Park</t>
        </is>
      </c>
      <c r="H116" s="80" t="inlineStr">
        <is>
          <t>Job Abandonment</t>
        </is>
      </c>
      <c r="I116" s="80" t="inlineStr">
        <is>
          <t>Kayla Birdsell</t>
        </is>
      </c>
      <c r="J116" s="80" t="n"/>
      <c r="K116" s="80" t="inlineStr">
        <is>
          <t>DSP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Sierra Rowe</t>
        </is>
      </c>
      <c r="B117" s="111" t="n">
        <v>45391</v>
      </c>
      <c r="C117" s="77" t="n"/>
      <c r="D117" s="77" t="inlineStr">
        <is>
          <t>2 weeks</t>
        </is>
      </c>
      <c r="E117" s="77" t="inlineStr">
        <is>
          <t>N</t>
        </is>
      </c>
      <c r="F117" s="77" t="inlineStr">
        <is>
          <t>U</t>
        </is>
      </c>
      <c r="G117" s="77" t="inlineStr">
        <is>
          <t>911 Bristol Park</t>
        </is>
      </c>
      <c r="H117" s="77" t="inlineStr">
        <is>
          <t>Job Abandonment</t>
        </is>
      </c>
      <c r="I117" s="77" t="inlineStr">
        <is>
          <t>Kayla Birdsell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80" t="inlineStr">
        <is>
          <t>Amber Funk</t>
        </is>
      </c>
      <c r="B118" s="112" t="n">
        <v>45393</v>
      </c>
      <c r="C118" s="80" t="n"/>
      <c r="D118" s="80" t="inlineStr">
        <is>
          <t>1 week</t>
        </is>
      </c>
      <c r="E118" s="80" t="inlineStr">
        <is>
          <t>No</t>
        </is>
      </c>
      <c r="F118" s="80" t="inlineStr">
        <is>
          <t>U</t>
        </is>
      </c>
      <c r="G118" s="80" t="inlineStr">
        <is>
          <t>Ulena</t>
        </is>
      </c>
      <c r="H118" s="80" t="inlineStr">
        <is>
          <t>Personal Reasons</t>
        </is>
      </c>
      <c r="I118" s="80" t="inlineStr">
        <is>
          <t>Sherri McMahan</t>
        </is>
      </c>
      <c r="J118" s="80" t="n"/>
      <c r="K118" s="80" t="inlineStr">
        <is>
          <t>DSP</t>
        </is>
      </c>
      <c r="L118" s="80" t="n"/>
      <c r="M118" s="105">
        <f>IFERROR(VLOOKUP(G118,Reference!$I$2:$J$175,2,FALSE()),"Operations")</f>
        <v/>
      </c>
    </row>
    <row r="119" ht="15" customHeight="1">
      <c r="A119" s="77" t="inlineStr">
        <is>
          <t>Donna Heath</t>
        </is>
      </c>
      <c r="B119" s="111" t="n">
        <v>45399</v>
      </c>
      <c r="C119" s="77" t="n"/>
      <c r="D119" s="77" t="inlineStr">
        <is>
          <t>2 weeks</t>
        </is>
      </c>
      <c r="E119" s="77" t="inlineStr">
        <is>
          <t>No</t>
        </is>
      </c>
      <c r="F119" s="77" t="inlineStr">
        <is>
          <t>U</t>
        </is>
      </c>
      <c r="G119" s="77" t="inlineStr">
        <is>
          <t>427 Outer</t>
        </is>
      </c>
      <c r="H119" s="77" t="inlineStr">
        <is>
          <t>Job Abandonment</t>
        </is>
      </c>
      <c r="I119" s="77" t="inlineStr">
        <is>
          <t>Kasey Foster</t>
        </is>
      </c>
      <c r="J119" s="77" t="n"/>
      <c r="K119" s="77" t="inlineStr">
        <is>
          <t>DSP</t>
        </is>
      </c>
      <c r="L119" s="77" t="n"/>
      <c r="M119" s="102">
        <f>IFERROR(VLOOKUP(G119,Reference!$I$2:$J$175,2,FALSE()),"Operations")</f>
        <v/>
      </c>
    </row>
    <row r="120" ht="15" customHeight="1">
      <c r="A120" s="80" t="inlineStr">
        <is>
          <t>Fatima Aian</t>
        </is>
      </c>
      <c r="B120" s="112" t="n">
        <v>45405</v>
      </c>
      <c r="C120" s="80" t="n"/>
      <c r="D120" s="80" t="inlineStr">
        <is>
          <t>1 month</t>
        </is>
      </c>
      <c r="E120" s="80" t="inlineStr">
        <is>
          <t>Yes</t>
        </is>
      </c>
      <c r="F120" s="80" t="inlineStr">
        <is>
          <t>U</t>
        </is>
      </c>
      <c r="G120" s="80" t="inlineStr">
        <is>
          <t>Tuskegee</t>
        </is>
      </c>
      <c r="H120" s="80" t="inlineStr">
        <is>
          <t>Personal Reasons</t>
        </is>
      </c>
      <c r="I120" s="80" t="inlineStr">
        <is>
          <t>Rebecca Smith</t>
        </is>
      </c>
      <c r="J120" s="80" t="n"/>
      <c r="K120" s="80" t="inlineStr">
        <is>
          <t>DSP</t>
        </is>
      </c>
      <c r="L120" s="80" t="n"/>
      <c r="M120" s="105">
        <f>IFERROR(VLOOKUP(G120,Reference!$I$2:$J$175,2,FALSE()),"Operations")</f>
        <v/>
      </c>
    </row>
    <row r="121" ht="15" customHeight="1">
      <c r="A121" s="77" t="inlineStr">
        <is>
          <t>Shayla Wright</t>
        </is>
      </c>
      <c r="B121" s="111" t="n">
        <v>45408</v>
      </c>
      <c r="C121" s="77" t="n"/>
      <c r="D121" s="77" t="inlineStr">
        <is>
          <t>3 weeks</t>
        </is>
      </c>
      <c r="E121" s="77" t="inlineStr">
        <is>
          <t>No</t>
        </is>
      </c>
      <c r="F121" s="77" t="inlineStr">
        <is>
          <t>U</t>
        </is>
      </c>
      <c r="G121" s="77" t="inlineStr">
        <is>
          <t>Northestern</t>
        </is>
      </c>
      <c r="H121" s="77" t="inlineStr">
        <is>
          <t>Job Abandonment</t>
        </is>
      </c>
      <c r="I121" s="77" t="inlineStr">
        <is>
          <t>Kasey Foster</t>
        </is>
      </c>
      <c r="J121" s="77" t="n"/>
      <c r="K121" s="77" t="inlineStr">
        <is>
          <t>DSP</t>
        </is>
      </c>
      <c r="L121" s="77" t="n"/>
      <c r="M121" s="102">
        <f>IFERROR(VLOOKUP(G121,Reference!$I$2:$J$175,2,FALSE()),"Operations")</f>
        <v/>
      </c>
    </row>
    <row r="122" ht="15" customHeight="1">
      <c r="A122" s="80" t="inlineStr">
        <is>
          <t>Cheyenne Stevens</t>
        </is>
      </c>
      <c r="B122" s="112" t="n">
        <v>45412</v>
      </c>
      <c r="C122" s="80" t="n"/>
      <c r="D122" s="80" t="inlineStr">
        <is>
          <t>1 month</t>
        </is>
      </c>
      <c r="E122" s="80" t="inlineStr">
        <is>
          <t>No</t>
        </is>
      </c>
      <c r="F122" s="80" t="inlineStr">
        <is>
          <t>U</t>
        </is>
      </c>
      <c r="G122" s="80" t="inlineStr">
        <is>
          <t>207 Wadsworth</t>
        </is>
      </c>
      <c r="H122" s="80" t="inlineStr">
        <is>
          <t>Relocation</t>
        </is>
      </c>
      <c r="I122" s="80" t="inlineStr">
        <is>
          <t>Rebecca Smith</t>
        </is>
      </c>
      <c r="J122" s="80" t="n"/>
      <c r="K122" s="80" t="inlineStr">
        <is>
          <t>DSP</t>
        </is>
      </c>
      <c r="L122" s="80" t="n"/>
      <c r="M122" s="105">
        <f>IFERROR(VLOOKUP(G122,Reference!$I$2:$J$175,2,FALSE()),"Operations")</f>
        <v/>
      </c>
    </row>
    <row r="123" ht="15" customHeight="1">
      <c r="A123" s="77" t="inlineStr">
        <is>
          <t>April Coffman</t>
        </is>
      </c>
      <c r="B123" s="111" t="n">
        <v>45411</v>
      </c>
      <c r="C123" s="77" t="n"/>
      <c r="D123" s="77" t="inlineStr">
        <is>
          <t>1 week</t>
        </is>
      </c>
      <c r="E123" s="77" t="inlineStr">
        <is>
          <t>No</t>
        </is>
      </c>
      <c r="F123" s="77" t="inlineStr">
        <is>
          <t>U</t>
        </is>
      </c>
      <c r="G123" s="77" t="inlineStr">
        <is>
          <t>Trunpike A</t>
        </is>
      </c>
      <c r="H123" s="77" t="inlineStr">
        <is>
          <t>Personal Reasons</t>
        </is>
      </c>
      <c r="I123" s="77" t="inlineStr">
        <is>
          <t>Sherri McMahan</t>
        </is>
      </c>
      <c r="J123" s="77" t="n"/>
      <c r="K123" s="77" t="inlineStr">
        <is>
          <t>DSP</t>
        </is>
      </c>
      <c r="L123" s="77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2024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  <c r="N144" t="inlineStr">
        <is>
          <t>Synced To Hub</t>
        </is>
      </c>
      <c r="O144" t="inlineStr">
        <is>
          <t>Do Not Sync</t>
        </is>
      </c>
    </row>
    <row r="145" ht="15" customHeight="1">
      <c r="A145" s="77" t="inlineStr">
        <is>
          <t>David Minarik</t>
        </is>
      </c>
      <c r="B145" s="111" t="n">
        <v>45420</v>
      </c>
      <c r="C145" s="77" t="n"/>
      <c r="D145" s="77" t="inlineStr">
        <is>
          <t>3 years and 7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Willow Run</t>
        </is>
      </c>
      <c r="H145" s="77" t="inlineStr">
        <is>
          <t>Another Job</t>
        </is>
      </c>
      <c r="I145" s="77" t="inlineStr">
        <is>
          <t>Kayla Birdsell</t>
        </is>
      </c>
      <c r="J145" s="77" t="n"/>
      <c r="K145" s="77" t="inlineStr">
        <is>
          <t>DSP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Cali Ridings</t>
        </is>
      </c>
      <c r="B146" s="112" t="n">
        <v>45421</v>
      </c>
      <c r="C146" s="80" t="n"/>
      <c r="D146" s="80" t="inlineStr">
        <is>
          <t>3 weeks</t>
        </is>
      </c>
      <c r="E146" s="80" t="inlineStr">
        <is>
          <t>No</t>
        </is>
      </c>
      <c r="F146" s="80" t="inlineStr">
        <is>
          <t>U</t>
        </is>
      </c>
      <c r="G146" s="80" t="inlineStr">
        <is>
          <t>141 Wainwright</t>
        </is>
      </c>
      <c r="H146" s="80" t="inlineStr">
        <is>
          <t>Job Abandonment</t>
        </is>
      </c>
      <c r="I146" s="80" t="inlineStr">
        <is>
          <t>Sherri McMahon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Breanna Baily</t>
        </is>
      </c>
      <c r="B147" s="111" t="n">
        <v>45423</v>
      </c>
      <c r="C147" s="77" t="n"/>
      <c r="D147" s="77" t="inlineStr">
        <is>
          <t>2.5 months</t>
        </is>
      </c>
      <c r="E147" s="77" t="inlineStr">
        <is>
          <t>No</t>
        </is>
      </c>
      <c r="F147" s="77" t="inlineStr">
        <is>
          <t>U</t>
        </is>
      </c>
      <c r="G147" s="77" t="inlineStr">
        <is>
          <t>Thelma</t>
        </is>
      </c>
      <c r="H147" s="77" t="inlineStr">
        <is>
          <t>Personal Reasons</t>
        </is>
      </c>
      <c r="I147" s="77" t="inlineStr">
        <is>
          <t>Sherri McMahon</t>
        </is>
      </c>
      <c r="J147" s="77" t="n"/>
      <c r="K147" s="77" t="inlineStr">
        <is>
          <t>DSP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Jadaya Felton</t>
        </is>
      </c>
      <c r="B148" s="112" t="n">
        <v>45427</v>
      </c>
      <c r="C148" s="80" t="n"/>
      <c r="D148" s="80" t="inlineStr">
        <is>
          <t>1 year and 11 months</t>
        </is>
      </c>
      <c r="E148" s="80" t="inlineStr">
        <is>
          <t>Yes</t>
        </is>
      </c>
      <c r="F148" s="80" t="inlineStr">
        <is>
          <t>U</t>
        </is>
      </c>
      <c r="G148" s="80" t="inlineStr">
        <is>
          <t>Hamilton A</t>
        </is>
      </c>
      <c r="H148" s="80" t="inlineStr">
        <is>
          <t>Better Opportunity</t>
        </is>
      </c>
      <c r="I148" s="80" t="inlineStr">
        <is>
          <t>Rebecca Smith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Shaelynn Wilson</t>
        </is>
      </c>
      <c r="B149" s="111" t="n">
        <v>45428</v>
      </c>
      <c r="C149" s="77" t="n"/>
      <c r="D149" s="77" t="inlineStr">
        <is>
          <t>1 year and 10months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Workforce Development</t>
        </is>
      </c>
      <c r="H149" s="77" t="inlineStr">
        <is>
          <t>Termination</t>
        </is>
      </c>
      <c r="I149" s="77" t="inlineStr">
        <is>
          <t>Andrew Ramsey</t>
        </is>
      </c>
      <c r="J149" s="77" t="n"/>
      <c r="K149" s="77" t="inlineStr">
        <is>
          <t>DSP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Robin Spencer</t>
        </is>
      </c>
      <c r="B150" s="112" t="n">
        <v>45428</v>
      </c>
      <c r="C150" s="80" t="n"/>
      <c r="D150" s="80" t="inlineStr">
        <is>
          <t>1 year and 3 months</t>
        </is>
      </c>
      <c r="E150" s="80" t="inlineStr">
        <is>
          <t>No</t>
        </is>
      </c>
      <c r="F150" s="80" t="inlineStr">
        <is>
          <t>U</t>
        </is>
      </c>
      <c r="G150" s="80" t="inlineStr">
        <is>
          <t>Hamilton A</t>
        </is>
      </c>
      <c r="H150" s="80" t="inlineStr">
        <is>
          <t>Personal Reasons</t>
        </is>
      </c>
      <c r="I150" s="80" t="inlineStr">
        <is>
          <t>Rebecca Smith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Dustin Phillips</t>
        </is>
      </c>
      <c r="B151" s="111" t="n">
        <v>45434</v>
      </c>
      <c r="C151" s="77" t="n"/>
      <c r="D151" s="77" t="inlineStr">
        <is>
          <t>6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Facilities</t>
        </is>
      </c>
      <c r="H151" s="77" t="inlineStr">
        <is>
          <t>Termination</t>
        </is>
      </c>
      <c r="I151" s="77" t="inlineStr">
        <is>
          <t>Kevin Hicks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Emily Vega</t>
        </is>
      </c>
      <c r="B152" s="112" t="n">
        <v>45436</v>
      </c>
      <c r="C152" s="80" t="n"/>
      <c r="D152" s="80" t="inlineStr">
        <is>
          <t>5 months</t>
        </is>
      </c>
      <c r="E152" s="80" t="inlineStr">
        <is>
          <t>No</t>
        </is>
      </c>
      <c r="F152" s="80" t="inlineStr">
        <is>
          <t>U</t>
        </is>
      </c>
      <c r="G152" s="80" t="inlineStr">
        <is>
          <t>164 Wadsworth</t>
        </is>
      </c>
      <c r="H152" s="80" t="inlineStr">
        <is>
          <t>Personal Reasons</t>
        </is>
      </c>
      <c r="I152" s="80" t="inlineStr">
        <is>
          <t>Kayla Birdsell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Belinda Ferguson</t>
        </is>
      </c>
      <c r="B153" s="111" t="n">
        <v>45438</v>
      </c>
      <c r="C153" s="77" t="n"/>
      <c r="D153" s="77" t="inlineStr">
        <is>
          <t>5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Hamilton B</t>
        </is>
      </c>
      <c r="H153" s="77" t="inlineStr">
        <is>
          <t>Relocation</t>
        </is>
      </c>
      <c r="I153" s="77" t="inlineStr">
        <is>
          <t>Rebecca Smith</t>
        </is>
      </c>
      <c r="J153" s="77" t="n"/>
      <c r="K153" s="77" t="inlineStr">
        <is>
          <t>DSP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Tamara Robinson</t>
        </is>
      </c>
      <c r="B154" s="112" t="n">
        <v>45438</v>
      </c>
      <c r="C154" s="80" t="n"/>
      <c r="D154" s="80" t="inlineStr">
        <is>
          <t>2 months</t>
        </is>
      </c>
      <c r="E154" s="80" t="inlineStr">
        <is>
          <t>No</t>
        </is>
      </c>
      <c r="F154" s="80" t="inlineStr">
        <is>
          <t>U</t>
        </is>
      </c>
      <c r="G154" s="80" t="inlineStr">
        <is>
          <t>Herbert Heidel</t>
        </is>
      </c>
      <c r="H154" s="80" t="inlineStr">
        <is>
          <t>Personal Reasons</t>
        </is>
      </c>
      <c r="I154" s="80" t="inlineStr">
        <is>
          <t>Kasey Foster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Ambriana Arnold</t>
        </is>
      </c>
      <c r="B155" s="111" t="n">
        <v>45440</v>
      </c>
      <c r="C155" s="77" t="n"/>
      <c r="D155" s="77" t="inlineStr">
        <is>
          <t>2 weeks</t>
        </is>
      </c>
      <c r="E155" s="77" t="inlineStr">
        <is>
          <t>No</t>
        </is>
      </c>
      <c r="F155" s="77" t="inlineStr">
        <is>
          <t>U</t>
        </is>
      </c>
      <c r="G155" s="77" t="inlineStr">
        <is>
          <t>Willow Run</t>
        </is>
      </c>
      <c r="H155" s="77" t="inlineStr">
        <is>
          <t>Performance Issues</t>
        </is>
      </c>
      <c r="I155" s="77" t="inlineStr">
        <is>
          <t>Kayla Birdsell</t>
        </is>
      </c>
      <c r="J155" s="77" t="n"/>
      <c r="K155" s="77" t="inlineStr">
        <is>
          <t>DSP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Margie Carter</t>
        </is>
      </c>
      <c r="B156" s="112" t="n">
        <v>45441</v>
      </c>
      <c r="C156" s="80" t="n"/>
      <c r="D156" s="80" t="inlineStr">
        <is>
          <t>2 years and 3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911 BP/207 Wadsworth</t>
        </is>
      </c>
      <c r="H156" s="80" t="inlineStr">
        <is>
          <t>Better Opportunity</t>
        </is>
      </c>
      <c r="I156" s="80" t="inlineStr">
        <is>
          <t>Breenan McMurray</t>
        </is>
      </c>
      <c r="J156" s="80" t="n"/>
      <c r="K156" s="80" t="inlineStr">
        <is>
          <t>HM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Claudia Eastland</t>
        </is>
      </c>
      <c r="B157" s="111" t="n">
        <v>45443</v>
      </c>
      <c r="C157" s="77" t="n"/>
      <c r="D157" s="77" t="inlineStr">
        <is>
          <t>1 year</t>
        </is>
      </c>
      <c r="E157" s="77" t="inlineStr">
        <is>
          <t>Yes</t>
        </is>
      </c>
      <c r="F157" s="77" t="inlineStr">
        <is>
          <t>U</t>
        </is>
      </c>
      <c r="G157" s="77" t="inlineStr">
        <is>
          <t>Behavioral Health</t>
        </is>
      </c>
      <c r="H157" s="77" t="inlineStr">
        <is>
          <t>Relocation</t>
        </is>
      </c>
      <c r="I157" s="77" t="inlineStr">
        <is>
          <t>Crystal Hicks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Jeninne Amburgey</t>
        </is>
      </c>
      <c r="B158" s="112" t="n">
        <v>45443</v>
      </c>
      <c r="C158" s="80" t="n"/>
      <c r="D158" s="80" t="inlineStr">
        <is>
          <t>2 months</t>
        </is>
      </c>
      <c r="E158" s="80" t="inlineStr">
        <is>
          <t>Yes</t>
        </is>
      </c>
      <c r="F158" s="80" t="inlineStr">
        <is>
          <t>U</t>
        </is>
      </c>
      <c r="G158" s="80" t="inlineStr">
        <is>
          <t>EI</t>
        </is>
      </c>
      <c r="H158" s="80" t="inlineStr">
        <is>
          <t>Better Opportunity</t>
        </is>
      </c>
      <c r="I158" s="80" t="inlineStr">
        <is>
          <t>Chase Davenport</t>
        </is>
      </c>
      <c r="J158" s="80" t="n"/>
      <c r="K158" s="80" t="inlineStr">
        <is>
          <t>EI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Kristen Coley</t>
        </is>
      </c>
      <c r="B159" s="111" t="n">
        <v>45440</v>
      </c>
      <c r="C159" s="77" t="n"/>
      <c r="D159" s="77" t="inlineStr">
        <is>
          <t>1 month</t>
        </is>
      </c>
      <c r="E159" s="77" t="inlineStr">
        <is>
          <t>No</t>
        </is>
      </c>
      <c r="F159" s="77" t="inlineStr">
        <is>
          <t>U</t>
        </is>
      </c>
      <c r="G159" s="77" t="inlineStr">
        <is>
          <t>N. Purude</t>
        </is>
      </c>
      <c r="H159" s="77" t="inlineStr">
        <is>
          <t>Personal Reasons</t>
        </is>
      </c>
      <c r="I159" s="77" t="inlineStr">
        <is>
          <t>Kayla Birdsell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Faustin Busane</t>
        </is>
      </c>
      <c r="B160" s="112" t="n">
        <v>45442</v>
      </c>
      <c r="C160" s="80" t="n"/>
      <c r="D160" s="80" t="inlineStr">
        <is>
          <t>1 year and 8 months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Sapphire</t>
        </is>
      </c>
      <c r="H160" s="80" t="inlineStr">
        <is>
          <t>Termination</t>
        </is>
      </c>
      <c r="I160" s="80" t="inlineStr">
        <is>
          <t>Rebecca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Syble Hester</t>
        </is>
      </c>
      <c r="B161" s="111" t="n">
        <v>45442</v>
      </c>
      <c r="C161" s="77" t="n"/>
      <c r="D161" s="77" t="inlineStr">
        <is>
          <t>1 week</t>
        </is>
      </c>
      <c r="E161" s="77" t="inlineStr">
        <is>
          <t>Yes</t>
        </is>
      </c>
      <c r="F161" s="77" t="inlineStr">
        <is>
          <t>U</t>
        </is>
      </c>
      <c r="G161" s="77" t="inlineStr">
        <is>
          <t>Robert Bunch</t>
        </is>
      </c>
      <c r="H161" s="77" t="inlineStr">
        <is>
          <t>Job Abandonment</t>
        </is>
      </c>
      <c r="I161" s="77" t="inlineStr">
        <is>
          <t>Kasey Foster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2024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  <c r="N178" t="inlineStr">
        <is>
          <t>Synced To Hub</t>
        </is>
      </c>
      <c r="O178" t="inlineStr">
        <is>
          <t>Do Not Sync</t>
        </is>
      </c>
    </row>
    <row r="179" ht="15" customHeight="1">
      <c r="A179" s="77" t="inlineStr">
        <is>
          <t>Erica Peters</t>
        </is>
      </c>
      <c r="B179" s="111" t="n">
        <v>45447</v>
      </c>
      <c r="C179" s="77" t="n"/>
      <c r="D179" s="77" t="inlineStr">
        <is>
          <t>1 month</t>
        </is>
      </c>
      <c r="E179" s="77" t="inlineStr">
        <is>
          <t>No</t>
        </is>
      </c>
      <c r="F179" s="77" t="inlineStr">
        <is>
          <t>U</t>
        </is>
      </c>
      <c r="G179" s="77" t="inlineStr">
        <is>
          <t>911 Bristol Park</t>
        </is>
      </c>
      <c r="H179" s="77" t="inlineStr">
        <is>
          <t>Performance Issues</t>
        </is>
      </c>
      <c r="I179" s="77" t="inlineStr">
        <is>
          <t>Kayla Birdsell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Gabriela Minor</t>
        </is>
      </c>
      <c r="B180" s="112" t="n">
        <v>45447</v>
      </c>
      <c r="C180" s="80" t="n"/>
      <c r="D180" s="80" t="inlineStr">
        <is>
          <t>1 week</t>
        </is>
      </c>
      <c r="E180" s="80" t="inlineStr">
        <is>
          <t>No</t>
        </is>
      </c>
      <c r="F180" s="80" t="inlineStr">
        <is>
          <t>U</t>
        </is>
      </c>
      <c r="G180" s="80" t="inlineStr">
        <is>
          <t>ELC</t>
        </is>
      </c>
      <c r="H180" s="80" t="inlineStr">
        <is>
          <t>Other</t>
        </is>
      </c>
      <c r="I180" s="80" t="inlineStr">
        <is>
          <t>Brittany Webb</t>
        </is>
      </c>
      <c r="J180" s="80" t="n"/>
      <c r="K180" s="80" t="inlineStr">
        <is>
          <t>Director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Charisma Nelson</t>
        </is>
      </c>
      <c r="B181" s="111" t="n">
        <v>45448</v>
      </c>
      <c r="C181" s="77" t="n"/>
      <c r="D181" s="77" t="inlineStr">
        <is>
          <t>6 weeks</t>
        </is>
      </c>
      <c r="E181" s="77" t="inlineStr">
        <is>
          <t>No</t>
        </is>
      </c>
      <c r="F181" s="77" t="inlineStr">
        <is>
          <t>U</t>
        </is>
      </c>
      <c r="G181" s="77" t="inlineStr">
        <is>
          <t>Dalton</t>
        </is>
      </c>
      <c r="H181" s="77" t="inlineStr">
        <is>
          <t>Termination</t>
        </is>
      </c>
      <c r="I181" s="77" t="inlineStr">
        <is>
          <t>Brennan McMurray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Sitaly Bailey</t>
        </is>
      </c>
      <c r="B182" s="112" t="n">
        <v>45450</v>
      </c>
      <c r="C182" s="80" t="n"/>
      <c r="D182" s="80" t="inlineStr">
        <is>
          <t>3 weeks</t>
        </is>
      </c>
      <c r="E182" s="80" t="inlineStr">
        <is>
          <t>No</t>
        </is>
      </c>
      <c r="F182" s="80" t="inlineStr">
        <is>
          <t>U</t>
        </is>
      </c>
      <c r="G182" s="80" t="inlineStr">
        <is>
          <t>Hamilton B</t>
        </is>
      </c>
      <c r="H182" s="80" t="inlineStr">
        <is>
          <t>Performance Issues</t>
        </is>
      </c>
      <c r="I182" s="80" t="inlineStr">
        <is>
          <t>Rebecca Smith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Kaylynn Willis</t>
        </is>
      </c>
      <c r="B183" s="111" t="n">
        <v>45455</v>
      </c>
      <c r="C183" s="77" t="n"/>
      <c r="D183" s="77" t="inlineStr">
        <is>
          <t>6 weeks</t>
        </is>
      </c>
      <c r="E183" s="77" t="inlineStr">
        <is>
          <t>No</t>
        </is>
      </c>
      <c r="F183" s="77" t="inlineStr">
        <is>
          <t>U</t>
        </is>
      </c>
      <c r="G183" s="77" t="inlineStr">
        <is>
          <t>Hamilton B</t>
        </is>
      </c>
      <c r="H183" s="77" t="inlineStr">
        <is>
          <t>Job Abandonment</t>
        </is>
      </c>
      <c r="I183" s="77" t="inlineStr">
        <is>
          <t>Rebecca Smith</t>
        </is>
      </c>
      <c r="J183" s="77" t="n"/>
      <c r="K183" s="77" t="inlineStr">
        <is>
          <t>DSP</t>
        </is>
      </c>
      <c r="L183" s="77" t="n"/>
      <c r="M183" s="102">
        <f>IFERROR(VLOOKUP(G183,Reference!$I$2:$J$175,2,FALSE()),"Operations")</f>
        <v/>
      </c>
    </row>
    <row r="184" ht="15" customHeight="1">
      <c r="A184" s="80" t="inlineStr">
        <is>
          <t>Chaunoa Austin</t>
        </is>
      </c>
      <c r="B184" s="112" t="n">
        <v>45457</v>
      </c>
      <c r="C184" s="80" t="n"/>
      <c r="D184" s="80" t="inlineStr">
        <is>
          <t>1 year and 8 months</t>
        </is>
      </c>
      <c r="E184" s="80" t="inlineStr">
        <is>
          <t>Yes</t>
        </is>
      </c>
      <c r="F184" s="80" t="inlineStr">
        <is>
          <t>U</t>
        </is>
      </c>
      <c r="G184" s="80" t="inlineStr">
        <is>
          <t>ELC</t>
        </is>
      </c>
      <c r="H184" s="80" t="inlineStr">
        <is>
          <t>Personal Reasons</t>
        </is>
      </c>
      <c r="I184" s="80" t="inlineStr">
        <is>
          <t>Brittany Webb</t>
        </is>
      </c>
      <c r="J184" s="80" t="n"/>
      <c r="K184" s="80" t="inlineStr">
        <is>
          <t>Assistant Teacher</t>
        </is>
      </c>
      <c r="L184" s="80" t="n"/>
      <c r="M184" s="105">
        <f>IFERROR(VLOOKUP(G184,Reference!$I$2:$J$175,2,FALSE()),"Operations")</f>
        <v/>
      </c>
    </row>
    <row r="185" ht="15" customHeight="1">
      <c r="A185" s="77" t="inlineStr">
        <is>
          <t>Robert Damen</t>
        </is>
      </c>
      <c r="B185" s="111" t="n">
        <v>45457</v>
      </c>
      <c r="C185" s="77" t="n"/>
      <c r="D185" s="77" t="inlineStr">
        <is>
          <t>4 months</t>
        </is>
      </c>
      <c r="E185" s="77" t="inlineStr">
        <is>
          <t>No</t>
        </is>
      </c>
      <c r="F185" s="77" t="inlineStr">
        <is>
          <t>U</t>
        </is>
      </c>
      <c r="G185" s="77" t="inlineStr">
        <is>
          <t>Livingston</t>
        </is>
      </c>
      <c r="H185" s="77" t="inlineStr">
        <is>
          <t>Performance Issues</t>
        </is>
      </c>
      <c r="I185" s="77" t="inlineStr">
        <is>
          <t>Sherri McMahan</t>
        </is>
      </c>
      <c r="J185" s="77" t="n"/>
      <c r="K185" s="77" t="inlineStr">
        <is>
          <t>DSP</t>
        </is>
      </c>
      <c r="L185" s="77" t="n"/>
      <c r="M185" s="102">
        <f>IFERROR(VLOOKUP(G185,Reference!$I$2:$J$175,2,FALSE()),"Operations")</f>
        <v/>
      </c>
    </row>
    <row r="186" ht="15" customHeight="1">
      <c r="A186" s="80" t="inlineStr">
        <is>
          <t>Maria Gamache</t>
        </is>
      </c>
      <c r="B186" s="112" t="n">
        <v>45457</v>
      </c>
      <c r="C186" s="80" t="n"/>
      <c r="D186" s="80" t="inlineStr">
        <is>
          <t>3 weeks</t>
        </is>
      </c>
      <c r="E186" s="80" t="inlineStr">
        <is>
          <t>No</t>
        </is>
      </c>
      <c r="F186" s="80" t="inlineStr">
        <is>
          <t>U</t>
        </is>
      </c>
      <c r="G186" s="80" t="inlineStr">
        <is>
          <t>Robert Bunch</t>
        </is>
      </c>
      <c r="H186" s="80" t="inlineStr">
        <is>
          <t>Other</t>
        </is>
      </c>
      <c r="I186" s="80" t="inlineStr">
        <is>
          <t>Kasey Foster</t>
        </is>
      </c>
      <c r="J186" s="80" t="n"/>
      <c r="K186" s="80" t="inlineStr">
        <is>
          <t>DSP</t>
        </is>
      </c>
      <c r="L186" s="80" t="n"/>
      <c r="M186" s="105">
        <f>IFERROR(VLOOKUP(G186,Reference!$I$2:$J$175,2,FALSE()),"Operations")</f>
        <v/>
      </c>
    </row>
    <row r="187" ht="15" customHeight="1">
      <c r="A187" s="77" t="inlineStr">
        <is>
          <t>Jonah Mesa</t>
        </is>
      </c>
      <c r="B187" s="111" t="n">
        <v>45459</v>
      </c>
      <c r="C187" s="77" t="n"/>
      <c r="D187" s="77" t="inlineStr">
        <is>
          <t>8 months</t>
        </is>
      </c>
      <c r="E187" s="77" t="inlineStr">
        <is>
          <t>Yes</t>
        </is>
      </c>
      <c r="F187" s="77" t="inlineStr">
        <is>
          <t>U</t>
        </is>
      </c>
      <c r="G187" s="77" t="inlineStr">
        <is>
          <t>131 Wadsworth</t>
        </is>
      </c>
      <c r="H187" s="77" t="inlineStr">
        <is>
          <t>Other</t>
        </is>
      </c>
      <c r="I187" s="77" t="inlineStr">
        <is>
          <t>Kasey Foster</t>
        </is>
      </c>
      <c r="J187" s="77" t="n"/>
      <c r="K187" s="77" t="inlineStr">
        <is>
          <t>DSP</t>
        </is>
      </c>
      <c r="L187" s="77" t="n"/>
      <c r="M187" s="102">
        <f>IFERROR(VLOOKUP(G187,Reference!$I$2:$J$175,2,FALSE()),"Operations")</f>
        <v/>
      </c>
    </row>
    <row r="188" ht="15" customHeight="1">
      <c r="A188" s="80" t="inlineStr">
        <is>
          <t>Rebecca Ford</t>
        </is>
      </c>
      <c r="B188" s="112" t="n">
        <v>45463</v>
      </c>
      <c r="C188" s="80" t="n"/>
      <c r="D188" s="80" t="inlineStr">
        <is>
          <t>9 months</t>
        </is>
      </c>
      <c r="E188" s="80" t="inlineStr">
        <is>
          <t>Yes</t>
        </is>
      </c>
      <c r="F188" s="80" t="inlineStr">
        <is>
          <t>U</t>
        </is>
      </c>
      <c r="G188" s="80" t="inlineStr">
        <is>
          <t>Workforce Development</t>
        </is>
      </c>
      <c r="H188" s="80" t="inlineStr">
        <is>
          <t>Relocation</t>
        </is>
      </c>
      <c r="I188" s="80" t="inlineStr">
        <is>
          <t>Miranda McClain</t>
        </is>
      </c>
      <c r="J188" s="80" t="n"/>
      <c r="K188" s="80" t="inlineStr">
        <is>
          <t>Job Coach/WI</t>
        </is>
      </c>
      <c r="L188" s="80" t="n"/>
      <c r="M188" s="105">
        <f>IFERROR(VLOOKUP(G188,Reference!$I$2:$J$175,2,FALSE()),"Operations")</f>
        <v/>
      </c>
    </row>
    <row r="189" ht="15" customHeight="1">
      <c r="A189" s="77" t="inlineStr">
        <is>
          <t>Ieshia Presnell</t>
        </is>
      </c>
      <c r="B189" s="111" t="n">
        <v>45464</v>
      </c>
      <c r="C189" s="77" t="n"/>
      <c r="D189" s="77" t="inlineStr">
        <is>
          <t>5 months</t>
        </is>
      </c>
      <c r="E189" s="77" t="inlineStr">
        <is>
          <t>No</t>
        </is>
      </c>
      <c r="F189" s="77" t="inlineStr">
        <is>
          <t>D</t>
        </is>
      </c>
      <c r="G189" s="77" t="inlineStr">
        <is>
          <t>2290 Turnpike</t>
        </is>
      </c>
      <c r="H189" s="77" t="inlineStr">
        <is>
          <t>Termination</t>
        </is>
      </c>
      <c r="I189" s="77" t="inlineStr">
        <is>
          <t>Brennan McMurray</t>
        </is>
      </c>
      <c r="J189" s="77" t="n"/>
      <c r="K189" s="77" t="inlineStr">
        <is>
          <t>DSP</t>
        </is>
      </c>
      <c r="L189" s="77" t="n"/>
      <c r="M189" s="102">
        <f>IFERROR(VLOOKUP(G189,Reference!$I$2:$J$175,2,FALSE()),"Operations")</f>
        <v/>
      </c>
    </row>
    <row r="190" ht="15" customHeight="1">
      <c r="A190" s="80" t="inlineStr">
        <is>
          <t>Lindsey Weatherford</t>
        </is>
      </c>
      <c r="B190" s="112" t="n">
        <v>45470</v>
      </c>
      <c r="C190" s="80" t="n"/>
      <c r="D190" s="80" t="inlineStr">
        <is>
          <t>3 weeks</t>
        </is>
      </c>
      <c r="E190" s="80" t="inlineStr">
        <is>
          <t>No</t>
        </is>
      </c>
      <c r="F190" s="80" t="inlineStr">
        <is>
          <t>D</t>
        </is>
      </c>
      <c r="G190" s="80" t="inlineStr">
        <is>
          <t>ELC</t>
        </is>
      </c>
      <c r="H190" s="80" t="inlineStr">
        <is>
          <t>Other</t>
        </is>
      </c>
      <c r="I190" s="80" t="inlineStr">
        <is>
          <t>Brittany Webb</t>
        </is>
      </c>
      <c r="J190" s="80" t="n"/>
      <c r="K190" s="80" t="inlineStr">
        <is>
          <t>Assistant Teacher</t>
        </is>
      </c>
      <c r="L190" s="80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2024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  <c r="N212" t="inlineStr">
        <is>
          <t>Synced To Hub</t>
        </is>
      </c>
      <c r="O212" t="inlineStr">
        <is>
          <t>Do Not Sync</t>
        </is>
      </c>
    </row>
    <row r="213" ht="15" customHeight="1">
      <c r="A213" s="77" t="inlineStr">
        <is>
          <t>Antonio Cleveland</t>
        </is>
      </c>
      <c r="B213" s="111" t="n">
        <v>45474</v>
      </c>
      <c r="C213" s="77" t="n"/>
      <c r="D213" s="77" t="inlineStr">
        <is>
          <t>3 years and 6 months</t>
        </is>
      </c>
      <c r="E213" s="77" t="inlineStr">
        <is>
          <t>No</t>
        </is>
      </c>
      <c r="F213" s="77" t="inlineStr">
        <is>
          <t>U</t>
        </is>
      </c>
      <c r="G213" s="77" t="inlineStr">
        <is>
          <t>Superimposed</t>
        </is>
      </c>
      <c r="H213" s="77" t="inlineStr">
        <is>
          <t>Better Opportunity</t>
        </is>
      </c>
      <c r="I213" s="77" t="inlineStr">
        <is>
          <t>Rebecca Smith</t>
        </is>
      </c>
      <c r="J213" s="77" t="n"/>
      <c r="K213" s="77" t="inlineStr">
        <is>
          <t>HM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Carmen Webb</t>
        </is>
      </c>
      <c r="B214" s="112" t="n">
        <v>45474</v>
      </c>
      <c r="C214" s="80" t="n"/>
      <c r="D214" s="80" t="inlineStr">
        <is>
          <t>3 and 1/2 months</t>
        </is>
      </c>
      <c r="E214" s="80" t="inlineStr">
        <is>
          <t>No</t>
        </is>
      </c>
      <c r="F214" s="80" t="inlineStr">
        <is>
          <t>U</t>
        </is>
      </c>
      <c r="G214" s="80" t="inlineStr">
        <is>
          <t>ECF</t>
        </is>
      </c>
      <c r="H214" s="80" t="inlineStr">
        <is>
          <t>Personal Reasons</t>
        </is>
      </c>
      <c r="I214" s="80" t="inlineStr">
        <is>
          <t>Andrew Ramsey</t>
        </is>
      </c>
      <c r="J214" s="80" t="n"/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Calleigh Leighner</t>
        </is>
      </c>
      <c r="B215" s="111" t="n">
        <v>45474</v>
      </c>
      <c r="C215" s="77" t="n"/>
      <c r="D215" s="77" t="inlineStr">
        <is>
          <t>1 week</t>
        </is>
      </c>
      <c r="E215" s="77" t="inlineStr">
        <is>
          <t>Yes</t>
        </is>
      </c>
      <c r="F215" s="77" t="inlineStr">
        <is>
          <t>U</t>
        </is>
      </c>
      <c r="G215" s="77" t="inlineStr">
        <is>
          <t>Hamilton A</t>
        </is>
      </c>
      <c r="H215" s="77" t="inlineStr">
        <is>
          <t>Relocation</t>
        </is>
      </c>
      <c r="I215" s="77" t="inlineStr">
        <is>
          <t>Rebecca Smith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Destiny Crisswell</t>
        </is>
      </c>
      <c r="B216" s="112" t="n">
        <v>45474</v>
      </c>
      <c r="C216" s="80" t="n"/>
      <c r="D216" s="80" t="inlineStr">
        <is>
          <t>3 and 1/2 months</t>
        </is>
      </c>
      <c r="E216" s="80" t="inlineStr">
        <is>
          <t>No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Brennan McMurray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Michelle Vaught</t>
        </is>
      </c>
      <c r="B217" s="111" t="n">
        <v>45475</v>
      </c>
      <c r="C217" s="77" t="n"/>
      <c r="D217" s="77" t="inlineStr">
        <is>
          <t>11 1/2 months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1113 McAdoo</t>
        </is>
      </c>
      <c r="H217" s="77" t="inlineStr">
        <is>
          <t>Better Opportunity</t>
        </is>
      </c>
      <c r="I217" s="77" t="inlineStr">
        <is>
          <t>Sherri McMahan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Chris McCoy</t>
        </is>
      </c>
      <c r="B218" s="112" t="n">
        <v>45488</v>
      </c>
      <c r="C218" s="80" t="n"/>
      <c r="D218" s="80" t="inlineStr">
        <is>
          <t>6 weeks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Four Mile</t>
        </is>
      </c>
      <c r="H218" s="80" t="inlineStr">
        <is>
          <t>Job Abandonment</t>
        </is>
      </c>
      <c r="I218" s="80" t="inlineStr">
        <is>
          <t>Brennan McMurray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Jermaine Reynolds</t>
        </is>
      </c>
      <c r="B219" s="111" t="n">
        <v>45489</v>
      </c>
      <c r="C219" s="77" t="n"/>
      <c r="D219" s="77" t="inlineStr">
        <is>
          <t>2 and 1/2 months</t>
        </is>
      </c>
      <c r="E219" s="77" t="inlineStr">
        <is>
          <t>No</t>
        </is>
      </c>
      <c r="F219" s="77" t="inlineStr">
        <is>
          <t>U</t>
        </is>
      </c>
      <c r="G219" s="77" t="inlineStr">
        <is>
          <t>1113 McAdoo</t>
        </is>
      </c>
      <c r="H219" s="77" t="inlineStr">
        <is>
          <t>Job Abandonment</t>
        </is>
      </c>
      <c r="I219" s="77" t="inlineStr">
        <is>
          <t>Rebecca Smith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Tim Stewart</t>
        </is>
      </c>
      <c r="B220" s="112" t="n">
        <v>45490</v>
      </c>
      <c r="C220" s="80" t="n"/>
      <c r="D220" s="80" t="inlineStr">
        <is>
          <t>1 year and 11 months</t>
        </is>
      </c>
      <c r="E220" s="80" t="inlineStr">
        <is>
          <t>No</t>
        </is>
      </c>
      <c r="F220" s="80" t="inlineStr">
        <is>
          <t>U</t>
        </is>
      </c>
      <c r="G220" s="80" t="inlineStr">
        <is>
          <t>Herbert Heidel</t>
        </is>
      </c>
      <c r="H220" s="80" t="inlineStr">
        <is>
          <t>Better Opportunity</t>
        </is>
      </c>
      <c r="I220" s="80" t="inlineStr">
        <is>
          <t>Kasey Foster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Briana Kirkland</t>
        </is>
      </c>
      <c r="B221" s="111" t="n">
        <v>45491</v>
      </c>
      <c r="C221" s="77" t="n"/>
      <c r="D221" s="77" t="inlineStr">
        <is>
          <t>3 weeks</t>
        </is>
      </c>
      <c r="E221" s="77" t="inlineStr">
        <is>
          <t>No</t>
        </is>
      </c>
      <c r="F221" s="77" t="inlineStr">
        <is>
          <t>D</t>
        </is>
      </c>
      <c r="G221" s="77" t="inlineStr">
        <is>
          <t>Superimposed</t>
        </is>
      </c>
      <c r="H221" s="77" t="inlineStr">
        <is>
          <t>Termination</t>
        </is>
      </c>
      <c r="I221" s="77" t="inlineStr">
        <is>
          <t>Rebecca Smith</t>
        </is>
      </c>
      <c r="J221" s="77" t="n"/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Hannah Roberston</t>
        </is>
      </c>
      <c r="B222" s="112" t="n">
        <v>45495</v>
      </c>
      <c r="C222" s="80" t="n"/>
      <c r="D222" s="80" t="inlineStr">
        <is>
          <t>10 months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2292 Turnpike</t>
        </is>
      </c>
      <c r="H222" s="80" t="inlineStr">
        <is>
          <t>Job Abandonment</t>
        </is>
      </c>
      <c r="I222" s="80" t="inlineStr">
        <is>
          <t>Brennan McMurray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Markee Scales</t>
        </is>
      </c>
      <c r="B223" s="111" t="n">
        <v>45495</v>
      </c>
      <c r="C223" s="77" t="n"/>
      <c r="D223" s="77" t="inlineStr">
        <is>
          <t>3 months</t>
        </is>
      </c>
      <c r="E223" s="77" t="inlineStr">
        <is>
          <t>No</t>
        </is>
      </c>
      <c r="F223" s="77" t="inlineStr">
        <is>
          <t>U</t>
        </is>
      </c>
      <c r="G223" s="77" t="inlineStr">
        <is>
          <t>Sapphire</t>
        </is>
      </c>
      <c r="H223" s="77" t="inlineStr">
        <is>
          <t>Better Opportunity</t>
        </is>
      </c>
      <c r="I223" s="77" t="inlineStr">
        <is>
          <t>Rebecca Smith</t>
        </is>
      </c>
      <c r="J223" s="77" t="n"/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Miracle Stewart</t>
        </is>
      </c>
      <c r="B224" s="112" t="n">
        <v>45497</v>
      </c>
      <c r="C224" s="80" t="n"/>
      <c r="D224" s="80" t="inlineStr">
        <is>
          <t>4 weeks</t>
        </is>
      </c>
      <c r="E224" s="80" t="inlineStr">
        <is>
          <t>Yes</t>
        </is>
      </c>
      <c r="F224" s="80" t="inlineStr">
        <is>
          <t>U</t>
        </is>
      </c>
      <c r="G224" s="80" t="inlineStr">
        <is>
          <t>Workforce Development</t>
        </is>
      </c>
      <c r="H224" s="80" t="inlineStr">
        <is>
          <t>Personal Reasons</t>
        </is>
      </c>
      <c r="I224" s="80" t="inlineStr">
        <is>
          <t>Miranda Kelley</t>
        </is>
      </c>
      <c r="J224" s="80" t="n"/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Jessica Borsick</t>
        </is>
      </c>
      <c r="B225" s="111" t="n">
        <v>45499</v>
      </c>
      <c r="C225" s="77" t="n"/>
      <c r="D225" s="77" t="inlineStr">
        <is>
          <t>2 weeks</t>
        </is>
      </c>
      <c r="E225" s="77" t="inlineStr">
        <is>
          <t>Yes</t>
        </is>
      </c>
      <c r="F225" s="77" t="inlineStr">
        <is>
          <t>U</t>
        </is>
      </c>
      <c r="G225" s="77" t="inlineStr">
        <is>
          <t>Robert Bunch</t>
        </is>
      </c>
      <c r="H225" s="77" t="inlineStr">
        <is>
          <t>Other</t>
        </is>
      </c>
      <c r="I225" s="77" t="inlineStr">
        <is>
          <t>Kasey Foster</t>
        </is>
      </c>
      <c r="J225" s="77" t="n"/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2024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  <c r="N246" t="inlineStr">
        <is>
          <t>Synced To Hub</t>
        </is>
      </c>
      <c r="O246" t="inlineStr">
        <is>
          <t>Do Not Sync</t>
        </is>
      </c>
    </row>
    <row r="247" ht="15" customHeight="1">
      <c r="A247" s="77" t="inlineStr">
        <is>
          <t>Blasia Lackey</t>
        </is>
      </c>
      <c r="B247" s="111" t="n">
        <v>45505</v>
      </c>
      <c r="C247" s="77" t="n"/>
      <c r="D247" s="77" t="inlineStr">
        <is>
          <t>1 week</t>
        </is>
      </c>
      <c r="E247" s="77" t="inlineStr">
        <is>
          <t>No</t>
        </is>
      </c>
      <c r="F247" s="77" t="inlineStr">
        <is>
          <t>U</t>
        </is>
      </c>
      <c r="G247" s="77" t="inlineStr">
        <is>
          <t>Residential</t>
        </is>
      </c>
      <c r="H247" s="77" t="inlineStr">
        <is>
          <t>Job Abandonment</t>
        </is>
      </c>
      <c r="I247" s="77" t="inlineStr">
        <is>
          <t>Rebecca Smith</t>
        </is>
      </c>
      <c r="J247" s="77" t="n"/>
      <c r="K247" s="77" t="inlineStr">
        <is>
          <t>DSP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Christopher Ouoma</t>
        </is>
      </c>
      <c r="B248" s="112" t="n">
        <v>45505</v>
      </c>
      <c r="C248" s="80" t="n"/>
      <c r="D248" s="80" t="inlineStr">
        <is>
          <t>2 years and 11 months</t>
        </is>
      </c>
      <c r="E248" s="80" t="inlineStr">
        <is>
          <t>No</t>
        </is>
      </c>
      <c r="F248" s="80" t="inlineStr">
        <is>
          <t>D</t>
        </is>
      </c>
      <c r="G248" s="80" t="inlineStr">
        <is>
          <t>Residential</t>
        </is>
      </c>
      <c r="H248" s="80" t="inlineStr">
        <is>
          <t>Termination</t>
        </is>
      </c>
      <c r="I248" s="80" t="inlineStr">
        <is>
          <t>Rebecca Smith</t>
        </is>
      </c>
      <c r="J248" s="80" t="n"/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Cyndey Burris</t>
        </is>
      </c>
      <c r="B249" s="111" t="n">
        <v>45507</v>
      </c>
      <c r="C249" s="77" t="n"/>
      <c r="D249" s="77" t="inlineStr">
        <is>
          <t>3 years and 10 months</t>
        </is>
      </c>
      <c r="E249" s="77" t="inlineStr">
        <is>
          <t>Yes</t>
        </is>
      </c>
      <c r="F249" s="77" t="inlineStr">
        <is>
          <t>U</t>
        </is>
      </c>
      <c r="G249" s="77" t="inlineStr">
        <is>
          <t>Ulena</t>
        </is>
      </c>
      <c r="H249" s="77" t="inlineStr">
        <is>
          <t>Resignation</t>
        </is>
      </c>
      <c r="I249" s="77" t="inlineStr">
        <is>
          <t>Rebecca Smith</t>
        </is>
      </c>
      <c r="J249" s="77" t="n"/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George Pace</t>
        </is>
      </c>
      <c r="B250" s="112" t="n">
        <v>45508</v>
      </c>
      <c r="C250" s="80" t="n"/>
      <c r="D250" s="80" t="inlineStr">
        <is>
          <t>6 weeks</t>
        </is>
      </c>
      <c r="E250" s="80" t="inlineStr">
        <is>
          <t>Yes</t>
        </is>
      </c>
      <c r="F250" s="80" t="inlineStr">
        <is>
          <t>U</t>
        </is>
      </c>
      <c r="G250" s="80" t="inlineStr">
        <is>
          <t>Four Mile</t>
        </is>
      </c>
      <c r="H250" s="80" t="inlineStr">
        <is>
          <t>Personal Reasons</t>
        </is>
      </c>
      <c r="I250" s="80" t="inlineStr">
        <is>
          <t>Kasey Foster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Brennan McMurray</t>
        </is>
      </c>
      <c r="B251" s="111" t="n">
        <v>45511</v>
      </c>
      <c r="C251" s="77" t="n"/>
      <c r="D251" s="77" t="inlineStr">
        <is>
          <t>2 years</t>
        </is>
      </c>
      <c r="E251" s="77" t="inlineStr">
        <is>
          <t>No</t>
        </is>
      </c>
      <c r="F251" s="77" t="inlineStr">
        <is>
          <t>U</t>
        </is>
      </c>
      <c r="G251" s="77" t="inlineStr">
        <is>
          <t>Residential</t>
        </is>
      </c>
      <c r="H251" s="77" t="inlineStr">
        <is>
          <t>Other</t>
        </is>
      </c>
      <c r="I251" s="77" t="inlineStr">
        <is>
          <t>Layla Fisher</t>
        </is>
      </c>
      <c r="J251" s="77" t="n"/>
      <c r="K251" s="77" t="inlineStr">
        <is>
          <t>RM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Connie Wright</t>
        </is>
      </c>
      <c r="B252" s="112" t="n">
        <v>45511</v>
      </c>
      <c r="C252" s="80" t="n"/>
      <c r="D252" s="80" t="inlineStr">
        <is>
          <t>6 weeks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Workforce Development</t>
        </is>
      </c>
      <c r="H252" s="80" t="inlineStr">
        <is>
          <t>Personal Reasons</t>
        </is>
      </c>
      <c r="I252" s="80" t="inlineStr">
        <is>
          <t>Miranda Kelley</t>
        </is>
      </c>
      <c r="J252" s="80" t="n"/>
      <c r="K252" s="80" t="inlineStr">
        <is>
          <t>Job Coach/WI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Gari Miller</t>
        </is>
      </c>
      <c r="B253" s="111" t="n">
        <v>45516</v>
      </c>
      <c r="C253" s="77" t="n"/>
      <c r="D253" s="77" t="inlineStr">
        <is>
          <t>3 years and 2 months</t>
        </is>
      </c>
      <c r="E253" s="77" t="inlineStr">
        <is>
          <t>No</t>
        </is>
      </c>
      <c r="F253" s="77" t="inlineStr">
        <is>
          <t>D</t>
        </is>
      </c>
      <c r="G253" s="77" t="inlineStr">
        <is>
          <t>Sapphire</t>
        </is>
      </c>
      <c r="H253" s="77" t="inlineStr">
        <is>
          <t>Termination</t>
        </is>
      </c>
      <c r="I253" s="77" t="inlineStr">
        <is>
          <t>Patrese Poore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Heather Marian</t>
        </is>
      </c>
      <c r="B254" s="112" t="n">
        <v>45516</v>
      </c>
      <c r="C254" s="80" t="n"/>
      <c r="D254" s="80" t="inlineStr">
        <is>
          <t>2 years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Sapphire</t>
        </is>
      </c>
      <c r="H254" s="80" t="inlineStr">
        <is>
          <t>Termination</t>
        </is>
      </c>
      <c r="I254" s="80" t="inlineStr">
        <is>
          <t>Patrese Poore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Eddie Godsey</t>
        </is>
      </c>
      <c r="B255" s="111" t="n">
        <v>45516</v>
      </c>
      <c r="C255" s="77" t="n"/>
      <c r="D255" s="77" t="inlineStr">
        <is>
          <t>11 months</t>
        </is>
      </c>
      <c r="E255" s="77" t="inlineStr">
        <is>
          <t>No</t>
        </is>
      </c>
      <c r="F255" s="77" t="inlineStr">
        <is>
          <t>U</t>
        </is>
      </c>
      <c r="G255" s="77" t="inlineStr">
        <is>
          <t>Latimer</t>
        </is>
      </c>
      <c r="H255" s="77" t="inlineStr">
        <is>
          <t>Personal Reasons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Latisha Welles</t>
        </is>
      </c>
      <c r="B256" s="112" t="n">
        <v>45518</v>
      </c>
      <c r="C256" s="80" t="n"/>
      <c r="D256" s="80" t="inlineStr">
        <is>
          <t>7 months</t>
        </is>
      </c>
      <c r="E256" s="80" t="inlineStr">
        <is>
          <t>Yes</t>
        </is>
      </c>
      <c r="F256" s="80" t="inlineStr">
        <is>
          <t>U</t>
        </is>
      </c>
      <c r="G256" s="80" t="inlineStr">
        <is>
          <t>EI</t>
        </is>
      </c>
      <c r="H256" s="80" t="inlineStr">
        <is>
          <t>Better Opportunity</t>
        </is>
      </c>
      <c r="I256" s="80" t="inlineStr">
        <is>
          <t>Chase Davenport</t>
        </is>
      </c>
      <c r="J256" s="80" t="n"/>
      <c r="K256" s="80" t="inlineStr">
        <is>
          <t>EI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Jerriah Love</t>
        </is>
      </c>
      <c r="B257" s="111" t="n">
        <v>45519</v>
      </c>
      <c r="C257" s="77" t="n"/>
      <c r="D257" s="77" t="inlineStr">
        <is>
          <t>5 months</t>
        </is>
      </c>
      <c r="E257" s="77" t="inlineStr">
        <is>
          <t>No</t>
        </is>
      </c>
      <c r="F257" s="77" t="inlineStr">
        <is>
          <t>U</t>
        </is>
      </c>
      <c r="G257" s="77" t="inlineStr">
        <is>
          <t>162 Wadsworth</t>
        </is>
      </c>
      <c r="H257" s="77" t="inlineStr">
        <is>
          <t>Job Abandonment</t>
        </is>
      </c>
      <c r="I257" s="77" t="inlineStr">
        <is>
          <t>Rebecca Smith</t>
        </is>
      </c>
      <c r="J257" s="77" t="n"/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Elias Cook</t>
        </is>
      </c>
      <c r="B258" s="112" t="n">
        <v>45519</v>
      </c>
      <c r="C258" s="80" t="n"/>
      <c r="D258" s="80" t="inlineStr">
        <is>
          <t>1 months</t>
        </is>
      </c>
      <c r="E258" s="80" t="inlineStr">
        <is>
          <t>No</t>
        </is>
      </c>
      <c r="F258" s="80" t="inlineStr">
        <is>
          <t>U</t>
        </is>
      </c>
      <c r="G258" s="80" t="inlineStr">
        <is>
          <t>Workforce Development</t>
        </is>
      </c>
      <c r="H258" s="80" t="inlineStr">
        <is>
          <t>Job Abandonment</t>
        </is>
      </c>
      <c r="I258" s="80" t="inlineStr">
        <is>
          <t>Miranda Kelley</t>
        </is>
      </c>
      <c r="J258" s="80" t="n"/>
      <c r="K258" s="80" t="inlineStr">
        <is>
          <t>DSP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Sheila Booker</t>
        </is>
      </c>
      <c r="B259" s="111" t="n">
        <v>45520</v>
      </c>
      <c r="C259" s="77" t="n"/>
      <c r="D259" s="77" t="inlineStr">
        <is>
          <t>2 weeks</t>
        </is>
      </c>
      <c r="E259" s="77" t="inlineStr">
        <is>
          <t>No</t>
        </is>
      </c>
      <c r="F259" s="77" t="inlineStr">
        <is>
          <t>U</t>
        </is>
      </c>
      <c r="G259" s="77" t="inlineStr">
        <is>
          <t>Dalton</t>
        </is>
      </c>
      <c r="H259" s="77" t="inlineStr">
        <is>
          <t>Job Abandonment</t>
        </is>
      </c>
      <c r="I259" s="77" t="inlineStr">
        <is>
          <t>Rebecca Smith</t>
        </is>
      </c>
      <c r="J259" s="77" t="n"/>
      <c r="K259" s="77" t="inlineStr">
        <is>
          <t>DSP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Ryan Spencer</t>
        </is>
      </c>
      <c r="B260" s="112" t="n">
        <v>45524</v>
      </c>
      <c r="C260" s="80" t="n"/>
      <c r="D260" s="80" t="inlineStr">
        <is>
          <t>5 weeks</t>
        </is>
      </c>
      <c r="E260" s="80" t="inlineStr">
        <is>
          <t>No</t>
        </is>
      </c>
      <c r="F260" s="80" t="inlineStr">
        <is>
          <t>U</t>
        </is>
      </c>
      <c r="G260" s="80" t="inlineStr">
        <is>
          <t>Livingston</t>
        </is>
      </c>
      <c r="H260" s="80" t="inlineStr">
        <is>
          <t>Job Abandonment</t>
        </is>
      </c>
      <c r="I260" s="80" t="inlineStr">
        <is>
          <t>Sherri McMahan</t>
        </is>
      </c>
      <c r="J260" s="80" t="n"/>
      <c r="K260" s="80" t="inlineStr">
        <is>
          <t>DSP</t>
        </is>
      </c>
      <c r="L260" s="80" t="n"/>
      <c r="M260" s="105">
        <f>IFERROR(VLOOKUP(G260,Reference!$I$2:$J$175,2,FALSE()),"Operations")</f>
        <v/>
      </c>
    </row>
    <row r="261" ht="15" customHeight="1">
      <c r="A261" s="77" t="inlineStr">
        <is>
          <t>Joel Crawford</t>
        </is>
      </c>
      <c r="B261" s="111" t="n">
        <v>45526</v>
      </c>
      <c r="C261" s="77" t="n"/>
      <c r="D261" s="77" t="inlineStr">
        <is>
          <t>8 years and 1 month</t>
        </is>
      </c>
      <c r="E261" s="77" t="inlineStr">
        <is>
          <t>No</t>
        </is>
      </c>
      <c r="F261" s="77" t="inlineStr">
        <is>
          <t>D</t>
        </is>
      </c>
      <c r="G261" s="77" t="inlineStr">
        <is>
          <t>Livingston</t>
        </is>
      </c>
      <c r="H261" s="77" t="inlineStr">
        <is>
          <t>Resignation</t>
        </is>
      </c>
      <c r="I261" s="77" t="inlineStr">
        <is>
          <t>Sherri McMahan</t>
        </is>
      </c>
      <c r="J261" s="77" t="n"/>
      <c r="K261" s="77" t="inlineStr">
        <is>
          <t>DSP</t>
        </is>
      </c>
      <c r="L261" s="77" t="n"/>
      <c r="M261" s="102">
        <f>IFERROR(VLOOKUP(G261,Reference!$I$2:$J$175,2,FALSE()),"Operations")</f>
        <v/>
      </c>
    </row>
    <row r="262" ht="15" customHeight="1">
      <c r="A262" s="80" t="inlineStr">
        <is>
          <t>Amelia Stubbs</t>
        </is>
      </c>
      <c r="B262" s="112" t="n">
        <v>46993</v>
      </c>
      <c r="C262" s="80" t="n"/>
      <c r="D262" s="80" t="inlineStr">
        <is>
          <t>1 year 6 months</t>
        </is>
      </c>
      <c r="E262" s="80" t="inlineStr">
        <is>
          <t>No</t>
        </is>
      </c>
      <c r="F262" s="80" t="inlineStr">
        <is>
          <t>U</t>
        </is>
      </c>
      <c r="G262" s="80" t="inlineStr">
        <is>
          <t>207 Royce</t>
        </is>
      </c>
      <c r="H262" s="80" t="inlineStr">
        <is>
          <t>Relocation</t>
        </is>
      </c>
      <c r="I262" s="80" t="inlineStr">
        <is>
          <t>Kayla Birdsell</t>
        </is>
      </c>
      <c r="J262" s="80" t="n"/>
      <c r="K262" s="80" t="inlineStr">
        <is>
          <t>DSP</t>
        </is>
      </c>
      <c r="L262" s="80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2024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  <c r="N280" t="inlineStr">
        <is>
          <t>Synced To Hub</t>
        </is>
      </c>
      <c r="O280" t="inlineStr">
        <is>
          <t>Do Not Sync</t>
        </is>
      </c>
    </row>
    <row r="281" ht="15" customHeight="1">
      <c r="A281" s="77" t="inlineStr">
        <is>
          <t>Haylee Potter</t>
        </is>
      </c>
      <c r="B281" s="111" t="n">
        <v>45537</v>
      </c>
      <c r="C281" s="77" t="n"/>
      <c r="D281" s="77" t="inlineStr">
        <is>
          <t>1 year and 3 months</t>
        </is>
      </c>
      <c r="E281" s="77" t="inlineStr">
        <is>
          <t>Yes</t>
        </is>
      </c>
      <c r="F281" s="77" t="inlineStr">
        <is>
          <t>U</t>
        </is>
      </c>
      <c r="G281" s="77" t="inlineStr">
        <is>
          <t>Tiffin</t>
        </is>
      </c>
      <c r="H281" s="77" t="inlineStr">
        <is>
          <t>Better Opportunity</t>
        </is>
      </c>
      <c r="I281" s="77" t="inlineStr">
        <is>
          <t>Rebecca Smith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Lindsey Pruitt</t>
        </is>
      </c>
      <c r="B282" s="112" t="n">
        <v>45542</v>
      </c>
      <c r="C282" s="80" t="n"/>
      <c r="D282" s="80" t="inlineStr">
        <is>
          <t>1 year and 3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361 Outer</t>
        </is>
      </c>
      <c r="H282" s="80" t="inlineStr">
        <is>
          <t>Personal Reasons</t>
        </is>
      </c>
      <c r="I282" s="80" t="inlineStr">
        <is>
          <t>Sherri McMahan</t>
        </is>
      </c>
      <c r="J282" s="80" t="n"/>
      <c r="K282" s="80" t="inlineStr">
        <is>
          <t>DSP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Brenna Young</t>
        </is>
      </c>
      <c r="B283" s="111" t="n">
        <v>45550</v>
      </c>
      <c r="C283" s="77" t="n"/>
      <c r="D283" s="77" t="inlineStr">
        <is>
          <t>1 year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361 Outer</t>
        </is>
      </c>
      <c r="H283" s="77" t="inlineStr">
        <is>
          <t>Other</t>
        </is>
      </c>
      <c r="I283" s="77" t="inlineStr">
        <is>
          <t>Sherri McMahan</t>
        </is>
      </c>
      <c r="J283" s="77" t="n"/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Sophia Cook</t>
        </is>
      </c>
      <c r="B284" s="112" t="n">
        <v>45558</v>
      </c>
      <c r="C284" s="80" t="n"/>
      <c r="D284" s="80" t="inlineStr">
        <is>
          <t>5 months</t>
        </is>
      </c>
      <c r="E284" s="80" t="inlineStr">
        <is>
          <t>Yes</t>
        </is>
      </c>
      <c r="F284" s="80" t="inlineStr">
        <is>
          <t>U</t>
        </is>
      </c>
      <c r="G284" s="80" t="inlineStr">
        <is>
          <t>Tiffin</t>
        </is>
      </c>
      <c r="H284" s="80" t="inlineStr">
        <is>
          <t>Relocation</t>
        </is>
      </c>
      <c r="I284" s="80" t="inlineStr">
        <is>
          <t>Sarah Allen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Jacob Bergey</t>
        </is>
      </c>
      <c r="B285" s="111" t="n">
        <v>45551</v>
      </c>
      <c r="C285" s="77" t="n"/>
      <c r="D285" s="77" t="inlineStr">
        <is>
          <t>7 1/2 months</t>
        </is>
      </c>
      <c r="E285" s="77" t="inlineStr">
        <is>
          <t>No</t>
        </is>
      </c>
      <c r="F285" s="77" t="inlineStr">
        <is>
          <t>U</t>
        </is>
      </c>
      <c r="G285" s="77" t="inlineStr">
        <is>
          <t>Dalton</t>
        </is>
      </c>
      <c r="H285" s="77" t="inlineStr">
        <is>
          <t>Other</t>
        </is>
      </c>
      <c r="I285" s="77" t="inlineStr">
        <is>
          <t>Sarah Allen</t>
        </is>
      </c>
      <c r="J285" s="77" t="n"/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James Crawford</t>
        </is>
      </c>
      <c r="B286" s="112" t="n">
        <v>45555</v>
      </c>
      <c r="C286" s="80" t="n"/>
      <c r="D286" s="80" t="inlineStr">
        <is>
          <t>3 months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131 Wadsworth</t>
        </is>
      </c>
      <c r="H286" s="80" t="inlineStr">
        <is>
          <t>Other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Garrett</t>
        </is>
      </c>
      <c r="B287" s="111" t="n">
        <v>45559</v>
      </c>
      <c r="C287" s="77" t="n"/>
      <c r="D287" s="77" t="inlineStr">
        <is>
          <t>5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Northwestern</t>
        </is>
      </c>
      <c r="H287" s="77" t="inlineStr">
        <is>
          <t>Personal Reasons</t>
        </is>
      </c>
      <c r="I287" s="77" t="inlineStr">
        <is>
          <t>Kasey Foster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Tyishnia Willis</t>
        </is>
      </c>
      <c r="B288" s="80" t="n"/>
      <c r="C288" s="80" t="n"/>
      <c r="D288" s="80" t="inlineStr">
        <is>
          <t>2 and 1/2 months</t>
        </is>
      </c>
      <c r="E288" s="80" t="n"/>
      <c r="F288" s="80" t="n"/>
      <c r="G288" s="80" t="inlineStr">
        <is>
          <t>Northwestern</t>
        </is>
      </c>
      <c r="H288" s="80" t="inlineStr">
        <is>
          <t>Personal Reasons</t>
        </is>
      </c>
      <c r="I288" s="80" t="inlineStr">
        <is>
          <t>Kasey Foster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2024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  <c r="N314" t="inlineStr">
        <is>
          <t>Synced To Hub</t>
        </is>
      </c>
      <c r="O314" t="inlineStr">
        <is>
          <t>Do Not Sync</t>
        </is>
      </c>
    </row>
    <row r="315" ht="15" customHeight="1">
      <c r="A315" s="77" t="inlineStr">
        <is>
          <t>Lucas Daughtery</t>
        </is>
      </c>
      <c r="B315" s="111" t="n">
        <v>45571</v>
      </c>
      <c r="C315" s="77" t="n"/>
      <c r="D315" s="77" t="inlineStr">
        <is>
          <t>3 months and 3 weeks</t>
        </is>
      </c>
      <c r="E315" s="77" t="inlineStr">
        <is>
          <t>Yes</t>
        </is>
      </c>
      <c r="F315" s="77" t="inlineStr">
        <is>
          <t>U</t>
        </is>
      </c>
      <c r="G315" s="77" t="inlineStr">
        <is>
          <t>200 Latimer</t>
        </is>
      </c>
      <c r="H315" s="77" t="inlineStr">
        <is>
          <t>Other</t>
        </is>
      </c>
      <c r="I315" s="77" t="inlineStr">
        <is>
          <t>Kayla Birdsell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Anne Hawn</t>
        </is>
      </c>
      <c r="B316" s="112" t="n">
        <v>45579</v>
      </c>
      <c r="C316" s="80" t="n"/>
      <c r="D316" s="80" t="inlineStr">
        <is>
          <t>2 months and 2 weeks</t>
        </is>
      </c>
      <c r="E316" s="80" t="inlineStr">
        <is>
          <t>Yes</t>
        </is>
      </c>
      <c r="F316" s="80" t="inlineStr">
        <is>
          <t>U</t>
        </is>
      </c>
      <c r="G316" s="80" t="inlineStr">
        <is>
          <t>Four Mile Peaks</t>
        </is>
      </c>
      <c r="H316" s="80" t="inlineStr">
        <is>
          <t>Personal Reasons</t>
        </is>
      </c>
      <c r="I316" s="80" t="inlineStr">
        <is>
          <t>Kendra Lloyd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Rayvn Smelcher</t>
        </is>
      </c>
      <c r="B317" s="111" t="n">
        <v>45573</v>
      </c>
      <c r="C317" s="77" t="n"/>
      <c r="D317" s="77" t="inlineStr">
        <is>
          <t>1 year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Dalton and 429 Outer</t>
        </is>
      </c>
      <c r="H317" s="77" t="inlineStr">
        <is>
          <t>Personal Reasons</t>
        </is>
      </c>
      <c r="I317" s="77" t="inlineStr">
        <is>
          <t>Sarah Allen</t>
        </is>
      </c>
      <c r="J317" s="77" t="n"/>
      <c r="K317" s="77" t="inlineStr">
        <is>
          <t>HM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Madison Dalton</t>
        </is>
      </c>
      <c r="B318" s="112" t="n">
        <v>45574</v>
      </c>
      <c r="C318" s="80" t="n"/>
      <c r="D318" s="80" t="inlineStr">
        <is>
          <t>1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2290 Turnpike</t>
        </is>
      </c>
      <c r="H318" s="80" t="inlineStr">
        <is>
          <t>Job Abandonment</t>
        </is>
      </c>
      <c r="I318" s="80" t="n"/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Amanda Miller</t>
        </is>
      </c>
      <c r="B319" s="111" t="n">
        <v>45582</v>
      </c>
      <c r="C319" s="77" t="n"/>
      <c r="D319" s="77" t="inlineStr">
        <is>
          <t>2 weeks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Ulena, Estabrook</t>
        </is>
      </c>
      <c r="H319" s="77" t="inlineStr">
        <is>
          <t>Personal Reasons</t>
        </is>
      </c>
      <c r="I319" s="77" t="inlineStr">
        <is>
          <t>Sherri McMahan</t>
        </is>
      </c>
      <c r="J319" s="77" t="n"/>
      <c r="K319" s="77" t="inlineStr">
        <is>
          <t>HM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Tara Williams</t>
        </is>
      </c>
      <c r="B320" s="112" t="n">
        <v>45573</v>
      </c>
      <c r="C320" s="80" t="n"/>
      <c r="D320" s="80" t="inlineStr">
        <is>
          <t>1 year 2 months</t>
        </is>
      </c>
      <c r="E320" s="80" t="inlineStr">
        <is>
          <t>No</t>
        </is>
      </c>
      <c r="F320" s="80" t="inlineStr">
        <is>
          <t>D</t>
        </is>
      </c>
      <c r="G320" s="80" t="inlineStr">
        <is>
          <t>Tiffin</t>
        </is>
      </c>
      <c r="H320" s="80" t="inlineStr">
        <is>
          <t>Better Opportunity</t>
        </is>
      </c>
      <c r="I320" s="80" t="inlineStr">
        <is>
          <t>Sarah Allen</t>
        </is>
      </c>
      <c r="J320" s="80" t="n"/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Julia McCray</t>
        </is>
      </c>
      <c r="B321" s="111" t="n">
        <v>1</v>
      </c>
      <c r="C321" s="77" t="n"/>
      <c r="D321" s="77" t="inlineStr">
        <is>
          <t>2 months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Dalton</t>
        </is>
      </c>
      <c r="H321" s="77" t="inlineStr">
        <is>
          <t>Personal Reasons</t>
        </is>
      </c>
      <c r="I321" s="77" t="inlineStr">
        <is>
          <t>Kasey Foster</t>
        </is>
      </c>
      <c r="J321" s="77" t="n"/>
      <c r="K321" s="77" t="inlineStr">
        <is>
          <t>DSP</t>
        </is>
      </c>
      <c r="L321" s="77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2024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  <c r="N348" t="inlineStr">
        <is>
          <t>Synced To Hub</t>
        </is>
      </c>
      <c r="O348" t="inlineStr">
        <is>
          <t>Do Not Sync</t>
        </is>
      </c>
    </row>
    <row r="349" ht="15" customHeight="1">
      <c r="A349" s="77" t="inlineStr">
        <is>
          <t>Mariam Keita</t>
        </is>
      </c>
      <c r="B349" s="111" t="n">
        <v>45601</v>
      </c>
      <c r="C349" s="77" t="n"/>
      <c r="D349" s="77" t="inlineStr">
        <is>
          <t>2 months</t>
        </is>
      </c>
      <c r="E349" s="77" t="inlineStr">
        <is>
          <t>No</t>
        </is>
      </c>
      <c r="F349" s="77" t="inlineStr">
        <is>
          <t>U</t>
        </is>
      </c>
      <c r="G349" s="77" t="inlineStr">
        <is>
          <t>Dalton</t>
        </is>
      </c>
      <c r="H349" s="77" t="inlineStr">
        <is>
          <t>Personal Reasons</t>
        </is>
      </c>
      <c r="I349" s="77" t="inlineStr">
        <is>
          <t>Heather Lumpkin</t>
        </is>
      </c>
      <c r="J349" s="77" t="n"/>
      <c r="K349" s="77" t="inlineStr">
        <is>
          <t>DSP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Kayla Birdsell</t>
        </is>
      </c>
      <c r="B350" s="112" t="n">
        <v>45608</v>
      </c>
      <c r="C350" s="80" t="n"/>
      <c r="D350" s="80" t="inlineStr">
        <is>
          <t>2 years and 5 months</t>
        </is>
      </c>
      <c r="E350" s="80" t="inlineStr">
        <is>
          <t>Yes</t>
        </is>
      </c>
      <c r="F350" s="80" t="inlineStr">
        <is>
          <t>U</t>
        </is>
      </c>
      <c r="G350" s="80" t="inlineStr">
        <is>
          <t>Residential</t>
        </is>
      </c>
      <c r="H350" s="80" t="inlineStr">
        <is>
          <t>Personal Reasons</t>
        </is>
      </c>
      <c r="I350" s="80" t="inlineStr">
        <is>
          <t>Layla Fisher</t>
        </is>
      </c>
      <c r="J350" s="80" t="n"/>
      <c r="K350" s="80" t="inlineStr">
        <is>
          <t>RM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Melissa Timbrouk</t>
        </is>
      </c>
      <c r="B351" s="111" t="n">
        <v>45609</v>
      </c>
      <c r="C351" s="77" t="n"/>
      <c r="D351" s="77" t="inlineStr">
        <is>
          <t>7 months</t>
        </is>
      </c>
      <c r="E351" s="77" t="inlineStr">
        <is>
          <t>No</t>
        </is>
      </c>
      <c r="F351" s="77" t="inlineStr">
        <is>
          <t>U</t>
        </is>
      </c>
      <c r="G351" s="77" t="inlineStr">
        <is>
          <t>207 Wadsworth and 141 Wainwright</t>
        </is>
      </c>
      <c r="H351" s="77" t="inlineStr">
        <is>
          <t>Personal Reasons</t>
        </is>
      </c>
      <c r="I351" s="77" t="inlineStr">
        <is>
          <t>Kasey Foster</t>
        </is>
      </c>
      <c r="J351" s="77" t="n"/>
      <c r="K351" s="77" t="inlineStr">
        <is>
          <t>HM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Kimberly Floyd</t>
        </is>
      </c>
      <c r="B352" s="112" t="n">
        <v>45612</v>
      </c>
      <c r="C352" s="80" t="n"/>
      <c r="D352" s="80" t="inlineStr">
        <is>
          <t>3 months and 2 weeks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Alger</t>
        </is>
      </c>
      <c r="H352" s="80" t="inlineStr">
        <is>
          <t>Other</t>
        </is>
      </c>
      <c r="I352" s="80" t="inlineStr">
        <is>
          <t>Dawn Williams</t>
        </is>
      </c>
      <c r="J352" s="80" t="n"/>
      <c r="K352" s="80" t="inlineStr">
        <is>
          <t>DSP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Ashlyn Nuchols</t>
        </is>
      </c>
      <c r="B353" s="111" t="n">
        <v>45612</v>
      </c>
      <c r="C353" s="77" t="n"/>
      <c r="D353" s="77" t="inlineStr">
        <is>
          <t>4 months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Hamilton</t>
        </is>
      </c>
      <c r="H353" s="77" t="inlineStr">
        <is>
          <t>Personal Reasons</t>
        </is>
      </c>
      <c r="I353" s="77" t="inlineStr">
        <is>
          <t>Pat Nicholai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Jabir Jumanne</t>
        </is>
      </c>
      <c r="B354" s="112" t="n">
        <v>45614</v>
      </c>
      <c r="C354" s="80" t="n"/>
      <c r="D354" s="80" t="inlineStr">
        <is>
          <t>1 month</t>
        </is>
      </c>
      <c r="E354" s="80" t="inlineStr">
        <is>
          <t>No</t>
        </is>
      </c>
      <c r="F354" s="80" t="inlineStr">
        <is>
          <t>U</t>
        </is>
      </c>
      <c r="G354" s="80" t="inlineStr">
        <is>
          <t>Sapphire</t>
        </is>
      </c>
      <c r="H354" s="80" t="inlineStr">
        <is>
          <t>Job Abandonment</t>
        </is>
      </c>
      <c r="I354" s="80" t="inlineStr">
        <is>
          <t>Melissa Jackson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Susan Henry</t>
        </is>
      </c>
      <c r="B355" s="111" t="n">
        <v>45617</v>
      </c>
      <c r="C355" s="77" t="n"/>
      <c r="D355" s="77" t="inlineStr">
        <is>
          <t>2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ELC</t>
        </is>
      </c>
      <c r="H355" s="77" t="inlineStr">
        <is>
          <t>Personal Reasons</t>
        </is>
      </c>
      <c r="I355" s="77" t="inlineStr">
        <is>
          <t>Kiersten Wilkerson</t>
        </is>
      </c>
      <c r="J355" s="77" t="n"/>
      <c r="K355" s="77" t="inlineStr">
        <is>
          <t>Assistant Teacher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Peggy Conway</t>
        </is>
      </c>
      <c r="B356" s="112" t="n">
        <v>45618</v>
      </c>
      <c r="C356" s="80" t="n"/>
      <c r="D356" s="80" t="inlineStr">
        <is>
          <t>8 years</t>
        </is>
      </c>
      <c r="E356" s="80" t="inlineStr">
        <is>
          <t>Yes</t>
        </is>
      </c>
      <c r="F356" s="80" t="inlineStr">
        <is>
          <t>U</t>
        </is>
      </c>
      <c r="G356" s="80" t="inlineStr">
        <is>
          <t>EI</t>
        </is>
      </c>
      <c r="H356" s="80" t="inlineStr">
        <is>
          <t>Retirement</t>
        </is>
      </c>
      <c r="I356" s="80" t="inlineStr">
        <is>
          <t>Chase Davenport</t>
        </is>
      </c>
      <c r="J356" s="80" t="n"/>
      <c r="K356" s="80" t="inlineStr">
        <is>
          <t>EI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Shelby Allen</t>
        </is>
      </c>
      <c r="B357" s="111" t="n">
        <v>45619</v>
      </c>
      <c r="C357" s="77" t="n"/>
      <c r="D357" s="77" t="inlineStr">
        <is>
          <t>7 months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Sapphire</t>
        </is>
      </c>
      <c r="H357" s="77" t="inlineStr">
        <is>
          <t>Better Opportunity</t>
        </is>
      </c>
      <c r="I357" s="77" t="inlineStr">
        <is>
          <t>Sarah Allen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Cherilyn Patterson</t>
        </is>
      </c>
      <c r="B358" s="112" t="n">
        <v>45622</v>
      </c>
      <c r="C358" s="80" t="n"/>
      <c r="D358" s="80" t="inlineStr">
        <is>
          <t>2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428 West Outer/Northwestern</t>
        </is>
      </c>
      <c r="H358" s="80" t="inlineStr">
        <is>
          <t>Personal Reasons</t>
        </is>
      </c>
      <c r="I358" s="80" t="inlineStr">
        <is>
          <t>Kasey Foster/Patreese Poore</t>
        </is>
      </c>
      <c r="J358" s="80" t="n"/>
      <c r="K358" s="80" t="inlineStr">
        <is>
          <t>HM</t>
        </is>
      </c>
      <c r="L358" s="80" t="n"/>
      <c r="M358" s="105">
        <f>IFERROR(VLOOKUP(G358,Reference!$I$2:$J$175,2,FALSE()),"Operations")</f>
        <v/>
      </c>
    </row>
    <row r="359" ht="15" customHeight="1">
      <c r="A359" s="77" t="inlineStr">
        <is>
          <t>Jolie Gentry</t>
        </is>
      </c>
      <c r="B359" s="111" t="n">
        <v>45626</v>
      </c>
      <c r="C359" s="77" t="n"/>
      <c r="D359" s="77" t="inlineStr">
        <is>
          <t>8 months</t>
        </is>
      </c>
      <c r="E359" s="77" t="inlineStr">
        <is>
          <t>No</t>
        </is>
      </c>
      <c r="F359" s="77" t="inlineStr">
        <is>
          <t>U</t>
        </is>
      </c>
      <c r="G359" s="77" t="inlineStr">
        <is>
          <t>Thelma</t>
        </is>
      </c>
      <c r="H359" s="77" t="inlineStr">
        <is>
          <t>Better Opportunity</t>
        </is>
      </c>
      <c r="I359" s="77" t="inlineStr">
        <is>
          <t>Bethany Quiggle</t>
        </is>
      </c>
      <c r="J359" s="77" t="n"/>
      <c r="K359" s="77" t="inlineStr">
        <is>
          <t>DSP</t>
        </is>
      </c>
      <c r="L359" s="77" t="n"/>
      <c r="M359" s="102">
        <f>IFERROR(VLOOKUP(G359,Reference!$I$2:$J$175,2,FALSE()),"Operations")</f>
        <v/>
      </c>
    </row>
    <row r="360" ht="15" customHeight="1">
      <c r="A360" s="80" t="inlineStr">
        <is>
          <t>Zackary McCulloch</t>
        </is>
      </c>
      <c r="B360" s="112" t="n">
        <v>45626</v>
      </c>
      <c r="C360" s="80" t="n"/>
      <c r="D360" s="80" t="inlineStr">
        <is>
          <t>1 month and 2 weeks</t>
        </is>
      </c>
      <c r="E360" s="80" t="inlineStr">
        <is>
          <t>No</t>
        </is>
      </c>
      <c r="F360" s="80" t="inlineStr">
        <is>
          <t>U</t>
        </is>
      </c>
      <c r="G360" s="80" t="inlineStr">
        <is>
          <t>131 Wadsworth</t>
        </is>
      </c>
      <c r="H360" s="80" t="inlineStr">
        <is>
          <t>Better Opportunity</t>
        </is>
      </c>
      <c r="I360" s="80" t="inlineStr">
        <is>
          <t>Jessica Oliver</t>
        </is>
      </c>
      <c r="J360" s="80" t="n"/>
      <c r="K360" s="80" t="inlineStr">
        <is>
          <t>DSP</t>
        </is>
      </c>
      <c r="L360" s="80" t="n"/>
      <c r="M360" s="105">
        <f>IFERROR(VLOOKUP(G360,Reference!$I$2:$J$175,2,FALSE()),"Operations")</f>
        <v/>
      </c>
    </row>
    <row r="361" ht="15" customHeight="1">
      <c r="A361" s="77" t="inlineStr">
        <is>
          <t>Bry Heath</t>
        </is>
      </c>
      <c r="B361" s="111" t="n">
        <v>45626</v>
      </c>
      <c r="C361" s="77" t="n"/>
      <c r="D361" s="77" t="inlineStr">
        <is>
          <t>2 years and 1 month</t>
        </is>
      </c>
      <c r="E361" s="77" t="inlineStr">
        <is>
          <t>Yes</t>
        </is>
      </c>
      <c r="F361" s="77" t="inlineStr">
        <is>
          <t>D</t>
        </is>
      </c>
      <c r="G361" s="77" t="inlineStr">
        <is>
          <t>1111 McAdoo</t>
        </is>
      </c>
      <c r="H361" s="77" t="inlineStr">
        <is>
          <t>Other</t>
        </is>
      </c>
      <c r="I361" s="77" t="inlineStr">
        <is>
          <t>Kendra Loy</t>
        </is>
      </c>
      <c r="J361" s="77" t="n"/>
      <c r="K361" s="77" t="inlineStr">
        <is>
          <t>DSP</t>
        </is>
      </c>
      <c r="L361" s="77" t="n"/>
      <c r="M361" s="102">
        <f>IFERROR(VLOOKUP(G361,Reference!$I$2:$J$175,2,FALSE()),"Operations")</f>
        <v/>
      </c>
    </row>
    <row r="362" ht="15" customHeight="1">
      <c r="A362" s="80" t="inlineStr">
        <is>
          <t>Tiffanie Shubert</t>
        </is>
      </c>
      <c r="B362" s="112" t="n">
        <v>45626</v>
      </c>
      <c r="C362" s="80" t="n"/>
      <c r="D362" s="80" t="inlineStr">
        <is>
          <t>2 years and 10 months</t>
        </is>
      </c>
      <c r="E362" s="80" t="inlineStr">
        <is>
          <t>Yes</t>
        </is>
      </c>
      <c r="F362" s="80" t="inlineStr">
        <is>
          <t>D</t>
        </is>
      </c>
      <c r="G362" s="80" t="inlineStr">
        <is>
          <t>1111 McAdoo</t>
        </is>
      </c>
      <c r="H362" s="80" t="inlineStr">
        <is>
          <t>Other</t>
        </is>
      </c>
      <c r="I362" s="80" t="inlineStr">
        <is>
          <t>Kendra Loy</t>
        </is>
      </c>
      <c r="J362" s="80" t="n"/>
      <c r="K362" s="80" t="inlineStr">
        <is>
          <t>DSP</t>
        </is>
      </c>
      <c r="L362" s="80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2024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  <c r="N382" t="inlineStr">
        <is>
          <t>Synced To Hub</t>
        </is>
      </c>
      <c r="O382" t="inlineStr">
        <is>
          <t>Do Not Sync</t>
        </is>
      </c>
    </row>
    <row r="383" ht="15" customHeight="1">
      <c r="A383" s="77" t="inlineStr">
        <is>
          <t>Misty Quails</t>
        </is>
      </c>
      <c r="B383" s="111" t="n">
        <v>45629</v>
      </c>
      <c r="C383" s="77" t="n"/>
      <c r="D383" s="77" t="inlineStr">
        <is>
          <t>1 week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Livingston</t>
        </is>
      </c>
      <c r="H383" s="77" t="inlineStr">
        <is>
          <t>Better Opportunity</t>
        </is>
      </c>
      <c r="I383" s="77" t="inlineStr">
        <is>
          <t>Cory DePuy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Karah Tull</t>
        </is>
      </c>
      <c r="B384" s="112" t="n">
        <v>45631</v>
      </c>
      <c r="C384" s="80" t="n"/>
      <c r="D384" s="80" t="inlineStr">
        <is>
          <t>3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LLL</t>
        </is>
      </c>
      <c r="H384" s="80" t="inlineStr">
        <is>
          <t>Personal Reasons</t>
        </is>
      </c>
      <c r="I384" s="80" t="inlineStr">
        <is>
          <t>Brittany Webb</t>
        </is>
      </c>
      <c r="J384" s="80" t="n"/>
      <c r="K384" s="80" t="inlineStr">
        <is>
          <t>Teacher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Taylor Morton</t>
        </is>
      </c>
      <c r="B385" s="111" t="n">
        <v>45634</v>
      </c>
      <c r="C385" s="77" t="n"/>
      <c r="D385" s="77" t="inlineStr">
        <is>
          <t>4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Cherilyn Patterson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Lisa Bennet</t>
        </is>
      </c>
      <c r="B386" s="112" t="n">
        <v>45639</v>
      </c>
      <c r="C386" s="80" t="n"/>
      <c r="D386" s="80" t="inlineStr">
        <is>
          <t>3 years 6 months</t>
        </is>
      </c>
      <c r="E386" s="80" t="inlineStr">
        <is>
          <t>Yes</t>
        </is>
      </c>
      <c r="F386" s="80" t="inlineStr">
        <is>
          <t>U</t>
        </is>
      </c>
      <c r="G386" s="80" t="inlineStr">
        <is>
          <t>ELC</t>
        </is>
      </c>
      <c r="H386" s="80" t="inlineStr">
        <is>
          <t>Personal Reasons</t>
        </is>
      </c>
      <c r="I386" s="80" t="inlineStr">
        <is>
          <t>Kiersten Wilkerson</t>
        </is>
      </c>
      <c r="J386" s="80" t="n"/>
      <c r="K386" s="80" t="inlineStr">
        <is>
          <t>Teacher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Rebeca Jumanne</t>
        </is>
      </c>
      <c r="B387" s="111" t="n">
        <v>45639</v>
      </c>
      <c r="C387" s="77" t="n"/>
      <c r="D387" s="77" t="inlineStr">
        <is>
          <t>8 months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Northwestern</t>
        </is>
      </c>
      <c r="H387" s="77" t="inlineStr">
        <is>
          <t>Other</t>
        </is>
      </c>
      <c r="I387" s="77" t="inlineStr">
        <is>
          <t>Margie Carter</t>
        </is>
      </c>
      <c r="J387" s="77" t="n"/>
      <c r="K387" s="77" t="inlineStr">
        <is>
          <t>DSP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Jeminat (JJ) Harper</t>
        </is>
      </c>
      <c r="B388" s="112" t="n">
        <v>45638</v>
      </c>
      <c r="C388" s="80" t="n"/>
      <c r="D388" s="80" t="inlineStr">
        <is>
          <t>1 year 3 months</t>
        </is>
      </c>
      <c r="E388" s="80" t="inlineStr">
        <is>
          <t>No</t>
        </is>
      </c>
      <c r="F388" s="80" t="inlineStr">
        <is>
          <t>D</t>
        </is>
      </c>
      <c r="G388" s="80" t="inlineStr">
        <is>
          <t>200 Latimer/Livingston</t>
        </is>
      </c>
      <c r="H388" s="80" t="inlineStr">
        <is>
          <t>Job Abandonment</t>
        </is>
      </c>
      <c r="I388" s="80" t="inlineStr">
        <is>
          <t>Christopher Cuellar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Helen Talley</t>
        </is>
      </c>
      <c r="B389" s="111" t="n">
        <v>45643</v>
      </c>
      <c r="C389" s="77" t="n"/>
      <c r="D389" s="77" t="inlineStr">
        <is>
          <t>4 days</t>
        </is>
      </c>
      <c r="E389" s="77" t="inlineStr">
        <is>
          <t>No</t>
        </is>
      </c>
      <c r="F389" s="77" t="inlineStr">
        <is>
          <t>D</t>
        </is>
      </c>
      <c r="G389" s="77" t="inlineStr">
        <is>
          <t>Sapphire/Newkirk</t>
        </is>
      </c>
      <c r="H389" s="77" t="inlineStr">
        <is>
          <t>Personal Reasons</t>
        </is>
      </c>
      <c r="I389" s="77" t="inlineStr">
        <is>
          <t>Melissa Jackson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Regan Yaw</t>
        </is>
      </c>
      <c r="B390" s="112" t="n">
        <v>45647</v>
      </c>
      <c r="C390" s="80" t="n"/>
      <c r="D390" s="80" t="inlineStr">
        <is>
          <t>8 months</t>
        </is>
      </c>
      <c r="E390" s="80" t="inlineStr">
        <is>
          <t>Yes</t>
        </is>
      </c>
      <c r="F390" s="80" t="inlineStr">
        <is>
          <t>U</t>
        </is>
      </c>
      <c r="G390" s="80" t="inlineStr">
        <is>
          <t>Dalton</t>
        </is>
      </c>
      <c r="H390" s="80" t="inlineStr">
        <is>
          <t>Personal Reasons</t>
        </is>
      </c>
      <c r="I390" s="80" t="inlineStr">
        <is>
          <t>Orian Miller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Kayla Mead</t>
        </is>
      </c>
      <c r="B391" s="111" t="n">
        <v>45655</v>
      </c>
      <c r="C391" s="77" t="n"/>
      <c r="D391" s="77" t="inlineStr">
        <is>
          <t>1 year 3 months</t>
        </is>
      </c>
      <c r="E391" s="77" t="inlineStr">
        <is>
          <t>No</t>
        </is>
      </c>
      <c r="F391" s="77" t="inlineStr">
        <is>
          <t>U</t>
        </is>
      </c>
      <c r="G391" s="77" t="inlineStr">
        <is>
          <t>Ulena</t>
        </is>
      </c>
      <c r="H391" s="77" t="inlineStr">
        <is>
          <t>Other</t>
        </is>
      </c>
      <c r="I391" s="77" t="inlineStr">
        <is>
          <t>Cathleen Robinson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75:M75"/>
    <mergeCell ref="A211:M211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2-00000005}">
          <x14:formula1>
            <xm:f>Reference!$L$2:$L$10</xm:f>
          </x14:formula1>
          <xm:sqref>M9:M413</xm:sqref>
        </x14:dataValidation>
        <x14:dataValidation xmlns:xr="http://schemas.microsoft.com/office/spreadsheetml/2014/revision" type="list" errorStyle="stop" allowBlank="1" showInputMessage="1" showErrorMessage="1" errorTitle="Invalid Do Not Sync" error="Do Not Sync must be Yes or No (leave blank for No)." promptTitle="" prompt="" xr:uid="{00000000-0002-0000-0002-00000006}">
          <x14:formula1>
            <xm:f>Reference!$B$2:$B$3</xm:f>
          </x14:formula1>
          <xm:sqref>O9:O413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FF2E86AB"/>
    <outlinePr summaryBelow="1" summaryRight="1"/>
    <pageSetUpPr/>
  </sheetPr>
  <dimension ref="A1:O413"/>
  <sheetViews>
    <sheetView zoomScaleNormal="100" workbookViewId="0">
      <pane ySplit="6" topLeftCell="A7" activePane="bottomLeft" state="frozen"/>
      <selection pane="bottomLeft" activeCell="C14" sqref="C1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2023</t>
        </is>
      </c>
    </row>
    <row r="3" ht="19.5" customHeight="1">
      <c r="A3" s="164" t="inlineStr">
        <is>
          <t>January 2023 — December 2023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>
        <f>IFERROR(VLOOKUP("FY 2023",Reference!$N$2:$O$6,2,FALSE),0)</f>
        <v/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2023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t="inlineStr">
        <is>
          <t>Synced To Hub</t>
        </is>
      </c>
      <c r="O8" t="inlineStr">
        <is>
          <t>Do Not Sync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2023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  <c r="N42" t="inlineStr">
        <is>
          <t>Synced To Hub</t>
        </is>
      </c>
      <c r="O42" t="inlineStr">
        <is>
          <t>Do Not Sync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2023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  <c r="N76" t="inlineStr">
        <is>
          <t>Synced To Hub</t>
        </is>
      </c>
      <c r="O76" t="inlineStr">
        <is>
          <t>Do Not Sync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2023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  <c r="N110" t="inlineStr">
        <is>
          <t>Synced To Hub</t>
        </is>
      </c>
      <c r="O110" t="inlineStr">
        <is>
          <t>Do Not Sync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2023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  <c r="N144" t="inlineStr">
        <is>
          <t>Synced To Hub</t>
        </is>
      </c>
      <c r="O144" t="inlineStr">
        <is>
          <t>Do Not Sync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2023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  <c r="N178" t="inlineStr">
        <is>
          <t>Synced To Hub</t>
        </is>
      </c>
      <c r="O178" t="inlineStr">
        <is>
          <t>Do Not Sync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2023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  <c r="N212" t="inlineStr">
        <is>
          <t>Synced To Hub</t>
        </is>
      </c>
      <c r="O212" t="inlineStr">
        <is>
          <t>Do Not Sync</t>
        </is>
      </c>
    </row>
    <row r="213" ht="15" customHeight="1">
      <c r="A213" s="77" t="inlineStr">
        <is>
          <t>Brooke Love</t>
        </is>
      </c>
      <c r="B213" s="77" t="n"/>
      <c r="C213" s="77" t="n"/>
      <c r="D213" s="77" t="inlineStr">
        <is>
          <t>4 months</t>
        </is>
      </c>
      <c r="E213" s="77" t="inlineStr">
        <is>
          <t>Yes</t>
        </is>
      </c>
      <c r="F213" s="77" t="inlineStr">
        <is>
          <t>U</t>
        </is>
      </c>
      <c r="G213" s="77" t="inlineStr">
        <is>
          <t>Workforce Innovation</t>
        </is>
      </c>
      <c r="H213" s="77" t="inlineStr">
        <is>
          <t>Better Opportunity</t>
        </is>
      </c>
      <c r="I213" s="77" t="inlineStr">
        <is>
          <t>Daisy Pratt</t>
        </is>
      </c>
      <c r="J213" s="77" t="n"/>
      <c r="K213" s="77" t="inlineStr">
        <is>
          <t>Other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Kailee Owens</t>
        </is>
      </c>
      <c r="B214" s="80" t="n"/>
      <c r="C214" s="80" t="n"/>
      <c r="D214" s="80" t="inlineStr">
        <is>
          <t>8 months</t>
        </is>
      </c>
      <c r="E214" s="80" t="inlineStr">
        <is>
          <t>Yes</t>
        </is>
      </c>
      <c r="F214" s="80" t="inlineStr">
        <is>
          <t>U</t>
        </is>
      </c>
      <c r="G214" s="80" t="inlineStr">
        <is>
          <t>EI</t>
        </is>
      </c>
      <c r="H214" s="80" t="inlineStr">
        <is>
          <t>Better Opportunity</t>
        </is>
      </c>
      <c r="I214" s="80" t="inlineStr">
        <is>
          <t>Anna Moore</t>
        </is>
      </c>
      <c r="J214" s="80" t="n"/>
      <c r="K214" s="80" t="inlineStr">
        <is>
          <t>EI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Andrew Lindsey</t>
        </is>
      </c>
      <c r="B215" s="77" t="n"/>
      <c r="C215" s="77" t="n"/>
      <c r="D215" s="77" t="inlineStr">
        <is>
          <t>1 month</t>
        </is>
      </c>
      <c r="E215" s="77" t="inlineStr">
        <is>
          <t>No</t>
        </is>
      </c>
      <c r="F215" s="77" t="inlineStr">
        <is>
          <t>U</t>
        </is>
      </c>
      <c r="G215" s="77" t="inlineStr">
        <is>
          <t>Estabrook</t>
        </is>
      </c>
      <c r="H215" s="77" t="inlineStr">
        <is>
          <t>Job Abandonment</t>
        </is>
      </c>
      <c r="I215" s="77" t="inlineStr">
        <is>
          <t>Sherry McMahan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Olivia Watson</t>
        </is>
      </c>
      <c r="B216" s="80" t="n"/>
      <c r="C216" s="80" t="n"/>
      <c r="D216" s="80" t="inlineStr">
        <is>
          <t>2 years</t>
        </is>
      </c>
      <c r="E216" s="80" t="inlineStr">
        <is>
          <t>Yes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Kayla Birdsell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Babara Blades</t>
        </is>
      </c>
      <c r="B217" s="77" t="n"/>
      <c r="C217" s="77" t="n"/>
      <c r="D217" s="77" t="inlineStr">
        <is>
          <t>1 Year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Newkirk</t>
        </is>
      </c>
      <c r="H217" s="77" t="inlineStr">
        <is>
          <t>Relocation</t>
        </is>
      </c>
      <c r="I217" s="77" t="inlineStr">
        <is>
          <t>Casey Chumley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Nathan Eddelman</t>
        </is>
      </c>
      <c r="B218" s="80" t="n"/>
      <c r="C218" s="80" t="n"/>
      <c r="D218" s="80" t="inlineStr">
        <is>
          <t>7 months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Sapphire</t>
        </is>
      </c>
      <c r="H218" s="80" t="inlineStr">
        <is>
          <t>Other</t>
        </is>
      </c>
      <c r="I218" s="80" t="inlineStr">
        <is>
          <t>Rebecca Smith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Joi Cooper</t>
        </is>
      </c>
      <c r="B219" s="77" t="n"/>
      <c r="C219" s="77" t="n"/>
      <c r="D219" s="77" t="inlineStr">
        <is>
          <t>2 months</t>
        </is>
      </c>
      <c r="E219" s="77" t="inlineStr">
        <is>
          <t>No</t>
        </is>
      </c>
      <c r="F219" s="77" t="inlineStr">
        <is>
          <t>D</t>
        </is>
      </c>
      <c r="G219" s="77" t="inlineStr">
        <is>
          <t>PT DSP Estabrook</t>
        </is>
      </c>
      <c r="H219" s="77" t="inlineStr">
        <is>
          <t>Job Abandonment</t>
        </is>
      </c>
      <c r="I219" s="77" t="inlineStr">
        <is>
          <t>Sherry McMahan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Morgan Belcher</t>
        </is>
      </c>
      <c r="B220" s="80" t="n"/>
      <c r="C220" s="80" t="n"/>
      <c r="D220" s="80" t="inlineStr">
        <is>
          <t>1 week</t>
        </is>
      </c>
      <c r="E220" s="80" t="inlineStr">
        <is>
          <t>No</t>
        </is>
      </c>
      <c r="F220" s="80" t="inlineStr">
        <is>
          <t>D</t>
        </is>
      </c>
      <c r="G220" s="80" t="inlineStr">
        <is>
          <t>Royce Circle, #115</t>
        </is>
      </c>
      <c r="H220" s="80" t="inlineStr">
        <is>
          <t>Job Abandonment</t>
        </is>
      </c>
      <c r="I220" s="80" t="inlineStr">
        <is>
          <t>Sherry McMahan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Karmen Miller</t>
        </is>
      </c>
      <c r="B221" s="77" t="n"/>
      <c r="C221" s="77" t="n"/>
      <c r="D221" s="77" t="inlineStr">
        <is>
          <t>7 months</t>
        </is>
      </c>
      <c r="E221" s="77" t="inlineStr">
        <is>
          <t>Yes</t>
        </is>
      </c>
      <c r="F221" s="77" t="inlineStr">
        <is>
          <t>D</t>
        </is>
      </c>
      <c r="G221" s="77" t="inlineStr">
        <is>
          <t>ELC</t>
        </is>
      </c>
      <c r="H221" s="77" t="inlineStr">
        <is>
          <t>Job Abandonment</t>
        </is>
      </c>
      <c r="I221" s="77" t="inlineStr">
        <is>
          <t>Brittany Webb</t>
        </is>
      </c>
      <c r="J221" s="77" t="n"/>
      <c r="K221" s="77" t="inlineStr">
        <is>
          <t>Sub/Floater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Cassie Higdon</t>
        </is>
      </c>
      <c r="B222" s="80" t="n"/>
      <c r="C222" s="80" t="n"/>
      <c r="D222" s="80" t="inlineStr">
        <is>
          <t>1 week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813 Sapphire Road</t>
        </is>
      </c>
      <c r="H222" s="80" t="inlineStr">
        <is>
          <t>Job Abandonment</t>
        </is>
      </c>
      <c r="I222" s="80" t="inlineStr">
        <is>
          <t>Rebecca Smith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2023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  <c r="N246" t="inlineStr">
        <is>
          <t>Synced To Hub</t>
        </is>
      </c>
      <c r="O246" t="inlineStr">
        <is>
          <t>Do Not Sync</t>
        </is>
      </c>
    </row>
    <row r="247" ht="15" customHeight="1">
      <c r="A247" s="77" t="inlineStr">
        <is>
          <t>Tamara Robinson</t>
        </is>
      </c>
      <c r="B247" s="77" t="n"/>
      <c r="C247" s="77" t="n"/>
      <c r="D247" s="77" t="inlineStr">
        <is>
          <t>1 year 11 months</t>
        </is>
      </c>
      <c r="E247" s="77" t="inlineStr">
        <is>
          <t>Yes</t>
        </is>
      </c>
      <c r="F247" s="77" t="inlineStr">
        <is>
          <t>U</t>
        </is>
      </c>
      <c r="G247" s="77" t="inlineStr">
        <is>
          <t>Herbert Heidel</t>
        </is>
      </c>
      <c r="H247" s="77" t="inlineStr">
        <is>
          <t>Better Opportunity</t>
        </is>
      </c>
      <c r="I247" s="77" t="inlineStr">
        <is>
          <t>Kasey Foster</t>
        </is>
      </c>
      <c r="J247" s="77" t="n"/>
      <c r="K247" s="77" t="inlineStr">
        <is>
          <t>Other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Malachi Ray</t>
        </is>
      </c>
      <c r="B248" s="80" t="n"/>
      <c r="C248" s="80" t="n"/>
      <c r="D248" s="80" t="inlineStr">
        <is>
          <t>6 months</t>
        </is>
      </c>
      <c r="E248" s="80" t="inlineStr">
        <is>
          <t>No</t>
        </is>
      </c>
      <c r="F248" s="80" t="inlineStr">
        <is>
          <t>U</t>
        </is>
      </c>
      <c r="G248" s="80" t="inlineStr">
        <is>
          <t>ECF</t>
        </is>
      </c>
      <c r="H248" s="80" t="inlineStr">
        <is>
          <t>Better Opportunity</t>
        </is>
      </c>
      <c r="I248" s="80" t="inlineStr">
        <is>
          <t>Miranda Kelley</t>
        </is>
      </c>
      <c r="J248" s="80" t="n"/>
      <c r="K248" s="80" t="inlineStr">
        <is>
          <t>Sub/Floater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Gerald Roberts</t>
        </is>
      </c>
      <c r="B249" s="77" t="n"/>
      <c r="C249" s="77" t="n"/>
      <c r="D249" s="77" t="inlineStr">
        <is>
          <t>6 years 6 months</t>
        </is>
      </c>
      <c r="E249" s="77" t="inlineStr">
        <is>
          <t>Yes</t>
        </is>
      </c>
      <c r="F249" s="77" t="inlineStr">
        <is>
          <t>D</t>
        </is>
      </c>
      <c r="G249" s="77" t="inlineStr">
        <is>
          <t>Facilities</t>
        </is>
      </c>
      <c r="H249" s="77" t="inlineStr">
        <is>
          <t>Personal Reasons</t>
        </is>
      </c>
      <c r="I249" s="77" t="inlineStr">
        <is>
          <t>Kevin Hicks</t>
        </is>
      </c>
      <c r="J249" s="77" t="n"/>
      <c r="K249" s="77" t="inlineStr">
        <is>
          <t>Other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Ariel Olson</t>
        </is>
      </c>
      <c r="B250" s="80" t="n"/>
      <c r="C250" s="80" t="n"/>
      <c r="D250" s="80" t="inlineStr">
        <is>
          <t>9 years and 3 months</t>
        </is>
      </c>
      <c r="E250" s="80" t="inlineStr">
        <is>
          <t>No</t>
        </is>
      </c>
      <c r="F250" s="80" t="inlineStr">
        <is>
          <t>D</t>
        </is>
      </c>
      <c r="G250" s="80" t="inlineStr">
        <is>
          <t>Livingston</t>
        </is>
      </c>
      <c r="H250" s="80" t="inlineStr">
        <is>
          <t>Termination</t>
        </is>
      </c>
      <c r="I250" s="80" t="inlineStr">
        <is>
          <t>Sheri McMahan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Daniel Beals</t>
        </is>
      </c>
      <c r="B251" s="77" t="n"/>
      <c r="C251" s="77" t="n"/>
      <c r="D251" s="77" t="inlineStr">
        <is>
          <t>11 months</t>
        </is>
      </c>
      <c r="E251" s="77" t="inlineStr">
        <is>
          <t>No</t>
        </is>
      </c>
      <c r="F251" s="77" t="inlineStr">
        <is>
          <t>D</t>
        </is>
      </c>
      <c r="G251" s="77" t="inlineStr">
        <is>
          <t>196 Latimer</t>
        </is>
      </c>
      <c r="H251" s="77" t="inlineStr">
        <is>
          <t>Termination</t>
        </is>
      </c>
      <c r="I251" s="77" t="inlineStr">
        <is>
          <t>Kayla Birdsell</t>
        </is>
      </c>
      <c r="J251" s="77" t="n"/>
      <c r="K251" s="77" t="inlineStr">
        <is>
          <t>DSP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Maria Childress</t>
        </is>
      </c>
      <c r="B252" s="80" t="n"/>
      <c r="C252" s="80" t="n"/>
      <c r="D252" s="80" t="inlineStr">
        <is>
          <t>3 months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Newkirk</t>
        </is>
      </c>
      <c r="H252" s="80" t="inlineStr">
        <is>
          <t>Job Abandonment</t>
        </is>
      </c>
      <c r="I252" s="80" t="inlineStr">
        <is>
          <t>Casey Chumley</t>
        </is>
      </c>
      <c r="J252" s="80" t="n"/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Edgar Baldwin</t>
        </is>
      </c>
      <c r="B253" s="77" t="n"/>
      <c r="C253" s="77" t="n"/>
      <c r="D253" s="77" t="inlineStr">
        <is>
          <t>2 weeks</t>
        </is>
      </c>
      <c r="E253" s="77" t="inlineStr">
        <is>
          <t>No</t>
        </is>
      </c>
      <c r="F253" s="77" t="inlineStr">
        <is>
          <t>U</t>
        </is>
      </c>
      <c r="G253" s="77" t="inlineStr">
        <is>
          <t>McAdoo</t>
        </is>
      </c>
      <c r="H253" s="77" t="inlineStr">
        <is>
          <t>Job Abandonment</t>
        </is>
      </c>
      <c r="I253" s="77" t="inlineStr">
        <is>
          <t>Sheri McMahan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Rachel Castonguay</t>
        </is>
      </c>
      <c r="B254" s="80" t="n"/>
      <c r="C254" s="80" t="n"/>
      <c r="D254" s="80" t="inlineStr">
        <is>
          <t>1 year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246 Four Mile</t>
        </is>
      </c>
      <c r="H254" s="80" t="inlineStr">
        <is>
          <t>Resignation</t>
        </is>
      </c>
      <c r="I254" s="80" t="inlineStr">
        <is>
          <t>Kasey Foster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Quincy Scates</t>
        </is>
      </c>
      <c r="B255" s="77" t="n"/>
      <c r="C255" s="77" t="n"/>
      <c r="D255" s="77" t="inlineStr">
        <is>
          <t>1 year 3 months</t>
        </is>
      </c>
      <c r="E255" s="77" t="inlineStr">
        <is>
          <t>Yes</t>
        </is>
      </c>
      <c r="F255" s="77" t="inlineStr">
        <is>
          <t>U</t>
        </is>
      </c>
      <c r="G255" s="77" t="inlineStr">
        <is>
          <t>207 Wadsworth</t>
        </is>
      </c>
      <c r="H255" s="77" t="inlineStr">
        <is>
          <t>Better Opportunity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2023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  <c r="N280" t="inlineStr">
        <is>
          <t>Synced To Hub</t>
        </is>
      </c>
      <c r="O280" t="inlineStr">
        <is>
          <t>Do Not Sync</t>
        </is>
      </c>
    </row>
    <row r="281" ht="15" customHeight="1">
      <c r="A281" s="77" t="inlineStr">
        <is>
          <t>Elisa Martinez</t>
        </is>
      </c>
      <c r="B281" s="77" t="n"/>
      <c r="C281" s="77" t="n"/>
      <c r="D281" s="77" t="inlineStr">
        <is>
          <t>1 year</t>
        </is>
      </c>
      <c r="E281" s="77" t="inlineStr">
        <is>
          <t>No</t>
        </is>
      </c>
      <c r="F281" s="77" t="inlineStr">
        <is>
          <t>D</t>
        </is>
      </c>
      <c r="G281" s="77" t="inlineStr">
        <is>
          <t>Ulena</t>
        </is>
      </c>
      <c r="H281" s="77" t="inlineStr">
        <is>
          <t>Termination</t>
        </is>
      </c>
      <c r="I281" s="77" t="inlineStr">
        <is>
          <t>Sheri McMahan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Erika Dilbeck</t>
        </is>
      </c>
      <c r="B282" s="80" t="n"/>
      <c r="C282" s="80" t="n"/>
      <c r="D282" s="80" t="inlineStr">
        <is>
          <t>4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Personal Reasons</t>
        </is>
      </c>
      <c r="I282" s="80" t="inlineStr">
        <is>
          <t>Brittany Webb</t>
        </is>
      </c>
      <c r="J282" s="80" t="n"/>
      <c r="K282" s="80" t="inlineStr">
        <is>
          <t>Sub/Floater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Ashton Dunne</t>
        </is>
      </c>
      <c r="B283" s="77" t="n"/>
      <c r="C283" s="77" t="n"/>
      <c r="D283" s="77" t="inlineStr">
        <is>
          <t>1 year 7 months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Community Engagement</t>
        </is>
      </c>
      <c r="H283" s="77" t="inlineStr">
        <is>
          <t>Better Opportunity</t>
        </is>
      </c>
      <c r="I283" s="77" t="inlineStr">
        <is>
          <t>Aaron Price</t>
        </is>
      </c>
      <c r="J283" s="77" t="n"/>
      <c r="K283" s="77" t="inlineStr">
        <is>
          <t>Other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Chris Mwangi</t>
        </is>
      </c>
      <c r="B284" s="80" t="n"/>
      <c r="C284" s="80" t="n"/>
      <c r="D284" s="80" t="inlineStr">
        <is>
          <t>2 weeks</t>
        </is>
      </c>
      <c r="E284" s="80" t="inlineStr">
        <is>
          <t>No</t>
        </is>
      </c>
      <c r="F284" s="80" t="inlineStr">
        <is>
          <t>U</t>
        </is>
      </c>
      <c r="G284" s="80" t="inlineStr">
        <is>
          <t>150 Algers</t>
        </is>
      </c>
      <c r="H284" s="80" t="inlineStr">
        <is>
          <t>Termination</t>
        </is>
      </c>
      <c r="I284" s="80" t="inlineStr">
        <is>
          <t>Rebecca Smith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Mathew McClure</t>
        </is>
      </c>
      <c r="B285" s="77" t="n"/>
      <c r="C285" s="77" t="n"/>
      <c r="D285" s="77" t="inlineStr">
        <is>
          <t>7 years and 5 months</t>
        </is>
      </c>
      <c r="E285" s="77" t="inlineStr">
        <is>
          <t>Yes</t>
        </is>
      </c>
      <c r="F285" s="77" t="inlineStr">
        <is>
          <t>U</t>
        </is>
      </c>
      <c r="G285" s="77" t="inlineStr">
        <is>
          <t>Employment Services</t>
        </is>
      </c>
      <c r="H285" s="77" t="inlineStr">
        <is>
          <t>Personal Reasons</t>
        </is>
      </c>
      <c r="I285" s="77" t="inlineStr">
        <is>
          <t>Miranda Mclain</t>
        </is>
      </c>
      <c r="J285" s="77" t="n"/>
      <c r="K285" s="77" t="inlineStr">
        <is>
          <t>Other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Rachel Castonguay</t>
        </is>
      </c>
      <c r="B286" s="80" t="n"/>
      <c r="C286" s="80" t="n"/>
      <c r="D286" s="80" t="inlineStr">
        <is>
          <t>1 year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Four Mile</t>
        </is>
      </c>
      <c r="H286" s="80" t="inlineStr">
        <is>
          <t>Relocation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Samantha Godwin</t>
        </is>
      </c>
      <c r="B287" s="77" t="n"/>
      <c r="C287" s="77" t="n"/>
      <c r="D287" s="77" t="inlineStr">
        <is>
          <t>11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162 Wadsworth</t>
        </is>
      </c>
      <c r="H287" s="77" t="inlineStr">
        <is>
          <t>Personal Reasons</t>
        </is>
      </c>
      <c r="I287" s="77" t="inlineStr">
        <is>
          <t>Rebecca Smith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Haley Christian</t>
        </is>
      </c>
      <c r="B288" s="80" t="n"/>
      <c r="C288" s="80" t="n"/>
      <c r="D288" s="80" t="inlineStr">
        <is>
          <t>Less than two weeks</t>
        </is>
      </c>
      <c r="E288" s="80" t="inlineStr">
        <is>
          <t>No</t>
        </is>
      </c>
      <c r="F288" s="80" t="inlineStr">
        <is>
          <t>D</t>
        </is>
      </c>
      <c r="G288" s="80" t="inlineStr">
        <is>
          <t>Hamilton A</t>
        </is>
      </c>
      <c r="H288" s="80" t="inlineStr">
        <is>
          <t>Job Abandonment</t>
        </is>
      </c>
      <c r="I288" s="80" t="inlineStr">
        <is>
          <t>Casey Chumley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Nikketta Gibson</t>
        </is>
      </c>
      <c r="B289" s="77" t="n"/>
      <c r="C289" s="77" t="n"/>
      <c r="D289" s="77" t="inlineStr">
        <is>
          <t>4 months</t>
        </is>
      </c>
      <c r="E289" s="77" t="inlineStr">
        <is>
          <t>No</t>
        </is>
      </c>
      <c r="F289" s="77" t="inlineStr">
        <is>
          <t>U</t>
        </is>
      </c>
      <c r="G289" s="77" t="inlineStr">
        <is>
          <t>104 E Dalton</t>
        </is>
      </c>
      <c r="H289" s="77" t="inlineStr">
        <is>
          <t>Resignation</t>
        </is>
      </c>
      <c r="I289" s="77" t="inlineStr">
        <is>
          <t>Casey Chumley</t>
        </is>
      </c>
      <c r="J289" s="77" t="n"/>
      <c r="K289" s="77" t="inlineStr">
        <is>
          <t>DSP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Catherine Young</t>
        </is>
      </c>
      <c r="B290" s="80" t="n"/>
      <c r="C290" s="80" t="n"/>
      <c r="D290" s="80" t="inlineStr">
        <is>
          <t>Less than two weeks</t>
        </is>
      </c>
      <c r="E290" s="80" t="inlineStr">
        <is>
          <t>No</t>
        </is>
      </c>
      <c r="F290" s="80" t="inlineStr">
        <is>
          <t>U</t>
        </is>
      </c>
      <c r="G290" s="80" t="inlineStr">
        <is>
          <t>Ulena</t>
        </is>
      </c>
      <c r="H290" s="80" t="inlineStr">
        <is>
          <t>Job Abandonment</t>
        </is>
      </c>
      <c r="I290" s="80" t="inlineStr">
        <is>
          <t>Sherri McMahan</t>
        </is>
      </c>
      <c r="J290" s="80" t="n"/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Christy Luallen</t>
        </is>
      </c>
      <c r="B291" s="77" t="n"/>
      <c r="C291" s="77" t="n"/>
      <c r="D291" s="77" t="inlineStr">
        <is>
          <t>Less than two weeks</t>
        </is>
      </c>
      <c r="E291" s="77" t="inlineStr">
        <is>
          <t>No</t>
        </is>
      </c>
      <c r="F291" s="77" t="inlineStr">
        <is>
          <t>U</t>
        </is>
      </c>
      <c r="G291" s="77" t="inlineStr">
        <is>
          <t>Robert Bunch</t>
        </is>
      </c>
      <c r="H291" s="77" t="inlineStr">
        <is>
          <t>Job Abandonment</t>
        </is>
      </c>
      <c r="I291" s="77" t="inlineStr">
        <is>
          <t>Kasey Foster</t>
        </is>
      </c>
      <c r="J291" s="77" t="n"/>
      <c r="K291" s="77" t="inlineStr">
        <is>
          <t>DSP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Libby Leinhart</t>
        </is>
      </c>
      <c r="B292" s="80" t="n"/>
      <c r="C292" s="80" t="n"/>
      <c r="D292" s="80" t="inlineStr">
        <is>
          <t>1 month, 2 weeks</t>
        </is>
      </c>
      <c r="E292" s="80" t="inlineStr">
        <is>
          <t>No</t>
        </is>
      </c>
      <c r="F292" s="80" t="inlineStr">
        <is>
          <t>U</t>
        </is>
      </c>
      <c r="G292" s="80" t="inlineStr">
        <is>
          <t>EI - Home Based</t>
        </is>
      </c>
      <c r="H292" s="80" t="inlineStr">
        <is>
          <t>Personal Reasons</t>
        </is>
      </c>
      <c r="I292" s="80" t="inlineStr">
        <is>
          <t>Anna Moore</t>
        </is>
      </c>
      <c r="J292" s="80" t="n"/>
      <c r="K292" s="80" t="inlineStr">
        <is>
          <t>EI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2023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  <c r="N314" t="inlineStr">
        <is>
          <t>Synced To Hub</t>
        </is>
      </c>
      <c r="O314" t="inlineStr">
        <is>
          <t>Do Not Sync</t>
        </is>
      </c>
    </row>
    <row r="315" ht="15" customHeight="1">
      <c r="A315" s="77" t="inlineStr">
        <is>
          <t>Karah Hutson</t>
        </is>
      </c>
      <c r="B315" s="77" t="n"/>
      <c r="C315" s="77" t="n"/>
      <c r="D315" s="77" t="inlineStr">
        <is>
          <t>Less than 1 week</t>
        </is>
      </c>
      <c r="E315" s="77" t="inlineStr">
        <is>
          <t>No</t>
        </is>
      </c>
      <c r="F315" s="77" t="inlineStr">
        <is>
          <t>U</t>
        </is>
      </c>
      <c r="G315" s="77" t="inlineStr">
        <is>
          <t>162 Wadsworth</t>
        </is>
      </c>
      <c r="H315" s="77" t="inlineStr">
        <is>
          <t>Job Abandonment</t>
        </is>
      </c>
      <c r="I315" s="77" t="inlineStr">
        <is>
          <t>Rebecca Smith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Nikki Walker</t>
        </is>
      </c>
      <c r="B316" s="80" t="n"/>
      <c r="C316" s="80" t="n"/>
      <c r="D316" s="80" t="inlineStr">
        <is>
          <t>2 weeks</t>
        </is>
      </c>
      <c r="E316" s="80" t="inlineStr">
        <is>
          <t>No</t>
        </is>
      </c>
      <c r="F316" s="80" t="inlineStr">
        <is>
          <t>U</t>
        </is>
      </c>
      <c r="G316" s="80" t="inlineStr">
        <is>
          <t>162 Wadsworth</t>
        </is>
      </c>
      <c r="H316" s="80" t="inlineStr">
        <is>
          <t>Personal Reasons</t>
        </is>
      </c>
      <c r="I316" s="80" t="inlineStr">
        <is>
          <t>Rebecca Smith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Allison Lowe</t>
        </is>
      </c>
      <c r="B317" s="77" t="n"/>
      <c r="C317" s="77" t="n"/>
      <c r="D317" s="77" t="inlineStr">
        <is>
          <t>One month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Tuskegee</t>
        </is>
      </c>
      <c r="H317" s="77" t="inlineStr">
        <is>
          <t>Personal Reasons</t>
        </is>
      </c>
      <c r="I317" s="77" t="inlineStr">
        <is>
          <t>Casey Chumley</t>
        </is>
      </c>
      <c r="J317" s="77" t="n"/>
      <c r="K317" s="77" t="inlineStr">
        <is>
          <t>DSP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Naomi Griggs</t>
        </is>
      </c>
      <c r="B318" s="80" t="n"/>
      <c r="C318" s="80" t="n"/>
      <c r="D318" s="80" t="inlineStr">
        <is>
          <t>One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Ulena</t>
        </is>
      </c>
      <c r="H318" s="80" t="inlineStr">
        <is>
          <t>Personal Reasons</t>
        </is>
      </c>
      <c r="I318" s="80" t="inlineStr">
        <is>
          <t>Sherri McMahan</t>
        </is>
      </c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Haven Cooley</t>
        </is>
      </c>
      <c r="B319" s="77" t="n"/>
      <c r="C319" s="77" t="n"/>
      <c r="D319" s="77" t="inlineStr">
        <is>
          <t>Less than 1 week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Dalton/207 Royce/Hamilton A/Lower Valley</t>
        </is>
      </c>
      <c r="H319" s="77" t="inlineStr">
        <is>
          <t>Job Abandonment</t>
        </is>
      </c>
      <c r="I319" s="77" t="inlineStr">
        <is>
          <t>Casey Chumley</t>
        </is>
      </c>
      <c r="J319" s="77" t="n"/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Jovi McMichael</t>
        </is>
      </c>
      <c r="B320" s="80" t="n"/>
      <c r="C320" s="80" t="n"/>
      <c r="D320" s="80" t="inlineStr">
        <is>
          <t>One year</t>
        </is>
      </c>
      <c r="E320" s="80" t="inlineStr">
        <is>
          <t>Yes</t>
        </is>
      </c>
      <c r="F320" s="80" t="inlineStr">
        <is>
          <t>U</t>
        </is>
      </c>
      <c r="G320" s="80" t="inlineStr">
        <is>
          <t>ELC</t>
        </is>
      </c>
      <c r="H320" s="80" t="inlineStr">
        <is>
          <t>Resignation</t>
        </is>
      </c>
      <c r="I320" s="80" t="inlineStr">
        <is>
          <t>Brittany Webb</t>
        </is>
      </c>
      <c r="J320" s="80" t="n"/>
      <c r="K320" s="80" t="inlineStr">
        <is>
          <t>Sub/Floater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Kimberly Harding</t>
        </is>
      </c>
      <c r="B321" s="77" t="n"/>
      <c r="C321" s="77" t="n"/>
      <c r="D321" s="77" t="inlineStr">
        <is>
          <t>Less than 1 week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ELC</t>
        </is>
      </c>
      <c r="H321" s="77" t="inlineStr">
        <is>
          <t>Job Abandonment</t>
        </is>
      </c>
      <c r="I321" s="77" t="inlineStr">
        <is>
          <t>Brittany Webb</t>
        </is>
      </c>
      <c r="J321" s="77" t="n"/>
      <c r="K321" s="77" t="inlineStr">
        <is>
          <t>Sub/Floater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Megan Hall</t>
        </is>
      </c>
      <c r="B322" s="80" t="n"/>
      <c r="C322" s="80" t="n"/>
      <c r="D322" s="80" t="inlineStr">
        <is>
          <t>Less than 1 week</t>
        </is>
      </c>
      <c r="E322" s="80" t="inlineStr">
        <is>
          <t>No</t>
        </is>
      </c>
      <c r="F322" s="80" t="inlineStr">
        <is>
          <t>U</t>
        </is>
      </c>
      <c r="G322" s="80" t="inlineStr">
        <is>
          <t>Hamilton A/145 Latimer</t>
        </is>
      </c>
      <c r="H322" s="80" t="inlineStr">
        <is>
          <t>Performance Issues</t>
        </is>
      </c>
      <c r="I322" s="80" t="inlineStr">
        <is>
          <t>Casey Chumley</t>
        </is>
      </c>
      <c r="J322" s="80" t="n"/>
      <c r="K322" s="80" t="inlineStr">
        <is>
          <t>DSP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Kenda Lawson</t>
        </is>
      </c>
      <c r="B323" s="77" t="n"/>
      <c r="C323" s="77" t="n"/>
      <c r="D323" s="77" t="inlineStr">
        <is>
          <t>5 months</t>
        </is>
      </c>
      <c r="E323" s="77" t="inlineStr">
        <is>
          <t>No</t>
        </is>
      </c>
      <c r="F323" s="77" t="inlineStr">
        <is>
          <t>D</t>
        </is>
      </c>
      <c r="G323" s="77" t="inlineStr">
        <is>
          <t>Tiffin</t>
        </is>
      </c>
      <c r="H323" s="77" t="inlineStr">
        <is>
          <t>Better Opportunity</t>
        </is>
      </c>
      <c r="I323" s="77" t="inlineStr">
        <is>
          <t>Rebecca Smith</t>
        </is>
      </c>
      <c r="J323" s="77" t="n"/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Kelley Kaufmann</t>
        </is>
      </c>
      <c r="B324" s="80" t="n"/>
      <c r="C324" s="80" t="n"/>
      <c r="D324" s="80" t="inlineStr">
        <is>
          <t>1 year 2 months</t>
        </is>
      </c>
      <c r="E324" s="80" t="inlineStr">
        <is>
          <t>No</t>
        </is>
      </c>
      <c r="F324" s="80" t="inlineStr">
        <is>
          <t>U</t>
        </is>
      </c>
      <c r="G324" s="80" t="inlineStr">
        <is>
          <t>EI</t>
        </is>
      </c>
      <c r="H324" s="80" t="inlineStr">
        <is>
          <t>Personal Reasons</t>
        </is>
      </c>
      <c r="I324" s="80" t="inlineStr">
        <is>
          <t>Anna Moore</t>
        </is>
      </c>
      <c r="J324" s="80" t="n"/>
      <c r="K324" s="80" t="inlineStr">
        <is>
          <t>EI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Kaylea Wolff</t>
        </is>
      </c>
      <c r="B325" s="77" t="n"/>
      <c r="C325" s="77" t="n"/>
      <c r="D325" s="77" t="inlineStr">
        <is>
          <t>5 months</t>
        </is>
      </c>
      <c r="E325" s="77" t="inlineStr">
        <is>
          <t>Yes</t>
        </is>
      </c>
      <c r="F325" s="77" t="inlineStr">
        <is>
          <t>U</t>
        </is>
      </c>
      <c r="G325" s="77" t="inlineStr">
        <is>
          <t>164 W Wadsworth Circle</t>
        </is>
      </c>
      <c r="H325" s="77" t="inlineStr">
        <is>
          <t>Personal Reasons</t>
        </is>
      </c>
      <c r="I325" s="77" t="inlineStr">
        <is>
          <t>Brittany Smith</t>
        </is>
      </c>
      <c r="J325" s="77" t="n"/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Brianna Barton</t>
        </is>
      </c>
      <c r="B326" s="80" t="n"/>
      <c r="C326" s="80" t="n"/>
      <c r="D326" s="80" t="inlineStr">
        <is>
          <t>4 months</t>
        </is>
      </c>
      <c r="E326" s="80" t="inlineStr">
        <is>
          <t>Yes</t>
        </is>
      </c>
      <c r="F326" s="80" t="inlineStr">
        <is>
          <t>U</t>
        </is>
      </c>
      <c r="G326" s="80" t="inlineStr">
        <is>
          <t>McAdoo</t>
        </is>
      </c>
      <c r="H326" s="80" t="inlineStr">
        <is>
          <t>Personal Reasons</t>
        </is>
      </c>
      <c r="I326" s="80" t="inlineStr">
        <is>
          <t>Sherri McMahan</t>
        </is>
      </c>
      <c r="J326" s="80" t="n"/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2023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  <c r="N348" t="inlineStr">
        <is>
          <t>Synced To Hub</t>
        </is>
      </c>
      <c r="O348" t="inlineStr">
        <is>
          <t>Do Not Sync</t>
        </is>
      </c>
    </row>
    <row r="349" ht="15" customHeight="1">
      <c r="A349" s="77" t="inlineStr">
        <is>
          <t>Robin Hamrick</t>
        </is>
      </c>
      <c r="B349" s="77" t="n"/>
      <c r="C349" s="77" t="n"/>
      <c r="D349" s="77" t="inlineStr">
        <is>
          <t>6 years and 4 months</t>
        </is>
      </c>
      <c r="E349" s="77" t="inlineStr">
        <is>
          <t>Yes</t>
        </is>
      </c>
      <c r="F349" s="77" t="inlineStr">
        <is>
          <t>U</t>
        </is>
      </c>
      <c r="G349" s="77" t="inlineStr">
        <is>
          <t>EI</t>
        </is>
      </c>
      <c r="H349" s="77" t="inlineStr">
        <is>
          <t>Retirement</t>
        </is>
      </c>
      <c r="I349" s="77" t="inlineStr">
        <is>
          <t>Anna Moore</t>
        </is>
      </c>
      <c r="J349" s="77" t="n"/>
      <c r="K349" s="77" t="inlineStr">
        <is>
          <t>EI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Chris Maney</t>
        </is>
      </c>
      <c r="B350" s="80" t="n"/>
      <c r="C350" s="80" t="n"/>
      <c r="D350" s="80" t="inlineStr">
        <is>
          <t>3 weeks</t>
        </is>
      </c>
      <c r="E350" s="80" t="inlineStr">
        <is>
          <t>No</t>
        </is>
      </c>
      <c r="F350" s="80" t="inlineStr">
        <is>
          <t>D</t>
        </is>
      </c>
      <c r="G350" s="80" t="inlineStr">
        <is>
          <t>Job Developer</t>
        </is>
      </c>
      <c r="H350" s="80" t="inlineStr">
        <is>
          <t>Better Opportunity</t>
        </is>
      </c>
      <c r="I350" s="80" t="inlineStr">
        <is>
          <t>Miranda Kelley</t>
        </is>
      </c>
      <c r="J350" s="80" t="n"/>
      <c r="K350" s="80" t="inlineStr">
        <is>
          <t>Other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Teresa Luke</t>
        </is>
      </c>
      <c r="B351" s="77" t="n"/>
      <c r="C351" s="77" t="n"/>
      <c r="D351" s="77" t="inlineStr">
        <is>
          <t>15 years</t>
        </is>
      </c>
      <c r="E351" s="77" t="inlineStr">
        <is>
          <t>Yes</t>
        </is>
      </c>
      <c r="F351" s="77" t="inlineStr">
        <is>
          <t>D</t>
        </is>
      </c>
      <c r="G351" s="77" t="inlineStr">
        <is>
          <t>Ulena</t>
        </is>
      </c>
      <c r="H351" s="77" t="inlineStr">
        <is>
          <t>Performance Issues</t>
        </is>
      </c>
      <c r="I351" s="77" t="inlineStr">
        <is>
          <t>Sheri McMahan</t>
        </is>
      </c>
      <c r="J351" s="77" t="n"/>
      <c r="K351" s="77" t="inlineStr">
        <is>
          <t>DSP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Markeysha Clark</t>
        </is>
      </c>
      <c r="B352" s="80" t="n"/>
      <c r="C352" s="80" t="n"/>
      <c r="D352" s="80" t="inlineStr">
        <is>
          <t>2 months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ECF</t>
        </is>
      </c>
      <c r="H352" s="80" t="inlineStr">
        <is>
          <t>Resignation</t>
        </is>
      </c>
      <c r="I352" s="80" t="inlineStr">
        <is>
          <t>Miranda Kelley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Isaac Sulfridge</t>
        </is>
      </c>
      <c r="B353" s="77" t="n"/>
      <c r="C353" s="77" t="n"/>
      <c r="D353" s="77" t="inlineStr">
        <is>
          <t>2 weeks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Dalton</t>
        </is>
      </c>
      <c r="H353" s="77" t="inlineStr">
        <is>
          <t>Job Abandonment</t>
        </is>
      </c>
      <c r="I353" s="77" t="inlineStr">
        <is>
          <t>Casey Chumley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Daniel Sexton</t>
        </is>
      </c>
      <c r="B354" s="80" t="n"/>
      <c r="C354" s="80" t="n"/>
      <c r="D354" s="80" t="inlineStr">
        <is>
          <t>11 months</t>
        </is>
      </c>
      <c r="E354" s="80" t="inlineStr">
        <is>
          <t>Yes</t>
        </is>
      </c>
      <c r="F354" s="80" t="inlineStr">
        <is>
          <t>D</t>
        </is>
      </c>
      <c r="G354" s="80" t="inlineStr">
        <is>
          <t>200 Latimer/196 Latimer</t>
        </is>
      </c>
      <c r="H354" s="80" t="inlineStr">
        <is>
          <t>Personal Reasons</t>
        </is>
      </c>
      <c r="I354" s="80" t="inlineStr">
        <is>
          <t>Sheri McMahan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Pat George</t>
        </is>
      </c>
      <c r="B355" s="77" t="n"/>
      <c r="C355" s="77" t="n"/>
      <c r="D355" s="77" t="inlineStr">
        <is>
          <t>12 years and 4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Tuskegee</t>
        </is>
      </c>
      <c r="H355" s="77" t="inlineStr">
        <is>
          <t>Personal Reasons</t>
        </is>
      </c>
      <c r="I355" s="77" t="inlineStr">
        <is>
          <t>Casey Chumley</t>
        </is>
      </c>
      <c r="J355" s="77" t="n"/>
      <c r="K355" s="77" t="inlineStr">
        <is>
          <t>DSP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Chereka Truitt</t>
        </is>
      </c>
      <c r="B356" s="80" t="n"/>
      <c r="C356" s="80" t="n"/>
      <c r="D356" s="80" t="inlineStr">
        <is>
          <t>2 months</t>
        </is>
      </c>
      <c r="E356" s="80" t="inlineStr">
        <is>
          <t>No</t>
        </is>
      </c>
      <c r="F356" s="80" t="inlineStr">
        <is>
          <t>D</t>
        </is>
      </c>
      <c r="G356" s="80" t="inlineStr">
        <is>
          <t>104 East Dalton</t>
        </is>
      </c>
      <c r="H356" s="80" t="inlineStr">
        <is>
          <t>Job Abandonment</t>
        </is>
      </c>
      <c r="I356" s="80" t="inlineStr">
        <is>
          <t>Casey Chumley</t>
        </is>
      </c>
      <c r="J356" s="80" t="n"/>
      <c r="K356" s="80" t="inlineStr">
        <is>
          <t>DSP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Caitlyn Laway</t>
        </is>
      </c>
      <c r="B357" s="77" t="n"/>
      <c r="C357" s="77" t="n"/>
      <c r="D357" s="77" t="inlineStr">
        <is>
          <t>1 month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Robert Bunch</t>
        </is>
      </c>
      <c r="H357" s="77" t="inlineStr">
        <is>
          <t>Performance Issues</t>
        </is>
      </c>
      <c r="I357" s="77" t="inlineStr">
        <is>
          <t>Kasey Foster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Melissa Hodges</t>
        </is>
      </c>
      <c r="B358" s="80" t="n"/>
      <c r="C358" s="80" t="n"/>
      <c r="D358" s="80" t="inlineStr">
        <is>
          <t>11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112 Salem</t>
        </is>
      </c>
      <c r="H358" s="80" t="inlineStr">
        <is>
          <t>Resignation</t>
        </is>
      </c>
      <c r="I358" s="80" t="inlineStr">
        <is>
          <t>Rebecca Smith</t>
        </is>
      </c>
      <c r="J358" s="80" t="n"/>
      <c r="K358" s="80" t="inlineStr">
        <is>
          <t>DSP</t>
        </is>
      </c>
      <c r="L358" s="80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2023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  <c r="N382" t="inlineStr">
        <is>
          <t>Synced To Hub</t>
        </is>
      </c>
      <c r="O382" t="inlineStr">
        <is>
          <t>Do Not Sync</t>
        </is>
      </c>
    </row>
    <row r="383" ht="15" customHeight="1">
      <c r="A383" s="77" t="inlineStr">
        <is>
          <t>Rachel Goodwin</t>
        </is>
      </c>
      <c r="B383" s="77" t="n"/>
      <c r="C383" s="77" t="n"/>
      <c r="D383" s="77" t="inlineStr">
        <is>
          <t>2 weeks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131 Wadsworth</t>
        </is>
      </c>
      <c r="H383" s="77" t="inlineStr">
        <is>
          <t>Personal Reasons</t>
        </is>
      </c>
      <c r="I383" s="77" t="inlineStr">
        <is>
          <t>Kasey Foster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Laura Stratton</t>
        </is>
      </c>
      <c r="B384" s="80" t="n"/>
      <c r="C384" s="80" t="n"/>
      <c r="D384" s="80" t="inlineStr">
        <is>
          <t>27 years and 8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Atlanta</t>
        </is>
      </c>
      <c r="H384" s="80" t="inlineStr">
        <is>
          <t>Retirement</t>
        </is>
      </c>
      <c r="I384" s="80" t="inlineStr">
        <is>
          <t>Kayla Birdsell</t>
        </is>
      </c>
      <c r="J384" s="80" t="n"/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Angel Martin</t>
        </is>
      </c>
      <c r="B385" s="77" t="n"/>
      <c r="C385" s="77" t="n"/>
      <c r="D385" s="77" t="inlineStr">
        <is>
          <t>6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Kasey Foster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John Ritner</t>
        </is>
      </c>
      <c r="B386" s="80" t="n"/>
      <c r="C386" s="80" t="n"/>
      <c r="D386" s="80" t="inlineStr">
        <is>
          <t>1 month</t>
        </is>
      </c>
      <c r="E386" s="80" t="inlineStr">
        <is>
          <t>No</t>
        </is>
      </c>
      <c r="F386" s="80" t="inlineStr">
        <is>
          <t>U</t>
        </is>
      </c>
      <c r="G386" s="80" t="inlineStr">
        <is>
          <t>200 Latimer</t>
        </is>
      </c>
      <c r="H386" s="80" t="inlineStr">
        <is>
          <t>Job Abandonment</t>
        </is>
      </c>
      <c r="I386" s="80" t="inlineStr">
        <is>
          <t>Sheri McMahan</t>
        </is>
      </c>
      <c r="J386" s="80" t="n"/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Jaiden McCoy</t>
        </is>
      </c>
      <c r="B387" s="77" t="n"/>
      <c r="C387" s="77" t="n"/>
      <c r="D387" s="77" t="inlineStr">
        <is>
          <t>2 weeks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ECF</t>
        </is>
      </c>
      <c r="H387" s="77" t="inlineStr">
        <is>
          <t>Personal Reasons</t>
        </is>
      </c>
      <c r="I387" s="77" t="inlineStr">
        <is>
          <t>Miranda Kelley</t>
        </is>
      </c>
      <c r="J387" s="77" t="n"/>
      <c r="K387" s="77" t="inlineStr">
        <is>
          <t>Other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Takiyla Bazel</t>
        </is>
      </c>
      <c r="B388" s="80" t="n"/>
      <c r="C388" s="80" t="n"/>
      <c r="D388" s="80" t="inlineStr">
        <is>
          <t>1 year</t>
        </is>
      </c>
      <c r="E388" s="80" t="inlineStr">
        <is>
          <t>Yes</t>
        </is>
      </c>
      <c r="F388" s="80" t="inlineStr">
        <is>
          <t>U</t>
        </is>
      </c>
      <c r="G388" s="80" t="inlineStr">
        <is>
          <t>145 Latimer</t>
        </is>
      </c>
      <c r="H388" s="80" t="inlineStr">
        <is>
          <t>Better Opportunity</t>
        </is>
      </c>
      <c r="I388" s="80" t="inlineStr">
        <is>
          <t>Casey Chumley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Marshall Springer</t>
        </is>
      </c>
      <c r="B389" s="77" t="n"/>
      <c r="C389" s="77" t="n"/>
      <c r="D389" s="77" t="inlineStr">
        <is>
          <t>1 month</t>
        </is>
      </c>
      <c r="E389" s="77" t="inlineStr">
        <is>
          <t>No</t>
        </is>
      </c>
      <c r="F389" s="77" t="inlineStr">
        <is>
          <t>U</t>
        </is>
      </c>
      <c r="G389" s="77" t="inlineStr">
        <is>
          <t>162 Wadsworth</t>
        </is>
      </c>
      <c r="H389" s="77" t="inlineStr">
        <is>
          <t>Job Abandonment</t>
        </is>
      </c>
      <c r="I389" s="77" t="inlineStr">
        <is>
          <t>Rebecca Smith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Lateta Jackson</t>
        </is>
      </c>
      <c r="B390" s="80" t="n"/>
      <c r="C390" s="80" t="n"/>
      <c r="D390" s="80" t="inlineStr">
        <is>
          <t>6 months</t>
        </is>
      </c>
      <c r="E390" s="80" t="inlineStr">
        <is>
          <t>No</t>
        </is>
      </c>
      <c r="F390" s="80" t="inlineStr">
        <is>
          <t>U</t>
        </is>
      </c>
      <c r="G390" s="80" t="inlineStr">
        <is>
          <t>Northwestern</t>
        </is>
      </c>
      <c r="H390" s="80" t="inlineStr">
        <is>
          <t>Attendance Issues</t>
        </is>
      </c>
      <c r="I390" s="80" t="inlineStr">
        <is>
          <t>Kasey Foster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Amber Steinmetz</t>
        </is>
      </c>
      <c r="B391" s="77" t="n"/>
      <c r="C391" s="77" t="n"/>
      <c r="D391" s="77" t="inlineStr">
        <is>
          <t>11 months</t>
        </is>
      </c>
      <c r="E391" s="77" t="inlineStr">
        <is>
          <t>Yes</t>
        </is>
      </c>
      <c r="F391" s="77" t="inlineStr">
        <is>
          <t>U</t>
        </is>
      </c>
      <c r="G391" s="77" t="inlineStr">
        <is>
          <t>Sapphire</t>
        </is>
      </c>
      <c r="H391" s="77" t="inlineStr">
        <is>
          <t>Relocation</t>
        </is>
      </c>
      <c r="I391" s="77" t="inlineStr">
        <is>
          <t>Rebecca Smith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79:M279"/>
    <mergeCell ref="A75:M75"/>
    <mergeCell ref="A211:M211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7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or D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1-00000005}">
          <x14:formula1>
            <xm:f>Reference!$L$2:$L$10</xm:f>
          </x14:formula1>
          <xm:sqref>M9:M413</xm:sqref>
        </x14:dataValidation>
        <x14:dataValidation xmlns:xr="http://schemas.microsoft.com/office/spreadsheetml/2014/revision" type="list" errorStyle="stop" allowBlank="1" showInputMessage="1" showErrorMessage="1" errorTitle="Invalid Do Not Sync" error="Do Not Sync must be Yes or No (leave blank for No)." promptTitle="" prompt="" xr:uid="{00000000-0002-0000-0001-00000006}">
          <x14:formula1>
            <xm:f>Reference!$B$2:$B$3</xm:f>
          </x14:formula1>
          <xm:sqref>O9:O413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tabColor rgb="FF95A5A6"/>
    <outlinePr summaryBelow="1" summaryRight="1"/>
    <pageSetUpPr/>
  </sheetPr>
  <dimension ref="A1:O187"/>
  <sheetViews>
    <sheetView zoomScaleNormal="100" workbookViewId="0">
      <selection activeCell="E113" sqref="E113"/>
    </sheetView>
  </sheetViews>
  <sheetFormatPr baseColWidth="8" defaultColWidth="8.7109375" defaultRowHeight="15"/>
  <cols>
    <col width="14" customWidth="1" min="1" max="15"/>
  </cols>
  <sheetData>
    <row r="1" ht="15" customHeight="1">
      <c r="A1" s="137" t="inlineStr">
        <is>
          <t>FY Year</t>
        </is>
      </c>
      <c r="B1" s="137" t="inlineStr">
        <is>
          <t>Active Emp</t>
        </is>
      </c>
      <c r="C1" s="137" t="inlineStr">
        <is>
          <t>Total Sep</t>
        </is>
      </c>
      <c r="D1" s="137" t="inlineStr">
        <is>
          <t>TOR %</t>
        </is>
      </c>
      <c r="E1" s="137" t="inlineStr">
        <is>
          <t>Avg Monthly</t>
        </is>
      </c>
      <c r="F1" s="137" t="inlineStr">
        <is>
          <t>Voluntary</t>
        </is>
      </c>
      <c r="G1" s="137" t="inlineStr">
        <is>
          <t>Involuntary</t>
        </is>
      </c>
      <c r="H1" s="137" t="inlineStr">
        <is>
          <t>Other</t>
        </is>
      </c>
      <c r="I1" s="137" t="inlineStr">
        <is>
          <t>Vol %</t>
        </is>
      </c>
      <c r="J1" s="137" t="inlineStr">
        <is>
          <t>Rehire Rate</t>
        </is>
      </c>
      <c r="K1" s="137" t="inlineStr">
        <is>
          <t>Exit Rate</t>
        </is>
      </c>
      <c r="L1" s="6" t="n"/>
      <c r="M1" s="6" t="n"/>
      <c r="N1" s="6" t="n"/>
      <c r="O1" s="6" t="n"/>
    </row>
    <row r="2" ht="15" customHeight="1">
      <c r="A2" s="6" t="inlineStr">
        <is>
          <t>FY 2023</t>
        </is>
      </c>
      <c r="B2" s="6">
        <f>'FY 2023 (Jan23-Dec23)'!B5</f>
        <v/>
      </c>
      <c r="C2" s="6">
        <f>'FY 2023 (Jan23-Dec23)'!E5</f>
        <v/>
      </c>
      <c r="D2" s="6">
        <f>IF(B2=0,0,C2/B2)</f>
        <v/>
      </c>
      <c r="E2" s="6">
        <f>IFERROR(C2/IF(VALUE(RIGHT(A2,4))&lt;YEAR(TODAY()),12,IF(VALUE(RIGHT(A2,4))&gt;YEAR(TODAY()),NA(),MONTH(TODAY()))),0)</f>
        <v/>
      </c>
      <c r="F2" s="6">
        <f>SUMPRODUCT((Data!$B$56:$B$68="Voluntary")*Data!$C$56:$C$68)</f>
        <v/>
      </c>
      <c r="G2" s="6">
        <f>SUMPRODUCT((Data!$B$56:$B$68="Involuntary")*Data!$C$56:$C$68)</f>
        <v/>
      </c>
      <c r="H2" s="6">
        <f>SUMPRODUCT((Data!$B$56:$B$68="Other")*Data!$C$56:$C$68)</f>
        <v/>
      </c>
      <c r="I2" s="6">
        <f>IF(C2=0,0,F2/C2)</f>
        <v/>
      </c>
      <c r="J2" s="6">
        <f>IFERROR(COUNTIF('FY 2023 (Jan23-Dec23)'!E9:E412,"Yes")/(COUNTIF('FY 2023 (Jan23-Dec23)'!E9:E412,"Yes")+COUNTIF('FY 2023 (Jan23-Dec23)'!E9:E412,"No")),0)</f>
        <v/>
      </c>
      <c r="K2" s="6">
        <f>IFERROR(SUMPRODUCT(ISNUMBER('FY 2023 (Jan23-Dec23)'!J9:J412)*1)/C2,0)</f>
        <v/>
      </c>
      <c r="L2" s="6" t="n"/>
      <c r="M2" s="6" t="n"/>
      <c r="N2" s="6" t="n"/>
      <c r="O2" s="6" t="inlineStr">
        <is>
          <t>FY 2023</t>
        </is>
      </c>
    </row>
    <row r="3" ht="15" customHeight="1">
      <c r="A3" s="6" t="inlineStr">
        <is>
          <t>FY 2024</t>
        </is>
      </c>
      <c r="B3" s="6">
        <f>'FY 2024 (Jan24-Dec24)'!B5</f>
        <v/>
      </c>
      <c r="C3" s="6">
        <f>'FY 2024 (Jan24-Dec24)'!E5</f>
        <v/>
      </c>
      <c r="D3" s="6">
        <f>IF(B3=0,0,C3/B3)</f>
        <v/>
      </c>
      <c r="E3" s="6">
        <f>IFERROR(C3/IF(VALUE(RIGHT(A3,4))&lt;YEAR(TODAY()),12,IF(VALUE(RIGHT(A3,4))&gt;YEAR(TODAY()),NA(),MONTH(TODAY()))),0)</f>
        <v/>
      </c>
      <c r="F3" s="6">
        <f>SUMPRODUCT((Data!$B$56:$B$68="Voluntary")*Data!$D$56:$D$68)</f>
        <v/>
      </c>
      <c r="G3" s="6">
        <f>SUMPRODUCT((Data!$B$56:$B$68="Involuntary")*Data!$D$56:$D$68)</f>
        <v/>
      </c>
      <c r="H3" s="6">
        <f>SUMPRODUCT((Data!$B$56:$B$68="Other")*Data!$D$56:$D$68)</f>
        <v/>
      </c>
      <c r="I3" s="6">
        <f>IF(C3=0,0,F3/C3)</f>
        <v/>
      </c>
      <c r="J3" s="6">
        <f>IFERROR(COUNTIF('FY 2024 (Jan24-Dec24)'!E9:E412,"Yes")/(COUNTIF('FY 2024 (Jan24-Dec24)'!E9:E412,"Yes")+COUNTIF('FY 2024 (Jan24-Dec24)'!E9:E412,"No")),0)</f>
        <v/>
      </c>
      <c r="K3" s="6">
        <f>IFERROR(SUMPRODUCT(ISNUMBER('FY 2024 (Jan24-Dec24)'!J9:J412)*1)/C3,0)</f>
        <v/>
      </c>
      <c r="L3" s="6" t="n"/>
      <c r="M3" s="6" t="n"/>
      <c r="N3" s="6" t="n"/>
      <c r="O3" s="6" t="inlineStr">
        <is>
          <t>FY 2024</t>
        </is>
      </c>
    </row>
    <row r="4" ht="15" customHeight="1">
      <c r="A4" s="6" t="inlineStr">
        <is>
          <t>FY 2025</t>
        </is>
      </c>
      <c r="B4" s="6">
        <f>'FY 2025 (Jan25-Dec25)'!B5</f>
        <v/>
      </c>
      <c r="C4" s="6">
        <f>'FY 2025 (Jan25-Dec25)'!E5</f>
        <v/>
      </c>
      <c r="D4" s="6">
        <f>IF(B4=0,0,C4/B4)</f>
        <v/>
      </c>
      <c r="E4" s="6">
        <f>IFERROR(C4/IF(VALUE(RIGHT(A4,4))&lt;YEAR(TODAY()),12,IF(VALUE(RIGHT(A4,4))&gt;YEAR(TODAY()),NA(),MONTH(TODAY()))),0)</f>
        <v/>
      </c>
      <c r="F4" s="6">
        <f>SUMPRODUCT((Data!$B$56:$B$68="Voluntary")*Data!$E$56:$E$68)</f>
        <v/>
      </c>
      <c r="G4" s="6">
        <f>SUMPRODUCT((Data!$B$56:$B$68="Involuntary")*Data!$E$56:$E$68)</f>
        <v/>
      </c>
      <c r="H4" s="6">
        <f>SUMPRODUCT((Data!$B$56:$B$68="Other")*Data!$E$56:$E$68)</f>
        <v/>
      </c>
      <c r="I4" s="6">
        <f>IF(C4=0,0,F4/C4)</f>
        <v/>
      </c>
      <c r="J4" s="6">
        <f>IFERROR(COUNTIF('FY 2025 (Jan25-Dec25)'!E9:E412,"Yes")/(COUNTIF('FY 2025 (Jan25-Dec25)'!E9:E412,"Yes")+COUNTIF('FY 2025 (Jan25-Dec25)'!E9:E412,"No")),0)</f>
        <v/>
      </c>
      <c r="K4" s="6">
        <f>IFERROR(SUMPRODUCT(ISNUMBER('FY 2025 (Jan25-Dec25)'!J9:J412)*1)/C4,0)</f>
        <v/>
      </c>
      <c r="L4" s="6" t="n"/>
      <c r="M4" s="6" t="n"/>
      <c r="N4" s="6" t="n"/>
      <c r="O4" s="6" t="inlineStr">
        <is>
          <t>FY 2025</t>
        </is>
      </c>
    </row>
    <row r="5" ht="15" customHeight="1">
      <c r="A5" s="6" t="inlineStr">
        <is>
          <t>FY 2026</t>
        </is>
      </c>
      <c r="B5" s="6">
        <f>'FY 2026 (Jan26-Dec26)'!B5</f>
        <v/>
      </c>
      <c r="C5" s="6">
        <f>'FY 2026 (Jan26-Dec26)'!E5</f>
        <v/>
      </c>
      <c r="D5" s="6">
        <f>IF(B5=0,0,C5/B5)</f>
        <v/>
      </c>
      <c r="E5" s="6">
        <f>IFERROR(C5/IF(VALUE(RIGHT(A5,4))&lt;YEAR(TODAY()),12,IF(VALUE(RIGHT(A5,4))&gt;YEAR(TODAY()),NA(),MONTH(TODAY()))),0)</f>
        <v/>
      </c>
      <c r="F5" s="6">
        <f>SUMPRODUCT((Data!$B$56:$B$68="Voluntary")*Data!$F$56:$F$68)</f>
        <v/>
      </c>
      <c r="G5" s="6">
        <f>SUMPRODUCT((Data!$B$56:$B$68="Involuntary")*Data!$F$56:$F$68)</f>
        <v/>
      </c>
      <c r="H5" s="6">
        <f>SUMPRODUCT((Data!$B$56:$B$68="Other")*Data!$F$56:$F$68)</f>
        <v/>
      </c>
      <c r="I5" s="6">
        <f>IF(C5=0,0,F5/C5)</f>
        <v/>
      </c>
      <c r="J5" s="6">
        <f>IFERROR(COUNTIF('FY 2026 (Jan26-Dec26)'!E9:E356,"Yes")/(COUNTIF('FY 2026 (Jan26-Dec26)'!E9:E356,"Yes")+COUNTIF('FY 2026 (Jan26-Dec26)'!E9:E356,"No")),0)</f>
        <v/>
      </c>
      <c r="K5" s="6">
        <f>IFERROR(SUMPRODUCT(ISNUMBER('FY 2026 (Jan26-Dec26)'!J9:J356)*1)/C5,0)</f>
        <v/>
      </c>
      <c r="L5" s="6" t="n"/>
      <c r="M5" s="6" t="n"/>
      <c r="N5" s="6" t="n"/>
      <c r="O5" s="6" t="inlineStr">
        <is>
          <t>FY 2026</t>
        </is>
      </c>
    </row>
    <row r="6" ht="15" customHeight="1">
      <c r="A6" s="6" t="inlineStr">
        <is>
          <t>FY 2027</t>
        </is>
      </c>
      <c r="B6" s="6">
        <f>'FY 2027 (Jan27-Dec27)'!B5</f>
        <v/>
      </c>
      <c r="C6" s="6">
        <f>'FY 2027 (Jan27-Dec27)'!E5</f>
        <v/>
      </c>
      <c r="D6" s="6">
        <f>IF(B6=0,0,C6/B6)</f>
        <v/>
      </c>
      <c r="E6" s="6">
        <f>IFERROR(C6/IF(VALUE(RIGHT(A6,4))&lt;YEAR(TODAY()),12,IF(VALUE(RIGHT(A6,4))&gt;YEAR(TODAY()),NA(),MONTH(TODAY()))),0)</f>
        <v/>
      </c>
      <c r="F6" s="6">
        <f>SUMPRODUCT((Data!$B$56:$B$68="Voluntary")*Data!$G$56:$G$68)</f>
        <v/>
      </c>
      <c r="G6" s="6">
        <f>SUMPRODUCT((Data!$B$56:$B$68="Involuntary")*Data!$G$56:$G$68)</f>
        <v/>
      </c>
      <c r="H6" s="6">
        <f>SUMPRODUCT((Data!$B$56:$B$68="Other")*Data!$G$56:$G$68)</f>
        <v/>
      </c>
      <c r="I6" s="6">
        <f>IF(C6=0,0,F6/C6)</f>
        <v/>
      </c>
      <c r="J6" s="6">
        <f>IFERROR(COUNTIF('FY 2027 (Jan27-Dec27)'!E9:E412,"Yes")/(COUNTIF('FY 2027 (Jan27-Dec27)'!E9:E412,"Yes")+COUNTIF('FY 2027 (Jan27-Dec27)'!E9:E412,"No")),0)</f>
        <v/>
      </c>
      <c r="K6" s="6">
        <f>IFERROR(SUMPRODUCT(ISNUMBER('FY 2027 (Jan27-Dec27)'!J9:J412)*1)/C6,0)</f>
        <v/>
      </c>
      <c r="L6" s="6" t="n"/>
      <c r="M6" s="6" t="n"/>
      <c r="N6" s="6" t="n"/>
      <c r="O6" s="6" t="inlineStr">
        <is>
          <t>FY 2027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 ht="15" customHeight="1">
      <c r="A10" s="137" t="inlineStr">
        <is>
          <t>FY Year</t>
        </is>
      </c>
      <c r="B10" s="137" t="inlineStr">
        <is>
          <t>January</t>
        </is>
      </c>
      <c r="C10" s="137" t="inlineStr">
        <is>
          <t>February</t>
        </is>
      </c>
      <c r="D10" s="137" t="inlineStr">
        <is>
          <t>March</t>
        </is>
      </c>
      <c r="E10" s="137" t="inlineStr">
        <is>
          <t>April</t>
        </is>
      </c>
      <c r="F10" s="137" t="inlineStr">
        <is>
          <t>May</t>
        </is>
      </c>
      <c r="G10" s="137" t="inlineStr">
        <is>
          <t>June</t>
        </is>
      </c>
      <c r="H10" s="137" t="inlineStr">
        <is>
          <t>July</t>
        </is>
      </c>
      <c r="I10" s="137" t="inlineStr">
        <is>
          <t>August</t>
        </is>
      </c>
      <c r="J10" s="137" t="inlineStr">
        <is>
          <t>September</t>
        </is>
      </c>
      <c r="K10" s="137" t="inlineStr">
        <is>
          <t>October</t>
        </is>
      </c>
      <c r="L10" s="137" t="inlineStr">
        <is>
          <t>November</t>
        </is>
      </c>
      <c r="M10" s="137" t="inlineStr">
        <is>
          <t>December</t>
        </is>
      </c>
      <c r="N10" s="6" t="n"/>
      <c r="O10" s="6" t="n"/>
    </row>
    <row r="11" ht="15" customHeight="1">
      <c r="A11" s="6" t="inlineStr">
        <is>
          <t>FY 2023</t>
        </is>
      </c>
      <c r="B11" s="6">
        <f>'FY 2023 (Jan23-Dec23)'!B39</f>
        <v/>
      </c>
      <c r="C11" s="6">
        <f>'FY 2023 (Jan23-Dec23)'!B73</f>
        <v/>
      </c>
      <c r="D11" s="6">
        <f>'FY 2023 (Jan23-Dec23)'!B107</f>
        <v/>
      </c>
      <c r="E11" s="6">
        <f>'FY 2023 (Jan23-Dec23)'!B141</f>
        <v/>
      </c>
      <c r="F11" s="6">
        <f>'FY 2023 (Jan23-Dec23)'!B175</f>
        <v/>
      </c>
      <c r="G11" s="6">
        <f>'FY 2023 (Jan23-Dec23)'!B209</f>
        <v/>
      </c>
      <c r="H11" s="6">
        <f>'FY 2023 (Jan23-Dec23)'!B243</f>
        <v/>
      </c>
      <c r="I11" s="6">
        <f>'FY 2023 (Jan23-Dec23)'!B277</f>
        <v/>
      </c>
      <c r="J11" s="6">
        <f>'FY 2023 (Jan23-Dec23)'!B311</f>
        <v/>
      </c>
      <c r="K11" s="6">
        <f>'FY 2023 (Jan23-Dec23)'!B345</f>
        <v/>
      </c>
      <c r="L11" s="6">
        <f>'FY 2023 (Jan23-Dec23)'!B379</f>
        <v/>
      </c>
      <c r="M11" s="6">
        <f>'FY 2023 (Jan23-Dec23)'!B413</f>
        <v/>
      </c>
      <c r="N11" s="6" t="n"/>
      <c r="O11" s="6" t="n"/>
    </row>
    <row r="12" ht="15" customHeight="1">
      <c r="A12" s="6" t="inlineStr">
        <is>
          <t>FY 2024</t>
        </is>
      </c>
      <c r="B12" s="6">
        <f>'FY 2024 (Jan24-Dec24)'!B39</f>
        <v/>
      </c>
      <c r="C12" s="6">
        <f>'FY 2024 (Jan24-Dec24)'!B73</f>
        <v/>
      </c>
      <c r="D12" s="6">
        <f>'FY 2024 (Jan24-Dec24)'!B107</f>
        <v/>
      </c>
      <c r="E12" s="6">
        <f>'FY 2024 (Jan24-Dec24)'!B141</f>
        <v/>
      </c>
      <c r="F12" s="6">
        <f>'FY 2024 (Jan24-Dec24)'!B175</f>
        <v/>
      </c>
      <c r="G12" s="6">
        <f>'FY 2024 (Jan24-Dec24)'!B209</f>
        <v/>
      </c>
      <c r="H12" s="6">
        <f>'FY 2024 (Jan24-Dec24)'!B243</f>
        <v/>
      </c>
      <c r="I12" s="6">
        <f>'FY 2024 (Jan24-Dec24)'!B277</f>
        <v/>
      </c>
      <c r="J12" s="6">
        <f>'FY 2024 (Jan24-Dec24)'!B311</f>
        <v/>
      </c>
      <c r="K12" s="6">
        <f>'FY 2024 (Jan24-Dec24)'!B345</f>
        <v/>
      </c>
      <c r="L12" s="6">
        <f>'FY 2024 (Jan24-Dec24)'!B379</f>
        <v/>
      </c>
      <c r="M12" s="6">
        <f>'FY 2024 (Jan24-Dec24)'!B413</f>
        <v/>
      </c>
      <c r="N12" s="6" t="n"/>
      <c r="O12" s="6" t="n"/>
    </row>
    <row r="13" ht="15" customHeight="1">
      <c r="A13" s="6" t="inlineStr">
        <is>
          <t>FY 2025</t>
        </is>
      </c>
      <c r="B13" s="6">
        <f>'FY 2025 (Jan25-Dec25)'!B39</f>
        <v/>
      </c>
      <c r="C13" s="6">
        <f>'FY 2025 (Jan25-Dec25)'!B73</f>
        <v/>
      </c>
      <c r="D13" s="6">
        <f>'FY 2025 (Jan25-Dec25)'!B107</f>
        <v/>
      </c>
      <c r="E13" s="6">
        <f>'FY 2025 (Jan25-Dec25)'!B141</f>
        <v/>
      </c>
      <c r="F13" s="6">
        <f>'FY 2025 (Jan25-Dec25)'!B175</f>
        <v/>
      </c>
      <c r="G13" s="6">
        <f>'FY 2025 (Jan25-Dec25)'!B209</f>
        <v/>
      </c>
      <c r="H13" s="6">
        <f>'FY 2025 (Jan25-Dec25)'!B243</f>
        <v/>
      </c>
      <c r="I13" s="6">
        <f>'FY 2025 (Jan25-Dec25)'!B277</f>
        <v/>
      </c>
      <c r="J13" s="6">
        <f>'FY 2025 (Jan25-Dec25)'!B311</f>
        <v/>
      </c>
      <c r="K13" s="6">
        <f>'FY 2025 (Jan25-Dec25)'!B345</f>
        <v/>
      </c>
      <c r="L13" s="6">
        <f>'FY 2025 (Jan25-Dec25)'!B379</f>
        <v/>
      </c>
      <c r="M13" s="6">
        <f>'FY 2025 (Jan25-Dec25)'!B413</f>
        <v/>
      </c>
      <c r="N13" s="6" t="n"/>
      <c r="O13" s="6" t="n"/>
    </row>
    <row r="14" ht="15" customHeight="1">
      <c r="A14" s="6" t="inlineStr">
        <is>
          <t>FY 2026</t>
        </is>
      </c>
      <c r="B14" s="6">
        <f>'FY 2026 (Jan26-Dec26)'!B39</f>
        <v/>
      </c>
      <c r="C14" s="6">
        <f>'FY 2026 (Jan26-Dec26)'!B73</f>
        <v/>
      </c>
      <c r="D14" s="6">
        <f>'FY 2026 (Jan26-Dec26)'!B107</f>
        <v/>
      </c>
      <c r="E14" s="6">
        <f>'FY 2026 (Jan26-Dec26)'!B141</f>
        <v/>
      </c>
      <c r="F14" s="6">
        <f>'FY 2026 (Jan26-Dec26)'!B175</f>
        <v/>
      </c>
      <c r="G14" s="6">
        <f>'FY 2026 (Jan26-Dec26)'!B209</f>
        <v/>
      </c>
      <c r="H14" s="6">
        <f>'FY 2026 (Jan26-Dec26)'!B243</f>
        <v/>
      </c>
      <c r="I14" s="6">
        <f>'FY 2026 (Jan26-Dec26)'!B277</f>
        <v/>
      </c>
      <c r="J14" s="6">
        <f>'FY 2026 (Jan26-Dec26)'!B311</f>
        <v/>
      </c>
      <c r="K14" s="6">
        <f>'FY 2026 (Jan26-Dec26)'!B345</f>
        <v/>
      </c>
      <c r="L14" s="6">
        <f>'FY 2026 (Jan26-Dec26)'!B379</f>
        <v/>
      </c>
      <c r="M14" s="6">
        <f>'FY 2026 (Jan26-Dec26)'!B413</f>
        <v/>
      </c>
      <c r="N14" s="6" t="n"/>
      <c r="O14" s="6" t="n"/>
    </row>
    <row r="15" ht="15" customHeight="1">
      <c r="A15" s="6" t="inlineStr">
        <is>
          <t>FY 2027</t>
        </is>
      </c>
      <c r="B15" s="6">
        <f>'FY 2027 (Jan27-Dec27)'!B39</f>
        <v/>
      </c>
      <c r="C15" s="6">
        <f>'FY 2027 (Jan27-Dec27)'!B73</f>
        <v/>
      </c>
      <c r="D15" s="6">
        <f>'FY 2027 (Jan27-Dec27)'!B107</f>
        <v/>
      </c>
      <c r="E15" s="6">
        <f>'FY 2027 (Jan27-Dec27)'!B141</f>
        <v/>
      </c>
      <c r="F15" s="6">
        <f>'FY 2027 (Jan27-Dec27)'!B175</f>
        <v/>
      </c>
      <c r="G15" s="6">
        <f>'FY 2027 (Jan27-Dec27)'!B209</f>
        <v/>
      </c>
      <c r="H15" s="6">
        <f>'FY 2027 (Jan27-Dec27)'!B243</f>
        <v/>
      </c>
      <c r="I15" s="6">
        <f>'FY 2027 (Jan27-Dec27)'!B277</f>
        <v/>
      </c>
      <c r="J15" s="6">
        <f>'FY 2027 (Jan27-Dec27)'!B311</f>
        <v/>
      </c>
      <c r="K15" s="6">
        <f>'FY 2027 (Jan27-Dec27)'!B345</f>
        <v/>
      </c>
      <c r="L15" s="6">
        <f>'FY 2027 (Jan27-Dec27)'!B379</f>
        <v/>
      </c>
      <c r="M15" s="6">
        <f>'FY 2027 (Jan27-Dec27)'!B413</f>
        <v/>
      </c>
      <c r="N15" s="6" t="n"/>
      <c r="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 ht="15" customHeight="1">
      <c r="A20" s="137" t="inlineStr">
        <is>
          <t>Job</t>
        </is>
      </c>
      <c r="B20" s="137" t="inlineStr">
        <is>
          <t>FY 2023</t>
        </is>
      </c>
      <c r="C20" s="137" t="inlineStr">
        <is>
          <t>FY 2024</t>
        </is>
      </c>
      <c r="D20" s="137" t="inlineStr">
        <is>
          <t>FY 2025</t>
        </is>
      </c>
      <c r="E20" s="137" t="inlineStr">
        <is>
          <t>FY 2026</t>
        </is>
      </c>
      <c r="F20" s="137" t="inlineStr">
        <is>
          <t>FY 2027</t>
        </is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</row>
    <row r="21" ht="15" customHeight="1">
      <c r="A21" s="6" t="inlineStr">
        <is>
          <t>President</t>
        </is>
      </c>
      <c r="B21" s="6">
        <f>COUNTIF('FY 2023 (Jan23-Dec23)'!K9:K412,"President")</f>
        <v/>
      </c>
      <c r="C21" s="6">
        <f>COUNTIF('FY 2024 (Jan24-Dec24)'!K9:K412,"President")</f>
        <v/>
      </c>
      <c r="D21" s="6">
        <f>COUNTIF('FY 2025 (Jan25-Dec25)'!K9:K412,"President")</f>
        <v/>
      </c>
      <c r="E21" s="6">
        <f>COUNTIF('FY 2026 (Jan26-Dec26)'!K9:K356,"President")</f>
        <v/>
      </c>
      <c r="F21" s="6">
        <f>COUNTIF('FY 2027 (Jan27-Dec27)'!K9:K412,"President")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 ht="15" customHeight="1">
      <c r="A22" s="6" t="inlineStr">
        <is>
          <t>VP of Operations</t>
        </is>
      </c>
      <c r="B22" s="6">
        <f>COUNTIFS('FY 2023 (Jan23-Dec23)'!K9:K412,"VP",'FY 2023 (Jan23-Dec23)'!M9:M412,"Operations")</f>
        <v/>
      </c>
      <c r="C22" s="6">
        <f>COUNTIFS('FY 2024 (Jan24-Dec24)'!K9:K412,"VP",'FY 2024 (Jan24-Dec24)'!M9:M412,"Operations")</f>
        <v/>
      </c>
      <c r="D22" s="6">
        <f>COUNTIFS('FY 2025 (Jan25-Dec25)'!K9:K412,"VP",'FY 2025 (Jan25-Dec25)'!M9:M412,"Operations")</f>
        <v/>
      </c>
      <c r="E22" s="6">
        <f>COUNTIFS('FY 2026 (Jan26-Dec26)'!K9:K356,"VP",'FY 2026 (Jan26-Dec26)'!M9:M356,"Operations")</f>
        <v/>
      </c>
      <c r="F22" s="6">
        <f>COUNTIFS('FY 2027 (Jan27-Dec27)'!K9:K412,"VP",'FY 2027 (Jan27-Dec27)'!M9:M412,"Operations")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 ht="15" customHeight="1">
      <c r="A23" s="6" t="inlineStr">
        <is>
          <t>VP of Children Services</t>
        </is>
      </c>
      <c r="B23" s="6">
        <f>COUNTIFS('FY 2023 (Jan23-Dec23)'!K9:K412,"VP",'FY 2023 (Jan23-Dec23)'!M9:M412,"Children Services")</f>
        <v/>
      </c>
      <c r="C23" s="6">
        <f>COUNTIFS('FY 2024 (Jan24-Dec24)'!K9:K412,"VP",'FY 2024 (Jan24-Dec24)'!M9:M412,"Children Services")</f>
        <v/>
      </c>
      <c r="D23" s="6">
        <f>COUNTIFS('FY 2025 (Jan25-Dec25)'!K9:K412,"VP",'FY 2025 (Jan25-Dec25)'!M9:M412,"Children Services")</f>
        <v/>
      </c>
      <c r="E23" s="6">
        <f>COUNTIFS('FY 2026 (Jan26-Dec26)'!K9:K356,"VP",'FY 2026 (Jan26-Dec26)'!M9:M356,"Children Services")</f>
        <v/>
      </c>
      <c r="F23" s="6">
        <f>COUNTIFS('FY 2027 (Jan27-Dec27)'!K9:K412,"VP",'FY 2027 (Jan27-Dec27)'!M9:M412,"Children Services")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 ht="15" customHeight="1">
      <c r="A24" s="6" t="inlineStr">
        <is>
          <t>VP of Professional Services</t>
        </is>
      </c>
      <c r="B24" s="6">
        <f>COUNTIFS('FY 2023 (Jan23-Dec23)'!K9:K412,"VP",'FY 2023 (Jan23-Dec23)'!M9:M412,"Professional Services")</f>
        <v/>
      </c>
      <c r="C24" s="6">
        <f>COUNTIFS('FY 2024 (Jan24-Dec24)'!K9:K412,"VP",'FY 2024 (Jan24-Dec24)'!M9:M412,"Professional Services")</f>
        <v/>
      </c>
      <c r="D24" s="6">
        <f>COUNTIFS('FY 2025 (Jan25-Dec25)'!K9:K412,"VP",'FY 2025 (Jan25-Dec25)'!M9:M412,"Professional Services")</f>
        <v/>
      </c>
      <c r="E24" s="6">
        <f>COUNTIFS('FY 2026 (Jan26-Dec26)'!K9:K356,"VP",'FY 2026 (Jan26-Dec26)'!M9:M356,"Professional Services")</f>
        <v/>
      </c>
      <c r="F24" s="6">
        <f>COUNTIFS('FY 2027 (Jan27-Dec27)'!K9:K412,"VP",'FY 2027 (Jan27-Dec27)'!M9:M412,"Professional Services")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 ht="15" customHeight="1">
      <c r="A25" s="6" t="inlineStr">
        <is>
          <t>VP of Behavioral Health</t>
        </is>
      </c>
      <c r="B25" s="6">
        <f>COUNTIFS('FY 2023 (Jan23-Dec23)'!K9:K412,"VP",'FY 2023 (Jan23-Dec23)'!M9:M412,"Behavioral Health")</f>
        <v/>
      </c>
      <c r="C25" s="6">
        <f>COUNTIFS('FY 2024 (Jan24-Dec24)'!K9:K412,"VP",'FY 2024 (Jan24-Dec24)'!M9:M412,"Behavioral Health")</f>
        <v/>
      </c>
      <c r="D25" s="6">
        <f>COUNTIFS('FY 2025 (Jan25-Dec25)'!K9:K412,"VP",'FY 2025 (Jan25-Dec25)'!M9:M412,"Behavioral Health")</f>
        <v/>
      </c>
      <c r="E25" s="6">
        <f>COUNTIFS('FY 2026 (Jan26-Dec26)'!K9:K356,"VP",'FY 2026 (Jan26-Dec26)'!M9:M356,"Behavioral Health")</f>
        <v/>
      </c>
      <c r="F25" s="6">
        <f>COUNTIFS('FY 2027 (Jan27-Dec27)'!K9:K412,"VP",'FY 2027 (Jan27-Dec27)'!M9:M412,"Behavioral Health")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 ht="15" customHeight="1">
      <c r="A26" s="6" t="inlineStr">
        <is>
          <t>VP of Human Resources</t>
        </is>
      </c>
      <c r="B26" s="6">
        <f>COUNTIFS('FY 2023 (Jan23-Dec23)'!K9:K412,"VP",'FY 2023 (Jan23-Dec23)'!M9:M412,"Human Resources")</f>
        <v/>
      </c>
      <c r="C26" s="6">
        <f>COUNTIFS('FY 2024 (Jan24-Dec24)'!K9:K412,"VP",'FY 2024 (Jan24-Dec24)'!M9:M412,"Human Resources")</f>
        <v/>
      </c>
      <c r="D26" s="6">
        <f>COUNTIFS('FY 2025 (Jan25-Dec25)'!K9:K412,"VP",'FY 2025 (Jan25-Dec25)'!M9:M412,"Human Resources")</f>
        <v/>
      </c>
      <c r="E26" s="6">
        <f>COUNTIFS('FY 2026 (Jan26-Dec26)'!K9:K356,"VP",'FY 2026 (Jan26-Dec26)'!M9:M356,"Human Resources")</f>
        <v/>
      </c>
      <c r="F26" s="6">
        <f>COUNTIFS('FY 2027 (Jan27-Dec27)'!K9:K412,"VP",'FY 2027 (Jan27-Dec27)'!M9:M412,"Human Resources")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</row>
    <row r="27" ht="15" customHeight="1">
      <c r="A27" s="6" t="inlineStr">
        <is>
          <t>VP of Employment Services</t>
        </is>
      </c>
      <c r="B27" s="6">
        <f>COUNTIFS('FY 2023 (Jan23-Dec23)'!K9:K412,"VP",'FY 2023 (Jan23-Dec23)'!M9:M412,"Employment Services")</f>
        <v/>
      </c>
      <c r="C27" s="6">
        <f>COUNTIFS('FY 2024 (Jan24-Dec24)'!K9:K412,"VP",'FY 2024 (Jan24-Dec24)'!M9:M412,"Employment Services")</f>
        <v/>
      </c>
      <c r="D27" s="6">
        <f>COUNTIFS('FY 2025 (Jan25-Dec25)'!K9:K412,"VP",'FY 2025 (Jan25-Dec25)'!M9:M412,"Employment Services")</f>
        <v/>
      </c>
      <c r="E27" s="6">
        <f>COUNTIFS('FY 2026 (Jan26-Dec26)'!K9:K356,"VP",'FY 2026 (Jan26-Dec26)'!M9:M356,"Employment Services")</f>
        <v/>
      </c>
      <c r="F27" s="6">
        <f>COUNTIFS('FY 2027 (Jan27-Dec27)'!K9:K412,"VP",'FY 2027 (Jan27-Dec27)'!M9:M412,"Employment Services")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 ht="15" customHeight="1">
      <c r="A28" s="6" t="inlineStr">
        <is>
          <t>VP of Family Support</t>
        </is>
      </c>
      <c r="B28" s="6">
        <f>COUNTIFS('FY 2023 (Jan23-Dec23)'!K9:K412,"VP",'FY 2023 (Jan23-Dec23)'!M9:M412,"Family Support")</f>
        <v/>
      </c>
      <c r="C28" s="6">
        <f>COUNTIFS('FY 2024 (Jan24-Dec24)'!K9:K412,"VP",'FY 2024 (Jan24-Dec24)'!M9:M412,"Family Support")</f>
        <v/>
      </c>
      <c r="D28" s="6">
        <f>COUNTIFS('FY 2025 (Jan25-Dec25)'!K9:K412,"VP",'FY 2025 (Jan25-Dec25)'!M9:M412,"Family Support")</f>
        <v/>
      </c>
      <c r="E28" s="6">
        <f>COUNTIFS('FY 2026 (Jan26-Dec26)'!K9:K356,"VP",'FY 2026 (Jan26-Dec26)'!M9:M356,"Family Support")</f>
        <v/>
      </c>
      <c r="F28" s="6">
        <f>COUNTIFS('FY 2027 (Jan27-Dec27)'!K9:K412,"VP",'FY 2027 (Jan27-Dec27)'!M9:M412,"Family Support")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</row>
    <row r="29" ht="15" customHeight="1">
      <c r="A29" s="6" t="inlineStr">
        <is>
          <t>VP of Finance</t>
        </is>
      </c>
      <c r="B29" s="6">
        <f>COUNTIFS('FY 2023 (Jan23-Dec23)'!K9:K412,"VP",'FY 2023 (Jan23-Dec23)'!M9:M412,"Finance")</f>
        <v/>
      </c>
      <c r="C29" s="6">
        <f>COUNTIFS('FY 2024 (Jan24-Dec24)'!K9:K412,"VP",'FY 2024 (Jan24-Dec24)'!M9:M412,"Finance")</f>
        <v/>
      </c>
      <c r="D29" s="6">
        <f>COUNTIFS('FY 2025 (Jan25-Dec25)'!K9:K412,"VP",'FY 2025 (Jan25-Dec25)'!M9:M412,"Finance")</f>
        <v/>
      </c>
      <c r="E29" s="6">
        <f>COUNTIFS('FY 2026 (Jan26-Dec26)'!K9:K356,"VP",'FY 2026 (Jan26-Dec26)'!M9:M356,"Finance")</f>
        <v/>
      </c>
      <c r="F29" s="6">
        <f>COUNTIFS('FY 2027 (Jan27-Dec27)'!K9:K412,"VP",'FY 2027 (Jan27-Dec27)'!M9:M412,"Finance")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 ht="15" customHeight="1">
      <c r="A30" s="6" t="inlineStr">
        <is>
          <t>Director of Operations</t>
        </is>
      </c>
      <c r="B30" s="6">
        <f>COUNTIFS('FY 2023 (Jan23-Dec23)'!K9:K412,"Director",'FY 2023 (Jan23-Dec23)'!M9:M412,"Operations")</f>
        <v/>
      </c>
      <c r="C30" s="6">
        <f>COUNTIFS('FY 2024 (Jan24-Dec24)'!K9:K412,"Director",'FY 2024 (Jan24-Dec24)'!M9:M412,"Operations")</f>
        <v/>
      </c>
      <c r="D30" s="6">
        <f>COUNTIFS('FY 2025 (Jan25-Dec25)'!K9:K412,"Director",'FY 2025 (Jan25-Dec25)'!M9:M412,"Operations")</f>
        <v/>
      </c>
      <c r="E30" s="6">
        <f>COUNTIFS('FY 2026 (Jan26-Dec26)'!K9:K356,"Director",'FY 2026 (Jan26-Dec26)'!M9:M356,"Operations")</f>
        <v/>
      </c>
      <c r="F30" s="6">
        <f>COUNTIFS('FY 2027 (Jan27-Dec27)'!K9:K412,"Director",'FY 2027 (Jan27-Dec27)'!M9:M412,"Operations")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</row>
    <row r="31" ht="15" customHeight="1">
      <c r="A31" s="6" t="inlineStr">
        <is>
          <t>Director of Children Services</t>
        </is>
      </c>
      <c r="B31" s="6">
        <f>COUNTIFS('FY 2023 (Jan23-Dec23)'!K9:K412,"Director",'FY 2023 (Jan23-Dec23)'!M9:M412,"Children Services")</f>
        <v/>
      </c>
      <c r="C31" s="6">
        <f>COUNTIFS('FY 2024 (Jan24-Dec24)'!K9:K412,"Director",'FY 2024 (Jan24-Dec24)'!M9:M412,"Children Services")</f>
        <v/>
      </c>
      <c r="D31" s="6">
        <f>COUNTIFS('FY 2025 (Jan25-Dec25)'!K9:K412,"Director",'FY 2025 (Jan25-Dec25)'!M9:M412,"Children Services")</f>
        <v/>
      </c>
      <c r="E31" s="6">
        <f>COUNTIFS('FY 2026 (Jan26-Dec26)'!K9:K356,"Director",'FY 2026 (Jan26-Dec26)'!M9:M356,"Children Services")</f>
        <v/>
      </c>
      <c r="F31" s="6">
        <f>COUNTIFS('FY 2027 (Jan27-Dec27)'!K9:K412,"Director",'FY 2027 (Jan27-Dec27)'!M9:M412,"Children Services")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 ht="15" customHeight="1">
      <c r="A32" s="6" t="inlineStr">
        <is>
          <t>Director of Professional Services</t>
        </is>
      </c>
      <c r="B32" s="6">
        <f>COUNTIFS('FY 2023 (Jan23-Dec23)'!K9:K412,"Director",'FY 2023 (Jan23-Dec23)'!M9:M412,"Professional Services")</f>
        <v/>
      </c>
      <c r="C32" s="6">
        <f>COUNTIFS('FY 2024 (Jan24-Dec24)'!K9:K412,"Director",'FY 2024 (Jan24-Dec24)'!M9:M412,"Professional Services")</f>
        <v/>
      </c>
      <c r="D32" s="6">
        <f>COUNTIFS('FY 2025 (Jan25-Dec25)'!K9:K412,"Director",'FY 2025 (Jan25-Dec25)'!M9:M412,"Professional Services")</f>
        <v/>
      </c>
      <c r="E32" s="6">
        <f>COUNTIFS('FY 2026 (Jan26-Dec26)'!K9:K356,"Director",'FY 2026 (Jan26-Dec26)'!M9:M356,"Professional Services")</f>
        <v/>
      </c>
      <c r="F32" s="6">
        <f>COUNTIFS('FY 2027 (Jan27-Dec27)'!K9:K412,"Director",'FY 2027 (Jan27-Dec27)'!M9:M412,"Professional Services")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</row>
    <row r="33" ht="15" customHeight="1">
      <c r="A33" s="6" t="inlineStr">
        <is>
          <t>Director of Behavioral Health</t>
        </is>
      </c>
      <c r="B33" s="6">
        <f>COUNTIFS('FY 2023 (Jan23-Dec23)'!K9:K412,"Director",'FY 2023 (Jan23-Dec23)'!M9:M412,"Behavioral Health")</f>
        <v/>
      </c>
      <c r="C33" s="6">
        <f>COUNTIFS('FY 2024 (Jan24-Dec24)'!K9:K412,"Director",'FY 2024 (Jan24-Dec24)'!M9:M412,"Behavioral Health")</f>
        <v/>
      </c>
      <c r="D33" s="6">
        <f>COUNTIFS('FY 2025 (Jan25-Dec25)'!K9:K412,"Director",'FY 2025 (Jan25-Dec25)'!M9:M412,"Behavioral Health")</f>
        <v/>
      </c>
      <c r="E33" s="6">
        <f>COUNTIFS('FY 2026 (Jan26-Dec26)'!K9:K356,"Director",'FY 2026 (Jan26-Dec26)'!M9:M356,"Behavioral Health")</f>
        <v/>
      </c>
      <c r="F33" s="6">
        <f>COUNTIFS('FY 2027 (Jan27-Dec27)'!K9:K412,"Director",'FY 2027 (Jan27-Dec27)'!M9:M412,"Behavioral Health")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 ht="15" customHeight="1">
      <c r="A34" s="6" t="inlineStr">
        <is>
          <t>Director of Human Resources</t>
        </is>
      </c>
      <c r="B34" s="6">
        <f>COUNTIFS('FY 2023 (Jan23-Dec23)'!K9:K412,"Director",'FY 2023 (Jan23-Dec23)'!M9:M412,"Human Resources")</f>
        <v/>
      </c>
      <c r="C34" s="6">
        <f>COUNTIFS('FY 2024 (Jan24-Dec24)'!K9:K412,"Director",'FY 2024 (Jan24-Dec24)'!M9:M412,"Human Resources")</f>
        <v/>
      </c>
      <c r="D34" s="6">
        <f>COUNTIFS('FY 2025 (Jan25-Dec25)'!K9:K412,"Director",'FY 2025 (Jan25-Dec25)'!M9:M412,"Human Resources")</f>
        <v/>
      </c>
      <c r="E34" s="6">
        <f>COUNTIFS('FY 2026 (Jan26-Dec26)'!K9:K356,"Director",'FY 2026 (Jan26-Dec26)'!M9:M356,"Human Resources")</f>
        <v/>
      </c>
      <c r="F34" s="6">
        <f>COUNTIFS('FY 2027 (Jan27-Dec27)'!K9:K412,"Director",'FY 2027 (Jan27-Dec27)'!M9:M412,"Human Resources")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 ht="15" customHeight="1">
      <c r="A35" s="6" t="inlineStr">
        <is>
          <t>Director of Finance</t>
        </is>
      </c>
      <c r="B35" s="6">
        <f>COUNTIFS('FY 2023 (Jan23-Dec23)'!K9:K412,"Director",'FY 2023 (Jan23-Dec23)'!M9:M412,"Finance")</f>
        <v/>
      </c>
      <c r="C35" s="6">
        <f>COUNTIFS('FY 2024 (Jan24-Dec24)'!K9:K412,"Director",'FY 2024 (Jan24-Dec24)'!M9:M412,"Finance")</f>
        <v/>
      </c>
      <c r="D35" s="6">
        <f>COUNTIFS('FY 2025 (Jan25-Dec25)'!K9:K412,"Director",'FY 2025 (Jan25-Dec25)'!M9:M412,"Finance")</f>
        <v/>
      </c>
      <c r="E35" s="6">
        <f>COUNTIFS('FY 2026 (Jan26-Dec26)'!K9:K356,"Director",'FY 2026 (Jan26-Dec26)'!M9:M356,"Finance")</f>
        <v/>
      </c>
      <c r="F35" s="6">
        <f>COUNTIFS('FY 2027 (Jan27-Dec27)'!K9:K412,"Director",'FY 2027 (Jan27-Dec27)'!M9:M412,"Finance")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 ht="15" customHeight="1">
      <c r="A36" s="6" t="inlineStr">
        <is>
          <t>Director of Employment Services</t>
        </is>
      </c>
      <c r="B36" s="6">
        <f>COUNTIFS('FY 2023 (Jan23-Dec23)'!K9:K412,"Director",'FY 2023 (Jan23-Dec23)'!M9:M412,"Employment Services")</f>
        <v/>
      </c>
      <c r="C36" s="6">
        <f>COUNTIFS('FY 2024 (Jan24-Dec24)'!K9:K412,"Director",'FY 2024 (Jan24-Dec24)'!M9:M412,"Employment Services")</f>
        <v/>
      </c>
      <c r="D36" s="6">
        <f>COUNTIFS('FY 2025 (Jan25-Dec25)'!K9:K412,"Director",'FY 2025 (Jan25-Dec25)'!M9:M412,"Employment Services")</f>
        <v/>
      </c>
      <c r="E36" s="6">
        <f>COUNTIFS('FY 2026 (Jan26-Dec26)'!K9:K356,"Director",'FY 2026 (Jan26-Dec26)'!M9:M356,"Employment Services")</f>
        <v/>
      </c>
      <c r="F36" s="6">
        <f>COUNTIFS('FY 2027 (Jan27-Dec27)'!K9:K412,"Director",'FY 2027 (Jan27-Dec27)'!M9:M412,"Employment Services")</f>
        <v/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</row>
    <row r="37" ht="15" customHeight="1">
      <c r="A37" s="6" t="inlineStr">
        <is>
          <t>Director of Family Support</t>
        </is>
      </c>
      <c r="B37" s="6">
        <f>COUNTIFS('FY 2023 (Jan23-Dec23)'!K9:K412,"Director",'FY 2023 (Jan23-Dec23)'!M9:M412,"Family Support")</f>
        <v/>
      </c>
      <c r="C37" s="6">
        <f>COUNTIFS('FY 2024 (Jan24-Dec24)'!K9:K412,"Director",'FY 2024 (Jan24-Dec24)'!M9:M412,"Family Support")</f>
        <v/>
      </c>
      <c r="D37" s="6">
        <f>COUNTIFS('FY 2025 (Jan25-Dec25)'!K9:K412,"Director",'FY 2025 (Jan25-Dec25)'!M9:M412,"Family Support")</f>
        <v/>
      </c>
      <c r="E37" s="6">
        <f>COUNTIFS('FY 2026 (Jan26-Dec26)'!K9:K356,"Director",'FY 2026 (Jan26-Dec26)'!M9:M356,"Family Support")</f>
        <v/>
      </c>
      <c r="F37" s="6">
        <f>COUNTIFS('FY 2027 (Jan27-Dec27)'!K9:K412,"Director",'FY 2027 (Jan27-Dec27)'!M9:M412,"Family Support")</f>
        <v/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 ht="15" customHeight="1">
      <c r="A38" s="6" t="inlineStr">
        <is>
          <t>Director of QA</t>
        </is>
      </c>
      <c r="B38" s="6">
        <f>COUNTIFS('FY 2023 (Jan23-Dec23)'!K9:K412,"Director",'FY 2023 (Jan23-Dec23)'!M9:M412,"QA")</f>
        <v/>
      </c>
      <c r="C38" s="6">
        <f>COUNTIFS('FY 2024 (Jan24-Dec24)'!K9:K412,"Director",'FY 2024 (Jan24-Dec24)'!M9:M412,"QA")</f>
        <v/>
      </c>
      <c r="D38" s="6">
        <f>COUNTIFS('FY 2025 (Jan25-Dec25)'!K9:K412,"Director",'FY 2025 (Jan25-Dec25)'!M9:M412,"QA")</f>
        <v/>
      </c>
      <c r="E38" s="6">
        <f>COUNTIFS('FY 2026 (Jan26-Dec26)'!K9:K356,"Director",'FY 2026 (Jan26-Dec26)'!M9:M356,"QA")</f>
        <v/>
      </c>
      <c r="F38" s="6">
        <f>COUNTIFS('FY 2027 (Jan27-Dec27)'!K9:K412,"Director",'FY 2027 (Jan27-Dec27)'!M9:M412,"QA")</f>
        <v/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</row>
    <row r="39" ht="15" customHeight="1">
      <c r="A39" s="6" t="inlineStr">
        <is>
          <t>DSP</t>
        </is>
      </c>
      <c r="B39" s="6">
        <f>COUNTIF('FY 2023 (Jan23-Dec23)'!K9:K412,"DSP")</f>
        <v/>
      </c>
      <c r="C39" s="6">
        <f>COUNTIF('FY 2024 (Jan24-Dec24)'!K9:K412,"DSP")</f>
        <v/>
      </c>
      <c r="D39" s="6">
        <f>COUNTIF('FY 2025 (Jan25-Dec25)'!K9:K412,"DSP")</f>
        <v/>
      </c>
      <c r="E39" s="6">
        <f>COUNTIF('FY 2026 (Jan26-Dec26)'!K9:K356,"DSP")</f>
        <v/>
      </c>
      <c r="F39" s="6">
        <f>COUNTIF('FY 2027 (Jan27-Dec27)'!K9:K412,"DSP")</f>
        <v/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 ht="15" customHeight="1">
      <c r="A40" s="6" t="inlineStr">
        <is>
          <t>HM</t>
        </is>
      </c>
      <c r="B40" s="6">
        <f>COUNTIF('FY 2023 (Jan23-Dec23)'!K9:K412,"HM")</f>
        <v/>
      </c>
      <c r="C40" s="6">
        <f>COUNTIF('FY 2024 (Jan24-Dec24)'!K9:K412,"HM")</f>
        <v/>
      </c>
      <c r="D40" s="6">
        <f>COUNTIF('FY 2025 (Jan25-Dec25)'!K9:K412,"HM")</f>
        <v/>
      </c>
      <c r="E40" s="6">
        <f>COUNTIF('FY 2026 (Jan26-Dec26)'!K9:K356,"HM")</f>
        <v/>
      </c>
      <c r="F40" s="6">
        <f>COUNTIF('FY 2027 (Jan27-Dec27)'!K9:K412,"HM")</f>
        <v/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 ht="15" customHeight="1">
      <c r="A41" s="6" t="inlineStr">
        <is>
          <t>RM</t>
        </is>
      </c>
      <c r="B41" s="6">
        <f>COUNTIF('FY 2023 (Jan23-Dec23)'!K9:K412,"RM")</f>
        <v/>
      </c>
      <c r="C41" s="6">
        <f>COUNTIF('FY 2024 (Jan24-Dec24)'!K9:K412,"RM")</f>
        <v/>
      </c>
      <c r="D41" s="6">
        <f>COUNTIF('FY 2025 (Jan25-Dec25)'!K9:K412,"RM")</f>
        <v/>
      </c>
      <c r="E41" s="6">
        <f>COUNTIF('FY 2026 (Jan26-Dec26)'!K9:K356,"RM")</f>
        <v/>
      </c>
      <c r="F41" s="6">
        <f>COUNTIF('FY 2027 (Jan27-Dec27)'!K9:K412,"RM")</f>
        <v/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 ht="15" customHeight="1">
      <c r="A42" s="6" t="inlineStr">
        <is>
          <t>CM</t>
        </is>
      </c>
      <c r="B42" s="6">
        <f>COUNTIF('FY 2023 (Jan23-Dec23)'!K9:K412,"CM")</f>
        <v/>
      </c>
      <c r="C42" s="6">
        <f>COUNTIF('FY 2024 (Jan24-Dec24)'!K9:K412,"CM")</f>
        <v/>
      </c>
      <c r="D42" s="6">
        <f>COUNTIF('FY 2025 (Jan25-Dec25)'!K9:K412,"CM")</f>
        <v/>
      </c>
      <c r="E42" s="6">
        <f>COUNTIF('FY 2026 (Jan26-Dec26)'!K9:K356,"CM")</f>
        <v/>
      </c>
      <c r="F42" s="6">
        <f>COUNTIF('FY 2027 (Jan27-Dec27)'!K9:K412,"CM")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</row>
    <row r="43" ht="15" customHeight="1">
      <c r="A43" s="6" t="inlineStr">
        <is>
          <t>EI</t>
        </is>
      </c>
      <c r="B43" s="6">
        <f>COUNTIF('FY 2023 (Jan23-Dec23)'!K9:K412,"EI")</f>
        <v/>
      </c>
      <c r="C43" s="6">
        <f>COUNTIF('FY 2024 (Jan24-Dec24)'!K9:K412,"EI")</f>
        <v/>
      </c>
      <c r="D43" s="6">
        <f>COUNTIF('FY 2025 (Jan25-Dec25)'!K9:K412,"EI")</f>
        <v/>
      </c>
      <c r="E43" s="6">
        <f>COUNTIF('FY 2026 (Jan26-Dec26)'!K9:K356,"EI")</f>
        <v/>
      </c>
      <c r="F43" s="6">
        <f>COUNTIF('FY 2027 (Jan27-Dec27)'!K9:K412,"EI")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 ht="15" customHeight="1">
      <c r="A44" s="6" t="inlineStr">
        <is>
          <t>Family Support</t>
        </is>
      </c>
      <c r="B44" s="6">
        <f>COUNTIF('FY 2023 (Jan23-Dec23)'!K9:K412,"Family Support")</f>
        <v/>
      </c>
      <c r="C44" s="6">
        <f>COUNTIF('FY 2024 (Jan24-Dec24)'!K9:K412,"Family Support")</f>
        <v/>
      </c>
      <c r="D44" s="6">
        <f>COUNTIF('FY 2025 (Jan25-Dec25)'!K9:K412,"Family Support")</f>
        <v/>
      </c>
      <c r="E44" s="6">
        <f>COUNTIF('FY 2026 (Jan26-Dec26)'!K9:K356,"Family Support")</f>
        <v/>
      </c>
      <c r="F44" s="6">
        <f>COUNTIF('FY 2027 (Jan27-Dec27)'!K9:K412,"Family Support")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 ht="15" customHeight="1">
      <c r="A45" s="6" t="inlineStr">
        <is>
          <t>Teacher</t>
        </is>
      </c>
      <c r="B45" s="6">
        <f>COUNTIF('FY 2023 (Jan23-Dec23)'!K9:K412,"Teacher")</f>
        <v/>
      </c>
      <c r="C45" s="6">
        <f>COUNTIF('FY 2024 (Jan24-Dec24)'!K9:K412,"Teacher")</f>
        <v/>
      </c>
      <c r="D45" s="6">
        <f>COUNTIF('FY 2025 (Jan25-Dec25)'!K9:K412,"Teacher")</f>
        <v/>
      </c>
      <c r="E45" s="6">
        <f>COUNTIF('FY 2026 (Jan26-Dec26)'!K9:K356,"Teacher")</f>
        <v/>
      </c>
      <c r="F45" s="6">
        <f>COUNTIF('FY 2027 (Jan27-Dec27)'!K9:K412,"Teacher")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 ht="15" customHeight="1">
      <c r="A46" s="6" t="inlineStr">
        <is>
          <t>Assistant Teacher</t>
        </is>
      </c>
      <c r="B46" s="6">
        <f>COUNTIF('FY 2023 (Jan23-Dec23)'!K9:K412,"Assistant Teacher")</f>
        <v/>
      </c>
      <c r="C46" s="6">
        <f>COUNTIF('FY 2024 (Jan24-Dec24)'!K9:K412,"Assistant Teacher")</f>
        <v/>
      </c>
      <c r="D46" s="6">
        <f>COUNTIF('FY 2025 (Jan25-Dec25)'!K9:K412,"Assistant Teacher")</f>
        <v/>
      </c>
      <c r="E46" s="6">
        <f>COUNTIF('FY 2026 (Jan26-Dec26)'!K9:K356,"Assistant Teacher")</f>
        <v/>
      </c>
      <c r="F46" s="6">
        <f>COUNTIF('FY 2027 (Jan27-Dec27)'!K9:K412,"Assistant Teacher")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</row>
    <row r="47" ht="15" customHeight="1">
      <c r="A47" s="6" t="inlineStr">
        <is>
          <t>Sub/Floater</t>
        </is>
      </c>
      <c r="B47" s="6">
        <f>COUNTIF('FY 2023 (Jan23-Dec23)'!K9:K412,"Sub/Floater")</f>
        <v/>
      </c>
      <c r="C47" s="6">
        <f>COUNTIF('FY 2024 (Jan24-Dec24)'!K9:K412,"Sub/Floater")</f>
        <v/>
      </c>
      <c r="D47" s="6">
        <f>COUNTIF('FY 2025 (Jan25-Dec25)'!K9:K412,"Sub/Floater")</f>
        <v/>
      </c>
      <c r="E47" s="6">
        <f>COUNTIF('FY 2026 (Jan26-Dec26)'!K9:K356,"Sub/Floater")</f>
        <v/>
      </c>
      <c r="F47" s="6">
        <f>COUNTIF('FY 2027 (Jan27-Dec27)'!K9:K412,"Sub/Floater")</f>
        <v/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 ht="15" customHeight="1">
      <c r="A48" s="6" t="inlineStr">
        <is>
          <t>Job Coach/WI</t>
        </is>
      </c>
      <c r="B48" s="6">
        <f>COUNTIF('FY 2023 (Jan23-Dec23)'!K9:K412,"Job Coach/WI")</f>
        <v/>
      </c>
      <c r="C48" s="6">
        <f>COUNTIF('FY 2024 (Jan24-Dec24)'!K9:K412,"Job Coach/WI")</f>
        <v/>
      </c>
      <c r="D48" s="6">
        <f>COUNTIF('FY 2025 (Jan25-Dec25)'!K9:K412,"Job Coach/WI")</f>
        <v/>
      </c>
      <c r="E48" s="6">
        <f>COUNTIF('FY 2026 (Jan26-Dec26)'!K9:K356,"Job Coach/WI")</f>
        <v/>
      </c>
      <c r="F48" s="6">
        <f>COUNTIF('FY 2027 (Jan27-Dec27)'!K9:K412,"Job Coach/WI")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 ht="15" customHeight="1">
      <c r="A49" s="6" t="inlineStr">
        <is>
          <t>Finance</t>
        </is>
      </c>
      <c r="B49" s="6">
        <f>COUNTIF('FY 2023 (Jan23-Dec23)'!K9:K412,"Finance")</f>
        <v/>
      </c>
      <c r="C49" s="6">
        <f>COUNTIF('FY 2024 (Jan24-Dec24)'!K9:K412,"Finance")</f>
        <v/>
      </c>
      <c r="D49" s="6">
        <f>COUNTIF('FY 2025 (Jan25-Dec25)'!K9:K412,"Finance")</f>
        <v/>
      </c>
      <c r="E49" s="6">
        <f>COUNTIF('FY 2026 (Jan26-Dec26)'!K9:K356,"Finance")</f>
        <v/>
      </c>
      <c r="F49" s="6">
        <f>COUNTIF('FY 2027 (Jan27-Dec27)'!K9:K412,"Finance")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 ht="15" customHeight="1">
      <c r="A50" s="6" t="inlineStr">
        <is>
          <t>HR</t>
        </is>
      </c>
      <c r="B50" s="6">
        <f>COUNTIF('FY 2023 (Jan23-Dec23)'!K9:K412,"HR")</f>
        <v/>
      </c>
      <c r="C50" s="6">
        <f>COUNTIF('FY 2024 (Jan24-Dec24)'!K9:K412,"HR")</f>
        <v/>
      </c>
      <c r="D50" s="6">
        <f>COUNTIF('FY 2025 (Jan25-Dec25)'!K9:K412,"HR")</f>
        <v/>
      </c>
      <c r="E50" s="6">
        <f>COUNTIF('FY 2026 (Jan26-Dec26)'!K9:K356,"HR")</f>
        <v/>
      </c>
      <c r="F50" s="6">
        <f>COUNTIF('FY 2027 (Jan27-Dec27)'!K9:K412,"HR")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</row>
    <row r="51" ht="15" customHeight="1">
      <c r="A51" s="6" t="inlineStr">
        <is>
          <t>QA</t>
        </is>
      </c>
      <c r="B51" s="6">
        <f>COUNTIF('FY 2023 (Jan23-Dec23)'!K9:K412,"QA")</f>
        <v/>
      </c>
      <c r="C51" s="6">
        <f>COUNTIF('FY 2024 (Jan24-Dec24)'!K9:K412,"QA")</f>
        <v/>
      </c>
      <c r="D51" s="6">
        <f>COUNTIF('FY 2025 (Jan25-Dec25)'!K9:K412,"QA")</f>
        <v/>
      </c>
      <c r="E51" s="6">
        <f>COUNTIF('FY 2026 (Jan26-Dec26)'!K9:K356,"QA")</f>
        <v/>
      </c>
      <c r="F51" s="6">
        <f>COUNTIF('FY 2027 (Jan27-Dec27)'!K9:K412,"QA")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 ht="15" customHeight="1">
      <c r="A52" s="6" t="inlineStr">
        <is>
          <t>Other</t>
        </is>
      </c>
      <c r="B52" s="6">
        <f>COUNTIF('FY 2023 (Jan23-Dec23)'!K9:K412,"Other")</f>
        <v/>
      </c>
      <c r="C52" s="6">
        <f>COUNTIF('FY 2024 (Jan24-Dec24)'!K9:K412,"Other")</f>
        <v/>
      </c>
      <c r="D52" s="6">
        <f>COUNTIF('FY 2025 (Jan25-Dec25)'!K9:K412,"Other")</f>
        <v/>
      </c>
      <c r="E52" s="6">
        <f>COUNTIF('FY 2026 (Jan26-Dec26)'!K9:K356,"Other")</f>
        <v/>
      </c>
      <c r="F52" s="6">
        <f>COUNTIF('FY 2027 (Jan27-Dec27)'!K9:K412,"Other")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</row>
    <row r="55" ht="15" customHeight="1">
      <c r="A55" s="137" t="inlineStr">
        <is>
          <t>Reason</t>
        </is>
      </c>
      <c r="B55" s="137" t="inlineStr">
        <is>
          <t>Category</t>
        </is>
      </c>
      <c r="C55" s="137" t="inlineStr">
        <is>
          <t>FY 2023</t>
        </is>
      </c>
      <c r="D55" s="137" t="inlineStr">
        <is>
          <t>FY 2024</t>
        </is>
      </c>
      <c r="E55" s="137" t="inlineStr">
        <is>
          <t>FY 2025</t>
        </is>
      </c>
      <c r="F55" s="137" t="inlineStr">
        <is>
          <t>FY 2026</t>
        </is>
      </c>
      <c r="G55" s="137" t="inlineStr">
        <is>
          <t>FY 2027</t>
        </is>
      </c>
      <c r="H55" s="6" t="n"/>
      <c r="I55" s="6" t="n"/>
      <c r="J55" s="6" t="n"/>
      <c r="K55" s="6" t="n"/>
      <c r="L55" s="6" t="n"/>
      <c r="M55" s="6" t="n"/>
      <c r="N55" s="6" t="n"/>
      <c r="O55" s="6" t="n"/>
    </row>
    <row r="56" ht="15" customHeight="1">
      <c r="A56" s="6" t="inlineStr">
        <is>
          <t>Resignation</t>
        </is>
      </c>
      <c r="B56" s="6">
        <f>IFERROR(VLOOKUP(A56,Reference!$C$2:$D$14,2,FALSE),"Other")</f>
        <v/>
      </c>
      <c r="C56" s="6">
        <f>COUNTIF('FY 2023 (Jan23-Dec23)'!H9:H412,"Resignation")</f>
        <v/>
      </c>
      <c r="D56" s="6">
        <f>COUNTIF('FY 2024 (Jan24-Dec24)'!H9:H412,"Resignation")</f>
        <v/>
      </c>
      <c r="E56" s="6">
        <f>COUNTIF('FY 2025 (Jan25-Dec25)'!H9:H412,"Resignation")</f>
        <v/>
      </c>
      <c r="F56" s="6">
        <f>COUNTIF('FY 2026 (Jan26-Dec26)'!H9:H356,"Resignation")</f>
        <v/>
      </c>
      <c r="G56" s="6">
        <f>COUNTIF('FY 2027 (Jan27-Dec27)'!H9:H412,"Resignation")</f>
        <v/>
      </c>
      <c r="H56" s="6" t="n"/>
      <c r="I56" s="6" t="n"/>
      <c r="J56" s="6" t="n"/>
      <c r="K56" s="6" t="n"/>
      <c r="L56" s="6" t="n"/>
      <c r="M56" s="6" t="n"/>
      <c r="N56" s="6" t="n"/>
      <c r="O56" s="6" t="n"/>
    </row>
    <row r="57" ht="15" customHeight="1">
      <c r="A57" s="6" t="inlineStr">
        <is>
          <t>Better Opportunity</t>
        </is>
      </c>
      <c r="B57" s="6">
        <f>IFERROR(VLOOKUP(A57,Reference!$C$2:$D$14,2,FALSE),"Other")</f>
        <v/>
      </c>
      <c r="C57" s="6">
        <f>COUNTIF('FY 2023 (Jan23-Dec23)'!H9:H412,"Better Opportunity")</f>
        <v/>
      </c>
      <c r="D57" s="6">
        <f>COUNTIF('FY 2024 (Jan24-Dec24)'!H9:H412,"Better Opportunity")</f>
        <v/>
      </c>
      <c r="E57" s="6">
        <f>COUNTIF('FY 2025 (Jan25-Dec25)'!H9:H412,"Better Opportunity")</f>
        <v/>
      </c>
      <c r="F57" s="6">
        <f>COUNTIF('FY 2026 (Jan26-Dec26)'!H9:H356,"Better Opportunity")</f>
        <v/>
      </c>
      <c r="G57" s="6">
        <f>COUNTIF('FY 2027 (Jan27-Dec27)'!H9:H412,"Better Opportunity")</f>
        <v/>
      </c>
      <c r="H57" s="6" t="n"/>
      <c r="I57" s="6" t="n"/>
      <c r="J57" s="6" t="n"/>
      <c r="K57" s="6" t="n"/>
      <c r="L57" s="6" t="n"/>
      <c r="M57" s="6" t="n"/>
      <c r="N57" s="6" t="n"/>
      <c r="O57" s="6" t="n"/>
    </row>
    <row r="58" ht="15" customHeight="1">
      <c r="A58" s="6" t="inlineStr">
        <is>
          <t>Personal Reasons</t>
        </is>
      </c>
      <c r="B58" s="6">
        <f>IFERROR(VLOOKUP(A58,Reference!$C$2:$D$14,2,FALSE),"Other")</f>
        <v/>
      </c>
      <c r="C58" s="6">
        <f>COUNTIF('FY 2023 (Jan23-Dec23)'!H9:H412,"Personal Reasons")</f>
        <v/>
      </c>
      <c r="D58" s="6">
        <f>COUNTIF('FY 2024 (Jan24-Dec24)'!H9:H412,"Personal Reasons")</f>
        <v/>
      </c>
      <c r="E58" s="6">
        <f>COUNTIF('FY 2025 (Jan25-Dec25)'!H9:H412,"Personal Reasons")</f>
        <v/>
      </c>
      <c r="F58" s="6">
        <f>COUNTIF('FY 2026 (Jan26-Dec26)'!H9:H356,"Personal Reasons")</f>
        <v/>
      </c>
      <c r="G58" s="6">
        <f>COUNTIF('FY 2027 (Jan27-Dec27)'!H9:H412,"Personal Reasons")</f>
        <v/>
      </c>
      <c r="H58" s="6" t="n"/>
      <c r="I58" s="6" t="n"/>
      <c r="J58" s="6" t="n"/>
      <c r="K58" s="6" t="n"/>
      <c r="L58" s="6" t="n"/>
      <c r="M58" s="6" t="n"/>
      <c r="N58" s="6" t="n"/>
      <c r="O58" s="6" t="n"/>
    </row>
    <row r="59" ht="15" customHeight="1">
      <c r="A59" s="6" t="inlineStr">
        <is>
          <t>Relocation</t>
        </is>
      </c>
      <c r="B59" s="6">
        <f>IFERROR(VLOOKUP(A59,Reference!$C$2:$D$14,2,FALSE),"Other")</f>
        <v/>
      </c>
      <c r="C59" s="6">
        <f>COUNTIF('FY 2023 (Jan23-Dec23)'!H9:H412,"Relocation")</f>
        <v/>
      </c>
      <c r="D59" s="6">
        <f>COUNTIF('FY 2024 (Jan24-Dec24)'!H9:H412,"Relocation")</f>
        <v/>
      </c>
      <c r="E59" s="6">
        <f>COUNTIF('FY 2025 (Jan25-Dec25)'!H9:H412,"Relocation")</f>
        <v/>
      </c>
      <c r="F59" s="6">
        <f>COUNTIF('FY 2026 (Jan26-Dec26)'!H9:H356,"Relocation")</f>
        <v/>
      </c>
      <c r="G59" s="6">
        <f>COUNTIF('FY 2027 (Jan27-Dec27)'!H9:H412,"Relocation")</f>
        <v/>
      </c>
      <c r="H59" s="6" t="n"/>
      <c r="I59" s="6" t="n"/>
      <c r="J59" s="6" t="n"/>
      <c r="K59" s="6" t="n"/>
      <c r="L59" s="6" t="n"/>
      <c r="M59" s="6" t="n"/>
      <c r="N59" s="6" t="n"/>
      <c r="O59" s="6" t="n"/>
    </row>
    <row r="60" ht="15" customHeight="1">
      <c r="A60" s="6" t="inlineStr">
        <is>
          <t>Retirement</t>
        </is>
      </c>
      <c r="B60" s="6">
        <f>IFERROR(VLOOKUP(A60,Reference!$C$2:$D$14,2,FALSE),"Other")</f>
        <v/>
      </c>
      <c r="C60" s="6">
        <f>COUNTIF('FY 2023 (Jan23-Dec23)'!H9:H412,"Retirement")</f>
        <v/>
      </c>
      <c r="D60" s="6">
        <f>COUNTIF('FY 2024 (Jan24-Dec24)'!H9:H412,"Retirement")</f>
        <v/>
      </c>
      <c r="E60" s="6">
        <f>COUNTIF('FY 2025 (Jan25-Dec25)'!H9:H412,"Retirement")</f>
        <v/>
      </c>
      <c r="F60" s="6">
        <f>COUNTIF('FY 2026 (Jan26-Dec26)'!H9:H356,"Retirement")</f>
        <v/>
      </c>
      <c r="G60" s="6">
        <f>COUNTIF('FY 2027 (Jan27-Dec27)'!H9:H412,"Retirement")</f>
        <v/>
      </c>
      <c r="H60" s="6" t="n"/>
      <c r="I60" s="6" t="n"/>
      <c r="J60" s="6" t="n"/>
      <c r="K60" s="6" t="n"/>
      <c r="L60" s="6" t="n"/>
      <c r="M60" s="6" t="n"/>
      <c r="N60" s="6" t="n"/>
      <c r="O60" s="6" t="n"/>
    </row>
    <row r="61" ht="15" customHeight="1">
      <c r="A61" s="6" t="inlineStr">
        <is>
          <t>Termination</t>
        </is>
      </c>
      <c r="B61" s="6">
        <f>IFERROR(VLOOKUP(A61,Reference!$C$2:$D$14,2,FALSE),"Other")</f>
        <v/>
      </c>
      <c r="C61" s="6">
        <f>COUNTIF('FY 2023 (Jan23-Dec23)'!H9:H412,"Termination")</f>
        <v/>
      </c>
      <c r="D61" s="6">
        <f>COUNTIF('FY 2024 (Jan24-Dec24)'!H9:H412,"Termination")</f>
        <v/>
      </c>
      <c r="E61" s="6">
        <f>COUNTIF('FY 2025 (Jan25-Dec25)'!H9:H412,"Termination")</f>
        <v/>
      </c>
      <c r="F61" s="6">
        <f>COUNTIF('FY 2026 (Jan26-Dec26)'!H9:H356,"Termination")</f>
        <v/>
      </c>
      <c r="G61" s="6">
        <f>COUNTIF('FY 2027 (Jan27-Dec27)'!H9:H412,"Termination")</f>
        <v/>
      </c>
      <c r="H61" s="6" t="n"/>
      <c r="I61" s="6" t="n"/>
      <c r="J61" s="6" t="n"/>
      <c r="K61" s="6" t="n"/>
      <c r="L61" s="6" t="n"/>
      <c r="M61" s="6" t="n"/>
      <c r="N61" s="6" t="n"/>
      <c r="O61" s="6" t="n"/>
    </row>
    <row r="62" ht="15" customHeight="1">
      <c r="A62" s="6" t="inlineStr">
        <is>
          <t>Layoff</t>
        </is>
      </c>
      <c r="B62" s="6">
        <f>IFERROR(VLOOKUP(A62,Reference!$C$2:$D$14,2,FALSE),"Other")</f>
        <v/>
      </c>
      <c r="C62" s="6">
        <f>COUNTIF('FY 2023 (Jan23-Dec23)'!H9:H412,"Layoff")</f>
        <v/>
      </c>
      <c r="D62" s="6">
        <f>COUNTIF('FY 2024 (Jan24-Dec24)'!H9:H412,"Layoff")</f>
        <v/>
      </c>
      <c r="E62" s="6">
        <f>COUNTIF('FY 2025 (Jan25-Dec25)'!H9:H412,"Layoff")</f>
        <v/>
      </c>
      <c r="F62" s="6">
        <f>COUNTIF('FY 2026 (Jan26-Dec26)'!H9:H356,"Layoff")</f>
        <v/>
      </c>
      <c r="G62" s="6">
        <f>COUNTIF('FY 2027 (Jan27-Dec27)'!H9:H412,"Layoff")</f>
        <v/>
      </c>
      <c r="H62" s="6" t="n"/>
      <c r="I62" s="6" t="n"/>
      <c r="J62" s="6" t="n"/>
      <c r="K62" s="6" t="n"/>
      <c r="L62" s="6" t="n"/>
      <c r="M62" s="6" t="n"/>
      <c r="N62" s="6" t="n"/>
      <c r="O62" s="6" t="n"/>
    </row>
    <row r="63" ht="15" customHeight="1">
      <c r="A63" s="6" t="inlineStr">
        <is>
          <t>Job Abandonment</t>
        </is>
      </c>
      <c r="B63" s="6">
        <f>IFERROR(VLOOKUP(A63,Reference!$C$2:$D$14,2,FALSE),"Other")</f>
        <v/>
      </c>
      <c r="C63" s="6">
        <f>COUNTIF('FY 2023 (Jan23-Dec23)'!H9:H412,"Job Abandonment")</f>
        <v/>
      </c>
      <c r="D63" s="6">
        <f>COUNTIF('FY 2024 (Jan24-Dec24)'!H9:H412,"Job Abandonment")</f>
        <v/>
      </c>
      <c r="E63" s="6">
        <f>COUNTIF('FY 2025 (Jan25-Dec25)'!H9:H412,"Job Abandonment")</f>
        <v/>
      </c>
      <c r="F63" s="6">
        <f>COUNTIF('FY 2026 (Jan26-Dec26)'!H9:H356,"Job Abandonment")</f>
        <v/>
      </c>
      <c r="G63" s="6">
        <f>COUNTIF('FY 2027 (Jan27-Dec27)'!H9:H412,"Job Abandonment")</f>
        <v/>
      </c>
      <c r="H63" s="6" t="n"/>
      <c r="I63" s="6" t="n"/>
      <c r="J63" s="6" t="n"/>
      <c r="K63" s="6" t="n"/>
      <c r="L63" s="6" t="n"/>
      <c r="M63" s="6" t="n"/>
      <c r="N63" s="6" t="n"/>
      <c r="O63" s="6" t="n"/>
    </row>
    <row r="64" ht="15" customHeight="1">
      <c r="A64" s="6" t="inlineStr">
        <is>
          <t>End of Contract</t>
        </is>
      </c>
      <c r="B64" s="6">
        <f>IFERROR(VLOOKUP(A64,Reference!$C$2:$D$14,2,FALSE),"Other")</f>
        <v/>
      </c>
      <c r="C64" s="6">
        <f>COUNTIF('FY 2023 (Jan23-Dec23)'!H9:H412,"End of Contract")</f>
        <v/>
      </c>
      <c r="D64" s="6">
        <f>COUNTIF('FY 2024 (Jan24-Dec24)'!H9:H412,"End of Contract")</f>
        <v/>
      </c>
      <c r="E64" s="6">
        <f>COUNTIF('FY 2025 (Jan25-Dec25)'!H9:H412,"End of Contract")</f>
        <v/>
      </c>
      <c r="F64" s="6">
        <f>COUNTIF('FY 2026 (Jan26-Dec26)'!H9:H356,"End of Contract")</f>
        <v/>
      </c>
      <c r="G64" s="6">
        <f>COUNTIF('FY 2027 (Jan27-Dec27)'!H9:H412,"End of Contract")</f>
        <v/>
      </c>
      <c r="H64" s="6" t="n"/>
      <c r="I64" s="6" t="n"/>
      <c r="J64" s="6" t="n"/>
      <c r="K64" s="6" t="n"/>
      <c r="L64" s="6" t="n"/>
      <c r="M64" s="6" t="n"/>
      <c r="N64" s="6" t="n"/>
      <c r="O64" s="6" t="n"/>
    </row>
    <row r="65" ht="15" customHeight="1">
      <c r="A65" s="6" t="inlineStr">
        <is>
          <t>Other</t>
        </is>
      </c>
      <c r="B65" s="6">
        <f>IFERROR(VLOOKUP(A65,Reference!$C$2:$D$14,2,FALSE),"Other")</f>
        <v/>
      </c>
      <c r="C65" s="6">
        <f>COUNTIF('FY 2023 (Jan23-Dec23)'!H9:H412,"Other")</f>
        <v/>
      </c>
      <c r="D65" s="6">
        <f>COUNTIF('FY 2024 (Jan24-Dec24)'!H9:H412,"Other")</f>
        <v/>
      </c>
      <c r="E65" s="6">
        <f>COUNTIF('FY 2025 (Jan25-Dec25)'!H9:H412,"Other")</f>
        <v/>
      </c>
      <c r="F65" s="6">
        <f>COUNTIF('FY 2026 (Jan26-Dec26)'!H9:H356,"Other")</f>
        <v/>
      </c>
      <c r="G65" s="6">
        <f>COUNTIF('FY 2027 (Jan27-Dec27)'!H9:H412,"Other")</f>
        <v/>
      </c>
      <c r="H65" s="6" t="n"/>
      <c r="I65" s="6" t="n"/>
      <c r="J65" s="6" t="n"/>
      <c r="K65" s="6" t="n"/>
      <c r="L65" s="6" t="n"/>
      <c r="M65" s="6" t="n"/>
      <c r="N65" s="6" t="n"/>
      <c r="O65" s="6" t="n"/>
    </row>
    <row r="66" ht="15" customHeight="1">
      <c r="A66" s="6" t="inlineStr">
        <is>
          <t>Performance Issues</t>
        </is>
      </c>
      <c r="B66" s="6">
        <f>IFERROR(VLOOKUP(A66,Reference!$C$2:$D$14,2,FALSE),"Other")</f>
        <v/>
      </c>
      <c r="C66" s="6">
        <f>COUNTIF('FY 2023 (Jan23-Dec23)'!H9:H412,"Performance Issues")</f>
        <v/>
      </c>
      <c r="D66" s="6">
        <f>COUNTIF('FY 2024 (Jan24-Dec24)'!H9:H412,"Performance Issues")</f>
        <v/>
      </c>
      <c r="E66" s="6">
        <f>COUNTIF('FY 2025 (Jan25-Dec25)'!H9:H412,"Performance Issues")</f>
        <v/>
      </c>
      <c r="F66" s="6">
        <f>COUNTIF('FY 2026 (Jan26-Dec26)'!H9:H356,"Performance Issues")</f>
        <v/>
      </c>
      <c r="G66" s="6">
        <f>COUNTIF('FY 2027 (Jan27-Dec27)'!H9:H412,"Performance Issues")</f>
        <v/>
      </c>
      <c r="H66" s="6" t="n"/>
      <c r="I66" s="6" t="n"/>
      <c r="J66" s="6" t="n"/>
      <c r="K66" s="6" t="n"/>
      <c r="L66" s="6" t="n"/>
      <c r="M66" s="6" t="n"/>
      <c r="N66" s="6" t="n"/>
      <c r="O66" s="6" t="n"/>
    </row>
    <row r="67" ht="15" customHeight="1">
      <c r="A67" s="6" t="inlineStr">
        <is>
          <t>Attendance Issues</t>
        </is>
      </c>
      <c r="B67" s="6">
        <f>IFERROR(VLOOKUP(A67,Reference!$C$2:$D$14,2,FALSE),"Other")</f>
        <v/>
      </c>
      <c r="C67" s="6">
        <f>COUNTIF('FY 2023 (Jan23-Dec23)'!H9:H412,"Attendance Issues")</f>
        <v/>
      </c>
      <c r="D67" s="6">
        <f>COUNTIF('FY 2024 (Jan24-Dec24)'!H9:H412,"Attendance Issues")</f>
        <v/>
      </c>
      <c r="E67" s="6">
        <f>COUNTIF('FY 2025 (Jan25-Dec25)'!H9:H412,"Attendance Issues")</f>
        <v/>
      </c>
      <c r="F67" s="6">
        <f>COUNTIF('FY 2026 (Jan26-Dec26)'!H9:H356,"Attendance Issues")</f>
        <v/>
      </c>
      <c r="G67" s="6">
        <f>COUNTIF('FY 2027 (Jan27-Dec27)'!H9:H412,"Attendance Issues")</f>
        <v/>
      </c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6" t="inlineStr">
        <is>
          <t>Resignation without Notice</t>
        </is>
      </c>
      <c r="B68" s="6">
        <f>IFERROR(VLOOKUP(A68,Reference!$C$2:$D$14,2,FALSE),"Other")</f>
        <v/>
      </c>
      <c r="C68" s="6">
        <f>COUNTIF('FY 2023 (Jan23-Dec23)'!H9:H412,"Resignation without Notice")</f>
        <v/>
      </c>
      <c r="D68" s="6">
        <f>COUNTIF('FY 2024 (Jan24-Dec24)'!H9:H412,"Resignation without Notice")</f>
        <v/>
      </c>
      <c r="E68" s="6">
        <f>COUNTIF('FY 2025 (Jan25-Dec25)'!H9:H412,"Resignation without Notice")</f>
        <v/>
      </c>
      <c r="F68" s="6">
        <f>COUNTIF('FY 2026 (Jan26-Dec26)'!H9:H412,"Resignation without Notice")</f>
        <v/>
      </c>
      <c r="G68" s="6">
        <f>COUNTIF('FY 2027 (Jan27-Dec27)'!H9:H412,"Resignation without Notice")</f>
        <v/>
      </c>
      <c r="H68" s="6" t="n"/>
      <c r="I68" s="6" t="n"/>
      <c r="J68" s="6" t="n"/>
      <c r="K68" s="6" t="n"/>
      <c r="L68" s="6" t="n"/>
      <c r="M68" s="6" t="n"/>
      <c r="N68" s="6" t="n"/>
      <c r="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</row>
    <row r="75" ht="15" customHeight="1">
      <c r="A75" s="137" t="inlineStr">
        <is>
          <t>FY Year</t>
        </is>
      </c>
      <c r="B75" s="137" t="inlineStr">
        <is>
          <t>Active Emp</t>
        </is>
      </c>
      <c r="C75" s="137" t="inlineStr">
        <is>
          <t>Total Sep</t>
        </is>
      </c>
      <c r="D75" s="137" t="inlineStr">
        <is>
          <t>TOR %</t>
        </is>
      </c>
      <c r="E75" s="137" t="inlineStr">
        <is>
          <t>Avg Monthly</t>
        </is>
      </c>
      <c r="F75" s="137" t="inlineStr">
        <is>
          <t>Voluntary</t>
        </is>
      </c>
      <c r="G75" s="137" t="inlineStr">
        <is>
          <t>Involuntary</t>
        </is>
      </c>
      <c r="H75" s="137" t="inlineStr">
        <is>
          <t>Vol %</t>
        </is>
      </c>
      <c r="I75" s="137" t="inlineStr">
        <is>
          <t>YoY Change</t>
        </is>
      </c>
      <c r="J75" s="6" t="n"/>
      <c r="K75" s="6" t="n"/>
      <c r="L75" s="6" t="n"/>
      <c r="M75" s="6" t="n"/>
      <c r="N75" s="6" t="n"/>
      <c r="O75" s="6" t="n"/>
    </row>
    <row r="76" ht="15" customHeight="1">
      <c r="A76" s="6" t="inlineStr">
        <is>
          <t>FY 2023</t>
        </is>
      </c>
      <c r="B76" s="6">
        <f>B2</f>
        <v/>
      </c>
      <c r="C76" s="6">
        <f>C2</f>
        <v/>
      </c>
      <c r="D76" s="6">
        <f>D2</f>
        <v/>
      </c>
      <c r="E76" s="6">
        <f>E2</f>
        <v/>
      </c>
      <c r="F76" s="6">
        <f>F2</f>
        <v/>
      </c>
      <c r="G76" s="6">
        <f>G2</f>
        <v/>
      </c>
      <c r="H76" s="6">
        <f>I2</f>
        <v/>
      </c>
      <c r="I76" s="6" t="inlineStr">
        <is>
          <t>N/A</t>
        </is>
      </c>
      <c r="J76" s="6" t="n"/>
      <c r="K76" s="6" t="n"/>
      <c r="L76" s="6" t="n"/>
      <c r="M76" s="6" t="n"/>
      <c r="N76" s="6" t="n"/>
      <c r="O76" s="6" t="n"/>
    </row>
    <row r="77" ht="15" customHeight="1">
      <c r="A77" s="6" t="inlineStr">
        <is>
          <t>FY 2024</t>
        </is>
      </c>
      <c r="B77" s="6">
        <f>B3</f>
        <v/>
      </c>
      <c r="C77" s="6">
        <f>C3</f>
        <v/>
      </c>
      <c r="D77" s="6">
        <f>D3</f>
        <v/>
      </c>
      <c r="E77" s="6">
        <f>E3</f>
        <v/>
      </c>
      <c r="F77" s="6">
        <f>F3</f>
        <v/>
      </c>
      <c r="G77" s="6">
        <f>G3</f>
        <v/>
      </c>
      <c r="H77" s="6">
        <f>I3</f>
        <v/>
      </c>
      <c r="I77" s="6">
        <f>D3-D2</f>
        <v/>
      </c>
      <c r="J77" s="6" t="n"/>
      <c r="K77" s="6" t="n"/>
      <c r="L77" s="6" t="n"/>
      <c r="M77" s="6" t="n"/>
      <c r="N77" s="6" t="n"/>
      <c r="O77" s="6" t="n"/>
    </row>
    <row r="78" ht="15" customHeight="1">
      <c r="A78" s="6" t="inlineStr">
        <is>
          <t>FY 2025</t>
        </is>
      </c>
      <c r="B78" s="6">
        <f>B4</f>
        <v/>
      </c>
      <c r="C78" s="6">
        <f>C4</f>
        <v/>
      </c>
      <c r="D78" s="6">
        <f>D4</f>
        <v/>
      </c>
      <c r="E78" s="6">
        <f>E4</f>
        <v/>
      </c>
      <c r="F78" s="6">
        <f>F4</f>
        <v/>
      </c>
      <c r="G78" s="6">
        <f>G4</f>
        <v/>
      </c>
      <c r="H78" s="6">
        <f>I4</f>
        <v/>
      </c>
      <c r="I78" s="6">
        <f>D4-D3</f>
        <v/>
      </c>
      <c r="J78" s="6" t="n"/>
      <c r="K78" s="6" t="n"/>
      <c r="L78" s="6" t="n"/>
      <c r="M78" s="6" t="n"/>
      <c r="N78" s="6" t="n"/>
      <c r="O78" s="6" t="n"/>
    </row>
    <row r="79" ht="15" customHeight="1">
      <c r="A79" s="6" t="inlineStr">
        <is>
          <t>FY 2026</t>
        </is>
      </c>
      <c r="B79" s="6">
        <f>B5</f>
        <v/>
      </c>
      <c r="C79" s="6">
        <f>C5</f>
        <v/>
      </c>
      <c r="D79" s="6">
        <f>D5</f>
        <v/>
      </c>
      <c r="E79" s="6">
        <f>E5</f>
        <v/>
      </c>
      <c r="F79" s="6">
        <f>F5</f>
        <v/>
      </c>
      <c r="G79" s="6">
        <f>G5</f>
        <v/>
      </c>
      <c r="H79" s="6">
        <f>I5</f>
        <v/>
      </c>
      <c r="I79" s="6">
        <f>D5-D4</f>
        <v/>
      </c>
      <c r="J79" s="6" t="n"/>
      <c r="K79" s="6" t="n"/>
      <c r="L79" s="6" t="n"/>
      <c r="M79" s="6" t="n"/>
      <c r="N79" s="6" t="n"/>
      <c r="O79" s="6" t="n"/>
    </row>
    <row r="80" ht="15" customHeight="1">
      <c r="A80" s="6" t="inlineStr">
        <is>
          <t>FY 2027</t>
        </is>
      </c>
      <c r="B80" s="6">
        <f>B6</f>
        <v/>
      </c>
      <c r="C80" s="6">
        <f>C6</f>
        <v/>
      </c>
      <c r="D80" s="6">
        <f>D6</f>
        <v/>
      </c>
      <c r="E80" s="6">
        <f>E6</f>
        <v/>
      </c>
      <c r="F80" s="6">
        <f>F6</f>
        <v/>
      </c>
      <c r="G80" s="6">
        <f>G6</f>
        <v/>
      </c>
      <c r="H80" s="6">
        <f>I6</f>
        <v/>
      </c>
      <c r="I80" s="6">
        <f>D6-D5</f>
        <v/>
      </c>
      <c r="J80" s="6" t="n"/>
      <c r="K80" s="6" t="n"/>
      <c r="L80" s="6" t="n"/>
      <c r="M80" s="6" t="n"/>
      <c r="N80" s="6" t="n"/>
      <c r="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</row>
    <row r="85" ht="27.75" customHeight="1">
      <c r="A85" s="157" t="inlineStr">
        <is>
          <t xml:space="preserve">  FISCAL YEAR MONTHLY SEPARATIONS (July 1 — June 30)</t>
        </is>
      </c>
      <c r="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 ht="21.75" customHeight="1">
      <c r="A87" s="82" t="inlineStr">
        <is>
          <t>FY EVC Year</t>
        </is>
      </c>
      <c r="B87" s="82" t="inlineStr">
        <is>
          <t>July</t>
        </is>
      </c>
      <c r="C87" s="82" t="inlineStr">
        <is>
          <t>August</t>
        </is>
      </c>
      <c r="D87" s="82" t="inlineStr">
        <is>
          <t>September</t>
        </is>
      </c>
      <c r="E87" s="82" t="inlineStr">
        <is>
          <t>October</t>
        </is>
      </c>
      <c r="F87" s="82" t="inlineStr">
        <is>
          <t>November</t>
        </is>
      </c>
      <c r="G87" s="82" t="inlineStr">
        <is>
          <t>December</t>
        </is>
      </c>
      <c r="H87" s="82" t="inlineStr">
        <is>
          <t>January</t>
        </is>
      </c>
      <c r="I87" s="82" t="inlineStr">
        <is>
          <t>February</t>
        </is>
      </c>
      <c r="J87" s="82" t="inlineStr">
        <is>
          <t>March</t>
        </is>
      </c>
      <c r="K87" s="82" t="inlineStr">
        <is>
          <t>April</t>
        </is>
      </c>
      <c r="L87" s="82" t="inlineStr">
        <is>
          <t>May</t>
        </is>
      </c>
      <c r="M87" s="82" t="inlineStr">
        <is>
          <t>June</t>
        </is>
      </c>
      <c r="N87" s="82" t="inlineStr">
        <is>
          <t>Total</t>
        </is>
      </c>
      <c r="O87" s="6" t="n"/>
    </row>
    <row r="88" ht="15" customHeight="1">
      <c r="A88" s="83" t="inlineStr">
        <is>
          <t>FY EVC 2024</t>
        </is>
      </c>
      <c r="B88" s="90" t="n">
        <v>10</v>
      </c>
      <c r="C88" s="90" t="n">
        <v>9</v>
      </c>
      <c r="D88" s="90" t="n">
        <v>12</v>
      </c>
      <c r="E88" s="90" t="n">
        <v>12</v>
      </c>
      <c r="F88" s="90" t="n">
        <v>10</v>
      </c>
      <c r="G88" s="90" t="n">
        <v>9</v>
      </c>
      <c r="H88" s="90" t="n">
        <v>24</v>
      </c>
      <c r="I88" s="90" t="n">
        <v>11</v>
      </c>
      <c r="J88" s="90" t="n">
        <v>14</v>
      </c>
      <c r="K88" s="90" t="n">
        <v>13</v>
      </c>
      <c r="L88" s="90" t="n">
        <v>17</v>
      </c>
      <c r="M88" s="90" t="n">
        <v>12</v>
      </c>
      <c r="N88" s="138">
        <f>SUM(B88:M88)</f>
        <v/>
      </c>
      <c r="O88" s="6" t="n"/>
    </row>
    <row r="89" ht="15" customHeight="1">
      <c r="A89" s="86" t="inlineStr">
        <is>
          <t>FY EVC 2025</t>
        </is>
      </c>
      <c r="B89" s="87" t="n">
        <v>13</v>
      </c>
      <c r="C89" s="87" t="n">
        <v>16</v>
      </c>
      <c r="D89" s="87" t="n">
        <v>8</v>
      </c>
      <c r="E89" s="87" t="n">
        <v>7</v>
      </c>
      <c r="F89" s="87" t="n">
        <v>14</v>
      </c>
      <c r="G89" s="87" t="n">
        <v>9</v>
      </c>
      <c r="H89" s="87" t="n">
        <v>14</v>
      </c>
      <c r="I89" s="87" t="n">
        <v>13</v>
      </c>
      <c r="J89" s="87" t="n">
        <v>12</v>
      </c>
      <c r="K89" s="87" t="n">
        <v>7</v>
      </c>
      <c r="L89" s="87" t="n">
        <v>18</v>
      </c>
      <c r="M89" s="87" t="n">
        <v>5</v>
      </c>
      <c r="N89" s="139">
        <f>SUM(B89:M89)</f>
        <v/>
      </c>
      <c r="O89" s="6" t="n"/>
    </row>
    <row r="90" ht="15" customHeight="1">
      <c r="A90" s="83" t="inlineStr">
        <is>
          <t>FY EVC 2026</t>
        </is>
      </c>
      <c r="B90" s="90" t="n">
        <v>16</v>
      </c>
      <c r="C90" s="90" t="n">
        <v>14</v>
      </c>
      <c r="D90" s="90" t="n">
        <v>12</v>
      </c>
      <c r="E90" s="90" t="n">
        <v>13</v>
      </c>
      <c r="F90" s="90" t="n">
        <v>9</v>
      </c>
      <c r="G90" s="90" t="n">
        <v>5</v>
      </c>
      <c r="H90" s="90" t="n">
        <v>8</v>
      </c>
      <c r="I90" s="90" t="n">
        <v>10</v>
      </c>
      <c r="J90" s="90" t="n">
        <v>10</v>
      </c>
      <c r="K90" s="90" t="n">
        <v>2</v>
      </c>
      <c r="L90" s="90" t="n">
        <v>0</v>
      </c>
      <c r="M90" s="90" t="n">
        <v>0</v>
      </c>
      <c r="N90" s="138">
        <f>SUM(B90:M90)</f>
        <v/>
      </c>
      <c r="O90" s="6" t="n"/>
    </row>
    <row r="91" ht="15" customHeight="1">
      <c r="A91" s="86" t="inlineStr">
        <is>
          <t>FY EVC 2027</t>
        </is>
      </c>
      <c r="B91" s="87" t="n">
        <v>0</v>
      </c>
      <c r="C91" s="87" t="n">
        <v>0</v>
      </c>
      <c r="D91" s="87" t="n">
        <v>0</v>
      </c>
      <c r="E91" s="87" t="n">
        <v>0</v>
      </c>
      <c r="F91" s="87" t="n">
        <v>0</v>
      </c>
      <c r="G91" s="87" t="n">
        <v>0</v>
      </c>
      <c r="H91" s="87" t="n">
        <v>0</v>
      </c>
      <c r="I91" s="87" t="n">
        <v>0</v>
      </c>
      <c r="J91" s="87" t="n">
        <v>0</v>
      </c>
      <c r="K91" s="87" t="n">
        <v>0</v>
      </c>
      <c r="L91" s="87" t="n">
        <v>0</v>
      </c>
      <c r="M91" s="87" t="n">
        <v>0</v>
      </c>
      <c r="N91" s="139">
        <f>SUM(B91:M91)</f>
        <v/>
      </c>
      <c r="O91" s="6" t="n"/>
    </row>
    <row r="92" ht="15" customHeight="1">
      <c r="A92" s="140" t="inlineStr">
        <is>
          <t>Average</t>
        </is>
      </c>
      <c r="B92" s="141">
        <f>AVERAGE(B88:B91)</f>
        <v/>
      </c>
      <c r="C92" s="141">
        <f>AVERAGE(C88:C91)</f>
        <v/>
      </c>
      <c r="D92" s="141">
        <f>AVERAGE(D88:D91)</f>
        <v/>
      </c>
      <c r="E92" s="141">
        <f>AVERAGE(E88:E91)</f>
        <v/>
      </c>
      <c r="F92" s="141">
        <f>AVERAGE(F88:F91)</f>
        <v/>
      </c>
      <c r="G92" s="141">
        <f>AVERAGE(G88:G91)</f>
        <v/>
      </c>
      <c r="H92" s="141">
        <f>AVERAGE(H88:H91)</f>
        <v/>
      </c>
      <c r="I92" s="141">
        <f>AVERAGE(I88:I91)</f>
        <v/>
      </c>
      <c r="J92" s="141">
        <f>AVERAGE(J88:J91)</f>
        <v/>
      </c>
      <c r="K92" s="141">
        <f>AVERAGE(K88:K91)</f>
        <v/>
      </c>
      <c r="L92" s="141">
        <f>AVERAGE(L88:L91)</f>
        <v/>
      </c>
      <c r="M92" s="141">
        <f>AVERAGE(M88:M91)</f>
        <v/>
      </c>
      <c r="N92" s="141">
        <f>AVERAGE(N88:N91)</f>
        <v/>
      </c>
      <c r="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</row>
    <row r="95" ht="27.75" customHeight="1">
      <c r="A95" s="157" t="inlineStr">
        <is>
          <t xml:space="preserve">  FISCAL YEAR SUMMARY (July 1 — June 30)</t>
        </is>
      </c>
      <c r="J95" s="6" t="n"/>
      <c r="K95" s="6" t="n"/>
      <c r="L95" s="6" t="n"/>
      <c r="M95" s="6" t="n"/>
      <c r="N95" s="6" t="n"/>
      <c r="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</row>
    <row r="97" ht="21.75" customHeight="1">
      <c r="A97" s="82" t="inlineStr">
        <is>
          <t>FY Year</t>
        </is>
      </c>
      <c r="B97" s="82" t="inlineStr">
        <is>
          <t>Active Emp</t>
        </is>
      </c>
      <c r="C97" s="82" t="inlineStr">
        <is>
          <t>Total Sep</t>
        </is>
      </c>
      <c r="D97" s="82" t="inlineStr">
        <is>
          <t>TOR %</t>
        </is>
      </c>
      <c r="E97" s="82" t="inlineStr">
        <is>
          <t>Avg Monthly</t>
        </is>
      </c>
      <c r="F97" s="82" t="inlineStr">
        <is>
          <t>Vol</t>
        </is>
      </c>
      <c r="G97" s="82" t="inlineStr">
        <is>
          <t>Invol</t>
        </is>
      </c>
      <c r="H97" s="82" t="inlineStr">
        <is>
          <t>Vol %</t>
        </is>
      </c>
      <c r="I97" s="82" t="inlineStr">
        <is>
          <t>YoY Change</t>
        </is>
      </c>
      <c r="J97" s="6" t="n"/>
      <c r="K97" s="6" t="n"/>
      <c r="L97" s="6" t="n"/>
      <c r="M97" s="6" t="n"/>
      <c r="N97" s="6" t="n"/>
      <c r="O97" s="6" t="n"/>
    </row>
    <row r="98" ht="15" customHeight="1">
      <c r="A98" s="83" t="inlineStr">
        <is>
          <t>FY 2024</t>
        </is>
      </c>
      <c r="B98" s="90" t="n">
        <v>339</v>
      </c>
      <c r="C98" s="90" t="n">
        <v>153</v>
      </c>
      <c r="D98" s="84" t="n">
        <v>0.451327433628319</v>
      </c>
      <c r="E98" s="91" t="n">
        <v>12.75</v>
      </c>
      <c r="F98" s="90" t="n">
        <v>83</v>
      </c>
      <c r="G98" s="90" t="n">
        <v>13</v>
      </c>
      <c r="H98" s="84" t="n">
        <v>0.542483660130719</v>
      </c>
      <c r="I98" s="90" t="inlineStr">
        <is>
          <t>N/A</t>
        </is>
      </c>
      <c r="J98" s="6" t="n"/>
      <c r="K98" s="6" t="n"/>
      <c r="L98" s="6" t="n"/>
      <c r="M98" s="6" t="n"/>
      <c r="N98" s="6" t="n"/>
      <c r="O98" s="6" t="n"/>
    </row>
    <row r="99" ht="15" customHeight="1">
      <c r="A99" s="86" t="inlineStr">
        <is>
          <t>FY 2025</t>
        </is>
      </c>
      <c r="B99" s="87" t="n">
        <v>339</v>
      </c>
      <c r="C99" s="87" t="n">
        <v>136</v>
      </c>
      <c r="D99" s="142" t="n">
        <v>0.40117994100295</v>
      </c>
      <c r="E99" s="88" t="n">
        <v>11.3333333333333</v>
      </c>
      <c r="F99" s="87" t="n">
        <v>81</v>
      </c>
      <c r="G99" s="87" t="n">
        <v>9</v>
      </c>
      <c r="H99" s="142" t="n">
        <v>0.595588235294118</v>
      </c>
      <c r="I99" s="142" t="n">
        <v>-0.0501474926253687</v>
      </c>
      <c r="J99" s="6" t="n"/>
      <c r="K99" s="6" t="n"/>
      <c r="L99" s="6" t="n"/>
      <c r="M99" s="6" t="n"/>
      <c r="N99" s="6" t="n"/>
      <c r="O99" s="6" t="n"/>
    </row>
    <row r="100" ht="15" customHeight="1">
      <c r="A100" s="83" t="inlineStr">
        <is>
          <t>FY 2026</t>
        </is>
      </c>
      <c r="B100" s="90" t="n">
        <v>346</v>
      </c>
      <c r="C100" s="90" t="n">
        <v>99</v>
      </c>
      <c r="D100" s="84" t="n">
        <v>0.286127167630058</v>
      </c>
      <c r="E100" s="91" t="n">
        <v>8.25</v>
      </c>
      <c r="F100" s="90" t="n">
        <v>78</v>
      </c>
      <c r="G100" s="90" t="n">
        <v>4</v>
      </c>
      <c r="H100" s="84" t="n">
        <v>0.787878787878788</v>
      </c>
      <c r="I100" s="84" t="n">
        <v>-0.115052773372892</v>
      </c>
      <c r="J100" s="6" t="n"/>
      <c r="K100" s="6" t="n"/>
      <c r="L100" s="6" t="n"/>
      <c r="M100" s="6" t="n"/>
      <c r="N100" s="6" t="n"/>
      <c r="O100" s="6" t="n"/>
    </row>
    <row r="101" ht="15" customHeight="1">
      <c r="A101" s="86" t="inlineStr">
        <is>
          <t>FY 2027</t>
        </is>
      </c>
      <c r="B101" s="87" t="n">
        <v>364</v>
      </c>
      <c r="C101" s="87" t="n">
        <v>0</v>
      </c>
      <c r="D101" s="142" t="n">
        <v>0</v>
      </c>
      <c r="E101" s="88" t="n">
        <v>0</v>
      </c>
      <c r="F101" s="87" t="n">
        <v>0</v>
      </c>
      <c r="G101" s="87" t="n">
        <v>0</v>
      </c>
      <c r="H101" s="142" t="n">
        <v>0</v>
      </c>
      <c r="I101" s="142" t="n">
        <v>-0.286127167630058</v>
      </c>
      <c r="J101" s="6" t="n"/>
      <c r="K101" s="6" t="n"/>
      <c r="L101" s="6" t="n"/>
      <c r="M101" s="6" t="n"/>
      <c r="N101" s="6" t="n"/>
      <c r="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 ht="15" customHeight="1">
      <c r="A110" s="143" t="inlineStr">
        <is>
          <t>FY EVC Year</t>
        </is>
      </c>
      <c r="B110" s="143" t="inlineStr">
        <is>
          <t>Active Emp</t>
        </is>
      </c>
      <c r="C110" s="143" t="inlineStr">
        <is>
          <t>Total Sep</t>
        </is>
      </c>
      <c r="D110" s="143" t="inlineStr">
        <is>
          <t>TOR %</t>
        </is>
      </c>
      <c r="E110" s="143" t="inlineStr">
        <is>
          <t>Avg Monthly</t>
        </is>
      </c>
      <c r="F110" s="143" t="inlineStr">
        <is>
          <t>Voluntary</t>
        </is>
      </c>
      <c r="G110" s="143" t="inlineStr">
        <is>
          <t>Involuntary</t>
        </is>
      </c>
      <c r="H110" s="143" t="inlineStr">
        <is>
          <t>Other</t>
        </is>
      </c>
      <c r="I110" s="143" t="inlineStr">
        <is>
          <t>Vol %</t>
        </is>
      </c>
      <c r="J110" s="143" t="inlineStr">
        <is>
          <t>Rehire Rate</t>
        </is>
      </c>
      <c r="K110" s="6" t="n"/>
      <c r="L110" s="6" t="n"/>
      <c r="M110" s="6" t="n"/>
      <c r="N110" s="6" t="n"/>
      <c r="O110" s="6" t="n"/>
    </row>
    <row r="111" ht="15" customHeight="1">
      <c r="A111" s="6" t="inlineStr">
        <is>
          <t>FY EVC 2024</t>
        </is>
      </c>
      <c r="B111" s="6" t="n">
        <v>339</v>
      </c>
      <c r="C111" s="6" t="n">
        <v>153</v>
      </c>
      <c r="D111" s="6" t="n">
        <v>0.451327433628319</v>
      </c>
      <c r="E111" s="6" t="n">
        <v>12.75</v>
      </c>
      <c r="F111" s="6" t="n">
        <v>83</v>
      </c>
      <c r="G111" s="6" t="n">
        <v>13</v>
      </c>
      <c r="H111" s="6" t="n">
        <v>57</v>
      </c>
      <c r="I111" s="6" t="n">
        <v>0.542483660130719</v>
      </c>
      <c r="J111" s="6" t="n">
        <v>0.394736842105263</v>
      </c>
      <c r="K111" s="6" t="n"/>
      <c r="L111" s="6" t="n"/>
      <c r="M111" s="6" t="n"/>
      <c r="N111" s="6" t="n"/>
      <c r="O111" s="6" t="n"/>
    </row>
    <row r="112" ht="15" customHeight="1">
      <c r="A112" s="6" t="inlineStr">
        <is>
          <t>FY EVC 2025</t>
        </is>
      </c>
      <c r="B112" s="6" t="n">
        <v>339</v>
      </c>
      <c r="C112" s="6" t="n">
        <v>136</v>
      </c>
      <c r="D112" s="6" t="n">
        <v>0.40117994100295</v>
      </c>
      <c r="E112" s="6" t="n">
        <v>11.3333333333333</v>
      </c>
      <c r="F112" s="6" t="n">
        <v>81</v>
      </c>
      <c r="G112" s="6" t="n">
        <v>9</v>
      </c>
      <c r="H112" s="6" t="n">
        <v>46</v>
      </c>
      <c r="I112" s="6" t="n">
        <v>0.595588235294118</v>
      </c>
      <c r="J112" s="6" t="n">
        <v>0.340740740740741</v>
      </c>
      <c r="K112" s="6" t="n"/>
      <c r="L112" s="6" t="n"/>
      <c r="M112" s="6" t="n"/>
      <c r="N112" s="6" t="n"/>
      <c r="O112" s="6" t="n"/>
    </row>
    <row r="113" ht="15" customHeight="1">
      <c r="A113" s="6" t="inlineStr">
        <is>
          <t>FY EVC 2026</t>
        </is>
      </c>
      <c r="B113" s="6" t="n">
        <v>346</v>
      </c>
      <c r="C113" s="6" t="n">
        <v>99</v>
      </c>
      <c r="D113" s="6" t="n">
        <v>0.286127167630058</v>
      </c>
      <c r="E113" s="6" t="n">
        <v>8.25</v>
      </c>
      <c r="F113" s="6" t="n">
        <v>78</v>
      </c>
      <c r="G113" s="6" t="n">
        <v>4</v>
      </c>
      <c r="H113" s="6" t="n">
        <v>17</v>
      </c>
      <c r="I113" s="6" t="n">
        <v>0.787878787878788</v>
      </c>
      <c r="J113" s="6" t="n">
        <v>0.306122448979592</v>
      </c>
      <c r="K113" s="6" t="n"/>
      <c r="L113" s="6" t="n"/>
      <c r="M113" s="6" t="n"/>
      <c r="N113" s="6" t="n"/>
      <c r="O113" s="6" t="n"/>
    </row>
    <row r="114" ht="15" customHeight="1">
      <c r="A114" s="6" t="inlineStr">
        <is>
          <t>FY EVC 2027</t>
        </is>
      </c>
      <c r="B114" s="6" t="n">
        <v>364</v>
      </c>
      <c r="C114" s="6" t="n">
        <v>0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/>
      <c r="L114" s="6" t="n"/>
      <c r="M114" s="6" t="n"/>
      <c r="N114" s="6" t="n"/>
      <c r="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</row>
    <row r="117" ht="15" customHeight="1">
      <c r="A117" s="143" t="inlineStr">
        <is>
          <t>Reason</t>
        </is>
      </c>
      <c r="B117" s="143" t="inlineStr">
        <is>
          <t>Category</t>
        </is>
      </c>
      <c r="C117" s="143" t="inlineStr">
        <is>
          <t>FY EVC 2024</t>
        </is>
      </c>
      <c r="D117" s="143" t="inlineStr">
        <is>
          <t>FY EVC 2025</t>
        </is>
      </c>
      <c r="E117" s="143" t="inlineStr">
        <is>
          <t>FY EVC 2026</t>
        </is>
      </c>
      <c r="F117" s="143" t="inlineStr">
        <is>
          <t>FY EVC 2027</t>
        </is>
      </c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 ht="15" customHeight="1">
      <c r="A118" s="6" t="inlineStr">
        <is>
          <t>Resignation</t>
        </is>
      </c>
      <c r="B118" s="6" t="inlineStr">
        <is>
          <t>Voluntary</t>
        </is>
      </c>
      <c r="C118" s="6" t="n">
        <v>6</v>
      </c>
      <c r="D118" s="6" t="n">
        <v>13</v>
      </c>
      <c r="E118" s="6" t="n">
        <v>63</v>
      </c>
      <c r="F118" s="6" t="n">
        <v>0</v>
      </c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</row>
    <row r="119" ht="15" customHeight="1">
      <c r="A119" s="6" t="inlineStr">
        <is>
          <t>Better Opportunity</t>
        </is>
      </c>
      <c r="B119" s="6" t="inlineStr">
        <is>
          <t>Voluntary</t>
        </is>
      </c>
      <c r="C119" s="6" t="n">
        <v>26</v>
      </c>
      <c r="D119" s="6" t="n">
        <v>27</v>
      </c>
      <c r="E119" s="6" t="n">
        <v>6</v>
      </c>
      <c r="F119" s="6" t="n">
        <v>0</v>
      </c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 ht="15" customHeight="1">
      <c r="A120" s="6" t="inlineStr">
        <is>
          <t>Personal Reasons</t>
        </is>
      </c>
      <c r="B120" s="6" t="inlineStr">
        <is>
          <t>Voluntary</t>
        </is>
      </c>
      <c r="C120" s="6" t="n">
        <v>37</v>
      </c>
      <c r="D120" s="6" t="n">
        <v>36</v>
      </c>
      <c r="E120" s="6" t="n">
        <v>7</v>
      </c>
      <c r="F120" s="6" t="n">
        <v>0</v>
      </c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</row>
    <row r="121" ht="15" customHeight="1">
      <c r="A121" s="6" t="inlineStr">
        <is>
          <t>Relocation</t>
        </is>
      </c>
      <c r="B121" s="6" t="inlineStr">
        <is>
          <t>Voluntary</t>
        </is>
      </c>
      <c r="C121" s="6" t="n">
        <v>11</v>
      </c>
      <c r="D121" s="6" t="n">
        <v>4</v>
      </c>
      <c r="E121" s="6" t="n">
        <v>1</v>
      </c>
      <c r="F121" s="6" t="n">
        <v>0</v>
      </c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 ht="15" customHeight="1">
      <c r="A122" s="6" t="inlineStr">
        <is>
          <t>Retirement</t>
        </is>
      </c>
      <c r="B122" s="6" t="inlineStr">
        <is>
          <t>Voluntary</t>
        </is>
      </c>
      <c r="C122" s="6" t="n">
        <v>3</v>
      </c>
      <c r="D122" s="6" t="n">
        <v>1</v>
      </c>
      <c r="E122" s="6" t="n">
        <v>0</v>
      </c>
      <c r="F122" s="6" t="n">
        <v>0</v>
      </c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</row>
    <row r="123" ht="15" customHeight="1">
      <c r="A123" s="6" t="inlineStr">
        <is>
          <t>Termination</t>
        </is>
      </c>
      <c r="B123" s="6" t="inlineStr">
        <is>
          <t>Involuntary</t>
        </is>
      </c>
      <c r="C123" s="6" t="n">
        <v>13</v>
      </c>
      <c r="D123" s="6" t="n">
        <v>9</v>
      </c>
      <c r="E123" s="6" t="n">
        <v>4</v>
      </c>
      <c r="F123" s="6" t="n">
        <v>0</v>
      </c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 ht="15" customHeight="1">
      <c r="A124" s="6" t="inlineStr">
        <is>
          <t>Layoff</t>
        </is>
      </c>
      <c r="B124" s="6" t="inlineStr">
        <is>
          <t>Involuntary</t>
        </is>
      </c>
      <c r="C124" s="6" t="n">
        <v>0</v>
      </c>
      <c r="D124" s="6" t="n">
        <v>0</v>
      </c>
      <c r="E124" s="6" t="n">
        <v>0</v>
      </c>
      <c r="F124" s="6" t="n">
        <v>0</v>
      </c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</row>
    <row r="125" ht="15" customHeight="1">
      <c r="A125" s="6" t="inlineStr">
        <is>
          <t>Job Abandonment</t>
        </is>
      </c>
      <c r="B125" s="6" t="inlineStr">
        <is>
          <t>Other</t>
        </is>
      </c>
      <c r="C125" s="6" t="n">
        <v>30</v>
      </c>
      <c r="D125" s="6" t="n">
        <v>27</v>
      </c>
      <c r="E125" s="6" t="n">
        <v>8</v>
      </c>
      <c r="F125" s="6" t="n">
        <v>0</v>
      </c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 ht="15" customHeight="1">
      <c r="A126" s="6" t="inlineStr">
        <is>
          <t>End of Contract</t>
        </is>
      </c>
      <c r="B126" s="6" t="inlineStr">
        <is>
          <t>Other</t>
        </is>
      </c>
      <c r="C126" s="6" t="n">
        <v>0</v>
      </c>
      <c r="D126" s="6" t="n">
        <v>0</v>
      </c>
      <c r="E126" s="6" t="n">
        <v>1</v>
      </c>
      <c r="F126" s="6" t="n">
        <v>0</v>
      </c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</row>
    <row r="127" ht="15" customHeight="1">
      <c r="A127" s="6" t="inlineStr">
        <is>
          <t>Other</t>
        </is>
      </c>
      <c r="B127" s="6" t="inlineStr">
        <is>
          <t>Other</t>
        </is>
      </c>
      <c r="C127" s="6" t="n">
        <v>18</v>
      </c>
      <c r="D127" s="6" t="n">
        <v>16</v>
      </c>
      <c r="E127" s="6" t="n">
        <v>6</v>
      </c>
      <c r="F127" s="6" t="n">
        <v>0</v>
      </c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 ht="15" customHeight="1">
      <c r="A128" s="6" t="inlineStr">
        <is>
          <t>Performance Issues</t>
        </is>
      </c>
      <c r="B128" s="6" t="inlineStr">
        <is>
          <t>Other</t>
        </is>
      </c>
      <c r="C128" s="6" t="n">
        <v>7</v>
      </c>
      <c r="D128" s="6" t="n">
        <v>2</v>
      </c>
      <c r="E128" s="6" t="n">
        <v>1</v>
      </c>
      <c r="F128" s="6" t="n">
        <v>0</v>
      </c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</row>
    <row r="129" ht="15" customHeight="1">
      <c r="A129" s="6" t="inlineStr">
        <is>
          <t>Attendance Issues</t>
        </is>
      </c>
      <c r="B129" s="6" t="inlineStr">
        <is>
          <t>Other</t>
        </is>
      </c>
      <c r="C129" s="6" t="n">
        <v>2</v>
      </c>
      <c r="D129" s="6" t="n">
        <v>1</v>
      </c>
      <c r="E129" s="6" t="n">
        <v>1</v>
      </c>
      <c r="F129" s="6" t="n">
        <v>0</v>
      </c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</row>
    <row r="135" ht="15" customHeight="1">
      <c r="A135" s="144" t="inlineStr">
        <is>
          <t>Job</t>
        </is>
      </c>
      <c r="B135" s="144" t="inlineStr">
        <is>
          <t>FY EVC 2024</t>
        </is>
      </c>
      <c r="C135" s="144" t="inlineStr">
        <is>
          <t>FY EVC 2025</t>
        </is>
      </c>
      <c r="D135" s="144" t="inlineStr">
        <is>
          <t>FY EVC 2026</t>
        </is>
      </c>
      <c r="E135" s="144" t="inlineStr">
        <is>
          <t>FY EVC 2027</t>
        </is>
      </c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 ht="15" customHeight="1">
      <c r="A136" s="6" t="inlineStr">
        <is>
          <t>President</t>
        </is>
      </c>
      <c r="B136" s="6" t="n">
        <v>0</v>
      </c>
      <c r="C136" s="6" t="n">
        <v>0</v>
      </c>
      <c r="D136" s="6" t="n">
        <v>0</v>
      </c>
      <c r="E136" s="6" t="n">
        <v>0</v>
      </c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</row>
    <row r="137" ht="15" customHeight="1">
      <c r="A137" s="6" t="inlineStr">
        <is>
          <t>VP of Operations</t>
        </is>
      </c>
      <c r="B137" s="6" t="n">
        <v>0</v>
      </c>
      <c r="C137" s="6" t="n">
        <v>0</v>
      </c>
      <c r="D137" s="6" t="n">
        <v>0</v>
      </c>
      <c r="E137" s="6" t="n">
        <v>0</v>
      </c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 ht="15" customHeight="1">
      <c r="A138" s="6" t="inlineStr">
        <is>
          <t>VP of Children Services</t>
        </is>
      </c>
      <c r="B138" s="6" t="n">
        <v>0</v>
      </c>
      <c r="C138" s="6" t="n">
        <v>0</v>
      </c>
      <c r="D138" s="6" t="n">
        <v>0</v>
      </c>
      <c r="E138" s="6" t="n">
        <v>0</v>
      </c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</row>
    <row r="139" ht="15" customHeight="1">
      <c r="A139" s="6" t="inlineStr">
        <is>
          <t>VP of Professional Services</t>
        </is>
      </c>
      <c r="B139" s="6" t="n">
        <v>0</v>
      </c>
      <c r="C139" s="6" t="n">
        <v>0</v>
      </c>
      <c r="D139" s="6" t="n">
        <v>0</v>
      </c>
      <c r="E139" s="6" t="n">
        <v>0</v>
      </c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 ht="15" customHeight="1">
      <c r="A140" s="6" t="inlineStr">
        <is>
          <t>VP of Behavioral Health</t>
        </is>
      </c>
      <c r="B140" s="6" t="n">
        <v>0</v>
      </c>
      <c r="C140" s="6" t="n">
        <v>0</v>
      </c>
      <c r="D140" s="6" t="n">
        <v>0</v>
      </c>
      <c r="E140" s="6" t="n">
        <v>0</v>
      </c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</row>
    <row r="141" ht="15" customHeight="1">
      <c r="A141" s="6" t="inlineStr">
        <is>
          <t>VP of Human Resources</t>
        </is>
      </c>
      <c r="B141" s="6" t="n">
        <v>0</v>
      </c>
      <c r="C141" s="6" t="n">
        <v>0</v>
      </c>
      <c r="D141" s="6" t="n">
        <v>0</v>
      </c>
      <c r="E141" s="6" t="n">
        <v>0</v>
      </c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 ht="15" customHeight="1">
      <c r="A142" s="6" t="inlineStr">
        <is>
          <t>VP of Employment Services</t>
        </is>
      </c>
      <c r="B142" s="6" t="n">
        <v>0</v>
      </c>
      <c r="C142" s="6" t="n">
        <v>0</v>
      </c>
      <c r="D142" s="6" t="n">
        <v>0</v>
      </c>
      <c r="E142" s="6" t="n">
        <v>0</v>
      </c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</row>
    <row r="143" ht="15" customHeight="1">
      <c r="A143" s="6" t="inlineStr">
        <is>
          <t>VP of Family Support</t>
        </is>
      </c>
      <c r="B143" s="6" t="n">
        <v>0</v>
      </c>
      <c r="C143" s="6" t="n">
        <v>0</v>
      </c>
      <c r="D143" s="6" t="n">
        <v>0</v>
      </c>
      <c r="E143" s="6" t="n">
        <v>0</v>
      </c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 ht="15" customHeight="1">
      <c r="A144" s="6" t="inlineStr">
        <is>
          <t>VP of Finance</t>
        </is>
      </c>
      <c r="B144" s="6" t="n">
        <v>0</v>
      </c>
      <c r="C144" s="6" t="n">
        <v>0</v>
      </c>
      <c r="D144" s="6" t="n">
        <v>1</v>
      </c>
      <c r="E144" s="6" t="n">
        <v>0</v>
      </c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</row>
    <row r="145" ht="15" customHeight="1">
      <c r="A145" s="6" t="inlineStr">
        <is>
          <t>Director of Operations</t>
        </is>
      </c>
      <c r="B145" s="6" t="n">
        <v>0</v>
      </c>
      <c r="C145" s="6" t="n">
        <v>0</v>
      </c>
      <c r="D145" s="6" t="n">
        <v>0</v>
      </c>
      <c r="E145" s="6" t="n">
        <v>0</v>
      </c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 ht="15" customHeight="1">
      <c r="A146" s="6" t="inlineStr">
        <is>
          <t>Director of Children Services</t>
        </is>
      </c>
      <c r="B146" s="6" t="n">
        <v>1</v>
      </c>
      <c r="C146" s="6" t="n">
        <v>0</v>
      </c>
      <c r="D146" s="6" t="n">
        <v>1</v>
      </c>
      <c r="E146" s="6" t="n">
        <v>0</v>
      </c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</row>
    <row r="147" ht="15" customHeight="1">
      <c r="A147" s="6" t="inlineStr">
        <is>
          <t>Director of Professional Services</t>
        </is>
      </c>
      <c r="B147" s="6" t="n">
        <v>0</v>
      </c>
      <c r="C147" s="6" t="n">
        <v>0</v>
      </c>
      <c r="D147" s="6" t="n">
        <v>1</v>
      </c>
      <c r="E147" s="6" t="n">
        <v>0</v>
      </c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 ht="15" customHeight="1">
      <c r="A148" s="6" t="inlineStr">
        <is>
          <t>Director of Behavioral Health</t>
        </is>
      </c>
      <c r="B148" s="6" t="n">
        <v>0</v>
      </c>
      <c r="C148" s="6" t="n">
        <v>0</v>
      </c>
      <c r="D148" s="6" t="n">
        <v>0</v>
      </c>
      <c r="E148" s="6" t="n">
        <v>0</v>
      </c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</row>
    <row r="149" ht="15" customHeight="1">
      <c r="A149" s="6" t="inlineStr">
        <is>
          <t>Director of Human Resources</t>
        </is>
      </c>
      <c r="B149" s="6" t="n">
        <v>1</v>
      </c>
      <c r="C149" s="6" t="n">
        <v>0</v>
      </c>
      <c r="D149" s="6" t="n">
        <v>0</v>
      </c>
      <c r="E149" s="6" t="n">
        <v>0</v>
      </c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 ht="15" customHeight="1">
      <c r="A150" s="6" t="inlineStr">
        <is>
          <t>Director of Finance</t>
        </is>
      </c>
      <c r="B150" s="6" t="n">
        <v>0</v>
      </c>
      <c r="C150" s="6" t="n">
        <v>0</v>
      </c>
      <c r="D150" s="6" t="n">
        <v>0</v>
      </c>
      <c r="E150" s="6" t="n">
        <v>0</v>
      </c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</row>
    <row r="151" ht="15" customHeight="1">
      <c r="A151" s="6" t="inlineStr">
        <is>
          <t>Director of Employment Services</t>
        </is>
      </c>
      <c r="B151" s="6" t="n">
        <v>0</v>
      </c>
      <c r="C151" s="6" t="n">
        <v>0</v>
      </c>
      <c r="D151" s="6" t="n">
        <v>0</v>
      </c>
      <c r="E151" s="6" t="n">
        <v>0</v>
      </c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 ht="15" customHeight="1">
      <c r="A152" s="6" t="inlineStr">
        <is>
          <t>Director of Family Support</t>
        </is>
      </c>
      <c r="B152" s="6" t="n">
        <v>0</v>
      </c>
      <c r="C152" s="6" t="n">
        <v>0</v>
      </c>
      <c r="D152" s="6" t="n">
        <v>0</v>
      </c>
      <c r="E152" s="6" t="n">
        <v>0</v>
      </c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</row>
    <row r="153" ht="15" customHeight="1">
      <c r="A153" s="6" t="inlineStr">
        <is>
          <t>Director of QA</t>
        </is>
      </c>
      <c r="B153" s="6" t="n">
        <v>0</v>
      </c>
      <c r="C153" s="6" t="n">
        <v>0</v>
      </c>
      <c r="D153" s="6" t="n">
        <v>0</v>
      </c>
      <c r="E153" s="6" t="n">
        <v>0</v>
      </c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 ht="15" customHeight="1">
      <c r="A154" s="6" t="inlineStr">
        <is>
          <t>DSP</t>
        </is>
      </c>
      <c r="B154" s="6" t="n">
        <v>111</v>
      </c>
      <c r="C154" s="6" t="n">
        <v>97</v>
      </c>
      <c r="D154" s="6" t="n">
        <v>52</v>
      </c>
      <c r="E154" s="6" t="n">
        <v>0</v>
      </c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</row>
    <row r="155" ht="15" customHeight="1">
      <c r="A155" s="144" t="inlineStr">
        <is>
          <t>HM</t>
        </is>
      </c>
      <c r="B155" s="144" t="n">
        <v>3</v>
      </c>
      <c r="C155" s="144" t="n">
        <v>5</v>
      </c>
      <c r="D155" s="144" t="n">
        <v>8</v>
      </c>
      <c r="E155" s="144" t="n">
        <v>0</v>
      </c>
      <c r="F155" s="144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 ht="15" customHeight="1">
      <c r="A156" s="6" t="inlineStr">
        <is>
          <t>RM</t>
        </is>
      </c>
      <c r="B156" s="6" t="n">
        <v>1</v>
      </c>
      <c r="C156" s="6" t="n">
        <v>2</v>
      </c>
      <c r="D156" s="6" t="n">
        <v>0</v>
      </c>
      <c r="E156" s="6" t="n">
        <v>0</v>
      </c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</row>
    <row r="157" ht="15" customHeight="1">
      <c r="A157" s="6" t="inlineStr">
        <is>
          <t>CM</t>
        </is>
      </c>
      <c r="B157" s="6" t="n">
        <v>1</v>
      </c>
      <c r="C157" s="6" t="n">
        <v>1</v>
      </c>
      <c r="D157" s="6" t="n">
        <v>6</v>
      </c>
      <c r="E157" s="6" t="n">
        <v>0</v>
      </c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 ht="15" customHeight="1">
      <c r="A158" s="6" t="inlineStr">
        <is>
          <t>EI</t>
        </is>
      </c>
      <c r="B158" s="6" t="n">
        <v>7</v>
      </c>
      <c r="C158" s="6" t="n">
        <v>5</v>
      </c>
      <c r="D158" s="6" t="n">
        <v>3</v>
      </c>
      <c r="E158" s="6" t="n">
        <v>0</v>
      </c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</row>
    <row r="159" ht="15" customHeight="1">
      <c r="A159" s="6" t="inlineStr">
        <is>
          <t>Family Support</t>
        </is>
      </c>
      <c r="B159" s="6" t="n">
        <v>1</v>
      </c>
      <c r="C159" s="6" t="n">
        <v>1</v>
      </c>
      <c r="D159" s="6" t="n">
        <v>1</v>
      </c>
      <c r="E159" s="6" t="n">
        <v>0</v>
      </c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 ht="15" customHeight="1">
      <c r="A160" s="6" t="inlineStr">
        <is>
          <t>Teacher</t>
        </is>
      </c>
      <c r="B160" s="6" t="n">
        <v>1</v>
      </c>
      <c r="C160" s="6" t="n">
        <v>4</v>
      </c>
      <c r="D160" s="6" t="n">
        <v>2</v>
      </c>
      <c r="E160" s="6" t="n">
        <v>0</v>
      </c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</row>
    <row r="161" ht="15" customHeight="1">
      <c r="A161" s="6" t="inlineStr">
        <is>
          <t>Assistant Teacher</t>
        </is>
      </c>
      <c r="B161" s="6" t="n">
        <v>2</v>
      </c>
      <c r="C161" s="6" t="n">
        <v>1</v>
      </c>
      <c r="D161" s="6" t="n">
        <v>4</v>
      </c>
      <c r="E161" s="6" t="n">
        <v>0</v>
      </c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 ht="15" customHeight="1">
      <c r="A162" s="6" t="inlineStr">
        <is>
          <t>Sub/Floater</t>
        </is>
      </c>
      <c r="B162" s="6" t="n">
        <v>6</v>
      </c>
      <c r="C162" s="6" t="n">
        <v>7</v>
      </c>
      <c r="D162" s="6" t="n">
        <v>7</v>
      </c>
      <c r="E162" s="6" t="n">
        <v>0</v>
      </c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</row>
    <row r="163" ht="15" customHeight="1">
      <c r="A163" s="6" t="inlineStr">
        <is>
          <t>Job Coach/WI</t>
        </is>
      </c>
      <c r="B163" s="6" t="n">
        <v>4</v>
      </c>
      <c r="C163" s="6" t="n">
        <v>3</v>
      </c>
      <c r="D163" s="6" t="n">
        <v>0</v>
      </c>
      <c r="E163" s="6" t="n">
        <v>0</v>
      </c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 ht="15" customHeight="1">
      <c r="A164" s="6" t="inlineStr">
        <is>
          <t>Finance</t>
        </is>
      </c>
      <c r="B164" s="6" t="n">
        <v>0</v>
      </c>
      <c r="C164" s="6" t="n">
        <v>1</v>
      </c>
      <c r="D164" s="6" t="n">
        <v>3</v>
      </c>
      <c r="E164" s="6" t="n">
        <v>0</v>
      </c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</row>
    <row r="165" ht="15" customHeight="1">
      <c r="A165" s="6" t="inlineStr">
        <is>
          <t>HR</t>
        </is>
      </c>
      <c r="B165" s="6" t="n">
        <v>0</v>
      </c>
      <c r="C165" s="6" t="n">
        <v>3</v>
      </c>
      <c r="D165" s="6" t="n">
        <v>3</v>
      </c>
      <c r="E165" s="6" t="n">
        <v>0</v>
      </c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 ht="15" customHeight="1">
      <c r="A166" s="6" t="inlineStr">
        <is>
          <t>QA</t>
        </is>
      </c>
      <c r="B166" s="6" t="n">
        <v>0</v>
      </c>
      <c r="C166" s="6" t="n">
        <v>0</v>
      </c>
      <c r="D166" s="6" t="n">
        <v>3</v>
      </c>
      <c r="E166" s="6" t="n">
        <v>0</v>
      </c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</row>
    <row r="167" ht="15" customHeight="1">
      <c r="A167" s="6" t="inlineStr">
        <is>
          <t>Other</t>
        </is>
      </c>
      <c r="B167" s="6" t="n">
        <v>14</v>
      </c>
      <c r="C167" s="6" t="n">
        <v>6</v>
      </c>
      <c r="D167" s="6" t="n">
        <v>4</v>
      </c>
      <c r="E167" s="6" t="n">
        <v>0</v>
      </c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</row>
    <row r="175" ht="15" customHeight="1">
      <c r="A175" s="144" t="inlineStr">
        <is>
          <t>Reason</t>
        </is>
      </c>
      <c r="B175" s="144" t="inlineStr">
        <is>
          <t>Category</t>
        </is>
      </c>
      <c r="C175" s="144" t="inlineStr">
        <is>
          <t>FY EVC 2024</t>
        </is>
      </c>
      <c r="D175" s="144" t="inlineStr">
        <is>
          <t>FY EVC 2025</t>
        </is>
      </c>
      <c r="E175" s="144" t="inlineStr">
        <is>
          <t>FY EVC 2026</t>
        </is>
      </c>
      <c r="F175" s="144" t="inlineStr">
        <is>
          <t>FY EVC 2027</t>
        </is>
      </c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 ht="15" customHeight="1">
      <c r="A176" s="6" t="inlineStr">
        <is>
          <t>Resignation</t>
        </is>
      </c>
      <c r="B176" s="6" t="inlineStr">
        <is>
          <t>Voluntary</t>
        </is>
      </c>
      <c r="C176" s="6" t="n">
        <v>6</v>
      </c>
      <c r="D176" s="6" t="n">
        <v>13</v>
      </c>
      <c r="E176" s="6" t="n">
        <v>64</v>
      </c>
      <c r="F176" s="6" t="n">
        <v>0</v>
      </c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</row>
    <row r="177" ht="15" customHeight="1">
      <c r="A177" s="6" t="inlineStr">
        <is>
          <t>Better Opportunity</t>
        </is>
      </c>
      <c r="B177" s="6" t="inlineStr">
        <is>
          <t>Voluntary</t>
        </is>
      </c>
      <c r="C177" s="6" t="n">
        <v>26</v>
      </c>
      <c r="D177" s="6" t="n">
        <v>27</v>
      </c>
      <c r="E177" s="6" t="n">
        <v>6</v>
      </c>
      <c r="F177" s="6" t="n">
        <v>0</v>
      </c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 ht="15" customHeight="1">
      <c r="A178" s="6" t="inlineStr">
        <is>
          <t>Personal Reasons</t>
        </is>
      </c>
      <c r="B178" s="6" t="inlineStr">
        <is>
          <t>Voluntary</t>
        </is>
      </c>
      <c r="C178" s="6" t="n">
        <v>37</v>
      </c>
      <c r="D178" s="6" t="n">
        <v>36</v>
      </c>
      <c r="E178" s="6" t="n">
        <v>7</v>
      </c>
      <c r="F178" s="6" t="n">
        <v>0</v>
      </c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</row>
    <row r="179" ht="15" customHeight="1">
      <c r="A179" s="6" t="inlineStr">
        <is>
          <t>Relocation</t>
        </is>
      </c>
      <c r="B179" s="6" t="inlineStr">
        <is>
          <t>Voluntary</t>
        </is>
      </c>
      <c r="C179" s="6" t="n">
        <v>11</v>
      </c>
      <c r="D179" s="6" t="n">
        <v>4</v>
      </c>
      <c r="E179" s="6" t="n">
        <v>1</v>
      </c>
      <c r="F179" s="6" t="n">
        <v>0</v>
      </c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 ht="15" customHeight="1">
      <c r="A180" s="6" t="inlineStr">
        <is>
          <t>Retirement</t>
        </is>
      </c>
      <c r="B180" s="6" t="inlineStr">
        <is>
          <t>Voluntary</t>
        </is>
      </c>
      <c r="C180" s="6" t="n">
        <v>3</v>
      </c>
      <c r="D180" s="6" t="n">
        <v>1</v>
      </c>
      <c r="E180" s="6" t="n">
        <v>0</v>
      </c>
      <c r="F180" s="6" t="n">
        <v>0</v>
      </c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</row>
    <row r="181" ht="15" customHeight="1">
      <c r="A181" s="6" t="inlineStr">
        <is>
          <t>Termination</t>
        </is>
      </c>
      <c r="B181" s="6" t="inlineStr">
        <is>
          <t>Involuntary</t>
        </is>
      </c>
      <c r="C181" s="6" t="n">
        <v>13</v>
      </c>
      <c r="D181" s="6" t="n">
        <v>9</v>
      </c>
      <c r="E181" s="6" t="n">
        <v>4</v>
      </c>
      <c r="F181" s="6" t="n">
        <v>0</v>
      </c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 ht="15" customHeight="1">
      <c r="A182" s="6" t="inlineStr">
        <is>
          <t>Layoff</t>
        </is>
      </c>
      <c r="B182" s="6" t="inlineStr">
        <is>
          <t>Involuntary</t>
        </is>
      </c>
      <c r="C182" s="6" t="n">
        <v>0</v>
      </c>
      <c r="D182" s="6" t="n">
        <v>0</v>
      </c>
      <c r="E182" s="6" t="n">
        <v>0</v>
      </c>
      <c r="F182" s="6" t="n">
        <v>0</v>
      </c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</row>
    <row r="183" ht="15" customHeight="1">
      <c r="A183" s="6" t="inlineStr">
        <is>
          <t>Job Abandonment</t>
        </is>
      </c>
      <c r="B183" s="6" t="inlineStr">
        <is>
          <t>Other</t>
        </is>
      </c>
      <c r="C183" s="6" t="n">
        <v>30</v>
      </c>
      <c r="D183" s="6" t="n">
        <v>27</v>
      </c>
      <c r="E183" s="6" t="n">
        <v>8</v>
      </c>
      <c r="F183" s="6" t="n">
        <v>0</v>
      </c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 ht="15" customHeight="1">
      <c r="A184" s="6" t="inlineStr">
        <is>
          <t>End of Contract</t>
        </is>
      </c>
      <c r="B184" s="6" t="inlineStr">
        <is>
          <t>Other</t>
        </is>
      </c>
      <c r="C184" s="6" t="n">
        <v>0</v>
      </c>
      <c r="D184" s="6" t="n">
        <v>0</v>
      </c>
      <c r="E184" s="6" t="n">
        <v>1</v>
      </c>
      <c r="F184" s="6" t="n">
        <v>0</v>
      </c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</row>
    <row r="185" ht="15" customHeight="1">
      <c r="A185" s="6" t="inlineStr">
        <is>
          <t>Other</t>
        </is>
      </c>
      <c r="B185" s="6" t="inlineStr">
        <is>
          <t>Other</t>
        </is>
      </c>
      <c r="C185" s="6" t="n">
        <v>18</v>
      </c>
      <c r="D185" s="6" t="n">
        <v>16</v>
      </c>
      <c r="E185" s="6" t="n">
        <v>6</v>
      </c>
      <c r="F185" s="6" t="n">
        <v>0</v>
      </c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 ht="15" customHeight="1">
      <c r="A186" s="6" t="inlineStr">
        <is>
          <t>Performance Issues</t>
        </is>
      </c>
      <c r="B186" s="6" t="inlineStr">
        <is>
          <t>Other</t>
        </is>
      </c>
      <c r="C186" s="6" t="n">
        <v>7</v>
      </c>
      <c r="D186" s="6" t="n">
        <v>2</v>
      </c>
      <c r="E186" s="6" t="n">
        <v>1</v>
      </c>
      <c r="F186" s="6" t="n">
        <v>0</v>
      </c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</row>
    <row r="187" ht="15" customHeight="1">
      <c r="A187" s="6" t="inlineStr">
        <is>
          <t>Attendance Issues</t>
        </is>
      </c>
      <c r="B187" s="6" t="inlineStr">
        <is>
          <t>Other</t>
        </is>
      </c>
      <c r="C187" s="6" t="n">
        <v>2</v>
      </c>
      <c r="D187" s="6" t="n">
        <v>1</v>
      </c>
      <c r="E187" s="6" t="n">
        <v>1</v>
      </c>
      <c r="F187" s="6" t="n">
        <v>0</v>
      </c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</sheetData>
  <mergeCells count="2">
    <mergeCell ref="A95:I95"/>
    <mergeCell ref="A85:N85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5A5A6"/>
    <outlinePr summaryBelow="1" summaryRight="1"/>
    <pageSetUpPr/>
  </sheetPr>
  <dimension ref="A1:O175"/>
  <sheetViews>
    <sheetView topLeftCell="A151" zoomScaleNormal="100" workbookViewId="0">
      <selection activeCell="A1" sqref="A1"/>
    </sheetView>
  </sheetViews>
  <sheetFormatPr baseColWidth="8" defaultColWidth="8.7109375" defaultRowHeight="15"/>
  <cols>
    <col width="26" customWidth="1" min="1" max="1"/>
    <col width="26" customWidth="1" min="3" max="3"/>
    <col width="26" customWidth="1" min="5" max="5"/>
    <col width="26" customWidth="1" min="7" max="7"/>
    <col width="28" customWidth="1" min="9" max="10"/>
    <col width="26" customWidth="1" min="12" max="12"/>
  </cols>
  <sheetData>
    <row r="1" ht="15" customHeight="1">
      <c r="A1" s="145" t="inlineStr">
        <is>
          <t>Job Titles</t>
        </is>
      </c>
      <c r="B1" s="6" t="inlineStr">
        <is>
          <t>Rehire Eligibility</t>
        </is>
      </c>
      <c r="C1" s="145" t="inlineStr">
        <is>
          <t>Reasons for Leaving</t>
        </is>
      </c>
      <c r="D1" s="6" t="inlineStr">
        <is>
          <t>Reason Category</t>
        </is>
      </c>
      <c r="E1" s="145" t="inlineStr">
        <is>
          <t>Locations</t>
        </is>
      </c>
      <c r="F1" s="6" t="n"/>
      <c r="G1" s="145" t="inlineStr">
        <is>
          <t>Status</t>
        </is>
      </c>
      <c r="H1" s="6" t="inlineStr">
        <is>
          <t>Status Meaning</t>
        </is>
      </c>
      <c r="I1" s="145" t="inlineStr">
        <is>
          <t>Location (Mapping)</t>
        </is>
      </c>
      <c r="J1" s="145" t="inlineStr">
        <is>
          <t>Department</t>
        </is>
      </c>
      <c r="K1" s="6" t="n"/>
      <c r="L1" s="145" t="inlineStr">
        <is>
          <t>Departments</t>
        </is>
      </c>
      <c r="N1" t="inlineStr">
        <is>
          <t>FY</t>
        </is>
      </c>
      <c r="O1" t="inlineStr">
        <is>
          <t>Active Emp (FY start)</t>
        </is>
      </c>
    </row>
    <row r="2" ht="15" customHeight="1">
      <c r="A2" s="80" t="inlineStr">
        <is>
          <t>President</t>
        </is>
      </c>
      <c r="B2" s="6" t="inlineStr">
        <is>
          <t>Yes</t>
        </is>
      </c>
      <c r="C2" s="80" t="inlineStr">
        <is>
          <t>Attendance Issues</t>
        </is>
      </c>
      <c r="D2" s="6" t="inlineStr">
        <is>
          <t>Involuntary</t>
        </is>
      </c>
      <c r="E2" s="80" t="inlineStr">
        <is>
          <t>100 Thelma Road</t>
        </is>
      </c>
      <c r="F2" s="6" t="n"/>
      <c r="G2" s="80" t="inlineStr">
        <is>
          <t>U</t>
        </is>
      </c>
      <c r="H2" s="6" t="inlineStr">
        <is>
          <t>Uneligible for rehire</t>
        </is>
      </c>
      <c r="I2" s="80" t="inlineStr">
        <is>
          <t>BCBA</t>
        </is>
      </c>
      <c r="J2" s="80" t="inlineStr">
        <is>
          <t>Behavioral Health</t>
        </is>
      </c>
      <c r="K2" s="6" t="n"/>
      <c r="L2" s="80" t="inlineStr">
        <is>
          <t>Operations</t>
        </is>
      </c>
      <c r="N2" t="inlineStr">
        <is>
          <t>FY 2023</t>
        </is>
      </c>
      <c r="O2" t="n">
        <v>339</v>
      </c>
    </row>
    <row r="3" ht="15" customHeight="1">
      <c r="A3" s="77" t="inlineStr">
        <is>
          <t>VP</t>
        </is>
      </c>
      <c r="B3" s="6" t="inlineStr">
        <is>
          <t>No</t>
        </is>
      </c>
      <c r="C3" s="77" t="inlineStr">
        <is>
          <t>Better Opportunity</t>
        </is>
      </c>
      <c r="D3" s="6" t="inlineStr">
        <is>
          <t>Voluntary</t>
        </is>
      </c>
      <c r="E3" s="77" t="inlineStr">
        <is>
          <t>104 East Dalton</t>
        </is>
      </c>
      <c r="F3" s="6" t="n"/>
      <c r="G3" s="77" t="inlineStr">
        <is>
          <t>D</t>
        </is>
      </c>
      <c r="H3" s="6" t="inlineStr">
        <is>
          <t>Discharged / terminated</t>
        </is>
      </c>
      <c r="I3" s="77" t="inlineStr">
        <is>
          <t>Behavioral Health</t>
        </is>
      </c>
      <c r="J3" s="77" t="inlineStr">
        <is>
          <t>Behavioral Health</t>
        </is>
      </c>
      <c r="K3" s="6" t="n"/>
      <c r="L3" s="77" t="inlineStr">
        <is>
          <t>Children Services</t>
        </is>
      </c>
      <c r="N3" t="inlineStr">
        <is>
          <t>FY 2024</t>
        </is>
      </c>
      <c r="O3" t="n">
        <v>339</v>
      </c>
    </row>
    <row r="4" ht="15" customHeight="1">
      <c r="A4" s="80" t="inlineStr">
        <is>
          <t>Director</t>
        </is>
      </c>
      <c r="B4" s="6" t="n"/>
      <c r="C4" s="80" t="inlineStr">
        <is>
          <t>End of Contract</t>
        </is>
      </c>
      <c r="D4" s="6" t="inlineStr">
        <is>
          <t>Other</t>
        </is>
      </c>
      <c r="E4" s="80" t="inlineStr">
        <is>
          <t>107 Tucker</t>
        </is>
      </c>
      <c r="F4" s="6" t="n"/>
      <c r="G4" s="6" t="n"/>
      <c r="H4" s="6" t="n"/>
      <c r="I4" s="80" t="inlineStr">
        <is>
          <t>Behavioral Health/Clinical Services</t>
        </is>
      </c>
      <c r="J4" s="80" t="inlineStr">
        <is>
          <t>Behavioral Health</t>
        </is>
      </c>
      <c r="K4" s="6" t="n"/>
      <c r="L4" s="80" t="inlineStr">
        <is>
          <t>Professional Services</t>
        </is>
      </c>
      <c r="N4" t="inlineStr">
        <is>
          <t>FY 2025</t>
        </is>
      </c>
      <c r="O4" t="n">
        <v>346</v>
      </c>
    </row>
    <row r="5" ht="15" customHeight="1">
      <c r="A5" s="77" t="inlineStr">
        <is>
          <t>DSP</t>
        </is>
      </c>
      <c r="B5" s="6" t="n"/>
      <c r="C5" s="77" t="inlineStr">
        <is>
          <t>Job Abandonment</t>
        </is>
      </c>
      <c r="D5" s="6" t="inlineStr">
        <is>
          <t>Involuntary</t>
        </is>
      </c>
      <c r="E5" s="77" t="inlineStr">
        <is>
          <t>107 Ulena Lane</t>
        </is>
      </c>
      <c r="F5" s="6" t="n"/>
      <c r="G5" s="6" t="n"/>
      <c r="H5" s="6" t="n"/>
      <c r="I5" s="77" t="inlineStr">
        <is>
          <t>Community Engagement</t>
        </is>
      </c>
      <c r="J5" s="77" t="inlineStr">
        <is>
          <t>Behavioral Health</t>
        </is>
      </c>
      <c r="K5" s="6" t="n"/>
      <c r="L5" s="77" t="inlineStr">
        <is>
          <t>Behavioral Health</t>
        </is>
      </c>
      <c r="N5" t="inlineStr">
        <is>
          <t>FY 2026</t>
        </is>
      </c>
      <c r="O5" t="n">
        <v>366</v>
      </c>
    </row>
    <row r="6" ht="15" customHeight="1">
      <c r="A6" s="80" t="inlineStr">
        <is>
          <t>HM</t>
        </is>
      </c>
      <c r="B6" s="6" t="n"/>
      <c r="C6" s="80" t="inlineStr">
        <is>
          <t>Layoff</t>
        </is>
      </c>
      <c r="D6" s="6" t="inlineStr">
        <is>
          <t>Involuntary</t>
        </is>
      </c>
      <c r="E6" s="80" t="inlineStr">
        <is>
          <t>1111 McAdoo</t>
        </is>
      </c>
      <c r="F6" s="6" t="n"/>
      <c r="G6" s="6" t="n"/>
      <c r="H6" s="6" t="n"/>
      <c r="I6" s="80" t="inlineStr">
        <is>
          <t>EI</t>
        </is>
      </c>
      <c r="J6" s="80" t="inlineStr">
        <is>
          <t>Children Services</t>
        </is>
      </c>
      <c r="K6" s="6" t="n"/>
      <c r="L6" s="80" t="inlineStr">
        <is>
          <t>Human Resources</t>
        </is>
      </c>
      <c r="N6" t="inlineStr">
        <is>
          <t>FY 2027</t>
        </is>
      </c>
      <c r="O6" t="n">
        <v>364</v>
      </c>
    </row>
    <row r="7" ht="15" customHeight="1">
      <c r="A7" s="77" t="inlineStr">
        <is>
          <t>RM</t>
        </is>
      </c>
      <c r="B7" s="6" t="n"/>
      <c r="C7" s="77" t="inlineStr">
        <is>
          <t>Performance Issues</t>
        </is>
      </c>
      <c r="D7" s="6" t="inlineStr">
        <is>
          <t>Involuntary</t>
        </is>
      </c>
      <c r="E7" s="77" t="inlineStr">
        <is>
          <t>1113 McAdoo</t>
        </is>
      </c>
      <c r="F7" s="6" t="n"/>
      <c r="G7" s="6" t="n"/>
      <c r="H7" s="6" t="n"/>
      <c r="I7" s="77" t="inlineStr">
        <is>
          <t xml:space="preserve">EI </t>
        </is>
      </c>
      <c r="J7" s="77" t="inlineStr">
        <is>
          <t>Children Services</t>
        </is>
      </c>
      <c r="K7" s="6" t="n"/>
      <c r="L7" s="77" t="inlineStr">
        <is>
          <t>Finance</t>
        </is>
      </c>
    </row>
    <row r="8" ht="15" customHeight="1">
      <c r="A8" s="80" t="inlineStr">
        <is>
          <t>CM</t>
        </is>
      </c>
      <c r="B8" s="6" t="n"/>
      <c r="C8" s="80" t="inlineStr">
        <is>
          <t>Personal Reasons</t>
        </is>
      </c>
      <c r="D8" s="6" t="inlineStr">
        <is>
          <t>Voluntary</t>
        </is>
      </c>
      <c r="E8" s="80" t="inlineStr">
        <is>
          <t>112 Salem Road</t>
        </is>
      </c>
      <c r="F8" s="6" t="n"/>
      <c r="G8" s="6" t="n"/>
      <c r="H8" s="6" t="n"/>
      <c r="I8" s="80" t="inlineStr">
        <is>
          <t>EI - Home Based</t>
        </is>
      </c>
      <c r="J8" s="80" t="inlineStr">
        <is>
          <t>Children Services</t>
        </is>
      </c>
      <c r="K8" s="6" t="n"/>
      <c r="L8" s="80" t="inlineStr">
        <is>
          <t>Employment Services</t>
        </is>
      </c>
    </row>
    <row r="9" ht="15" customHeight="1">
      <c r="A9" s="77" t="inlineStr">
        <is>
          <t>EI</t>
        </is>
      </c>
      <c r="B9" s="6" t="n"/>
      <c r="C9" s="77" t="inlineStr">
        <is>
          <t>Relocation</t>
        </is>
      </c>
      <c r="D9" s="6" t="inlineStr">
        <is>
          <t>Voluntary</t>
        </is>
      </c>
      <c r="E9" s="77" t="inlineStr">
        <is>
          <t>115 Brookwood Terrace</t>
        </is>
      </c>
      <c r="F9" s="6" t="n"/>
      <c r="G9" s="6" t="n"/>
      <c r="H9" s="6" t="n"/>
      <c r="I9" s="77" t="inlineStr">
        <is>
          <t>EI-Pilot Program</t>
        </is>
      </c>
      <c r="J9" s="77" t="inlineStr">
        <is>
          <t>Children Services</t>
        </is>
      </c>
      <c r="K9" s="6" t="n"/>
      <c r="L9" s="77" t="inlineStr">
        <is>
          <t>Family Support</t>
        </is>
      </c>
    </row>
    <row r="10" ht="15" customHeight="1">
      <c r="A10" s="80" t="inlineStr">
        <is>
          <t>Sub/Floater</t>
        </is>
      </c>
      <c r="B10" s="6" t="n"/>
      <c r="C10" s="80" t="inlineStr">
        <is>
          <t>Resignation</t>
        </is>
      </c>
      <c r="D10" s="6" t="inlineStr">
        <is>
          <t>Voluntary</t>
        </is>
      </c>
      <c r="E10" s="80" t="inlineStr">
        <is>
          <t>119 Lawton Rd</t>
        </is>
      </c>
      <c r="F10" s="6" t="n"/>
      <c r="G10" s="6" t="n"/>
      <c r="H10" s="6" t="n"/>
      <c r="I10" s="80" t="inlineStr">
        <is>
          <t>ELC</t>
        </is>
      </c>
      <c r="J10" s="80" t="inlineStr">
        <is>
          <t>Children Services</t>
        </is>
      </c>
      <c r="K10" s="6" t="n"/>
      <c r="L10" s="80" t="inlineStr">
        <is>
          <t>QA</t>
        </is>
      </c>
    </row>
    <row r="11" ht="15" customHeight="1">
      <c r="A11" s="77" t="inlineStr">
        <is>
          <t>Finance</t>
        </is>
      </c>
      <c r="B11" s="6" t="n"/>
      <c r="C11" s="77" t="inlineStr">
        <is>
          <t>Resignation without Notice</t>
        </is>
      </c>
      <c r="D11" s="6" t="inlineStr">
        <is>
          <t>Voluntary</t>
        </is>
      </c>
      <c r="E11" s="77" t="inlineStr">
        <is>
          <t>122 East Newkirk Lane</t>
        </is>
      </c>
      <c r="F11" s="6" t="n"/>
      <c r="G11" s="6" t="n"/>
      <c r="H11" s="6" t="n"/>
      <c r="I11" s="77" t="inlineStr">
        <is>
          <t xml:space="preserve">ELC </t>
        </is>
      </c>
      <c r="J11" s="77" t="inlineStr">
        <is>
          <t>Children Services</t>
        </is>
      </c>
      <c r="K11" s="6" t="n"/>
      <c r="L11" s="6" t="n"/>
    </row>
    <row r="12" ht="15" customHeight="1">
      <c r="A12" s="80" t="inlineStr">
        <is>
          <t>Family Support</t>
        </is>
      </c>
      <c r="B12" s="6" t="n"/>
      <c r="C12" s="80" t="inlineStr">
        <is>
          <t>Retirement</t>
        </is>
      </c>
      <c r="D12" s="6" t="inlineStr">
        <is>
          <t>Voluntary</t>
        </is>
      </c>
      <c r="E12" s="80" t="inlineStr">
        <is>
          <t>122 Walker</t>
        </is>
      </c>
      <c r="F12" s="6" t="n"/>
      <c r="G12" s="6" t="n"/>
      <c r="H12" s="6" t="n"/>
      <c r="I12" s="80" t="inlineStr">
        <is>
          <t>Early Learning Center</t>
        </is>
      </c>
      <c r="J12" s="80" t="inlineStr">
        <is>
          <t>Children Services</t>
        </is>
      </c>
      <c r="K12" s="6" t="n"/>
      <c r="L12" s="6" t="n"/>
    </row>
    <row r="13" ht="15" customHeight="1">
      <c r="A13" s="77" t="inlineStr">
        <is>
          <t>Teacher</t>
        </is>
      </c>
      <c r="B13" s="6" t="n"/>
      <c r="C13" s="77" t="inlineStr">
        <is>
          <t>Termination</t>
        </is>
      </c>
      <c r="D13" s="6" t="inlineStr">
        <is>
          <t>Involuntary</t>
        </is>
      </c>
      <c r="E13" s="77" t="inlineStr">
        <is>
          <t>129 W Racoon Valley</t>
        </is>
      </c>
      <c r="F13" s="6" t="n"/>
      <c r="G13" s="6" t="n"/>
      <c r="H13" s="6" t="n"/>
      <c r="I13" s="77" t="inlineStr">
        <is>
          <t>LLL</t>
        </is>
      </c>
      <c r="J13" s="77" t="inlineStr">
        <is>
          <t>Children Services</t>
        </is>
      </c>
      <c r="K13" s="6" t="n"/>
      <c r="L13" s="6" t="n"/>
    </row>
    <row r="14" ht="15" customHeight="1">
      <c r="A14" s="80" t="inlineStr">
        <is>
          <t>Assistant Teacher</t>
        </is>
      </c>
      <c r="B14" s="6" t="n"/>
      <c r="C14" s="6" t="inlineStr">
        <is>
          <t>Other</t>
        </is>
      </c>
      <c r="D14" s="6" t="inlineStr">
        <is>
          <t>Other</t>
        </is>
      </c>
      <c r="E14" s="80" t="inlineStr">
        <is>
          <t>131 Atlanta</t>
        </is>
      </c>
      <c r="F14" s="6" t="n"/>
      <c r="G14" s="6" t="n"/>
      <c r="H14" s="6" t="n"/>
      <c r="I14" s="80" t="inlineStr">
        <is>
          <t>Little Learning Lab</t>
        </is>
      </c>
      <c r="J14" s="80" t="inlineStr">
        <is>
          <t>Children Services</t>
        </is>
      </c>
      <c r="K14" s="6" t="n"/>
      <c r="L14" s="6" t="n"/>
    </row>
    <row r="15" ht="15" customHeight="1">
      <c r="A15" s="77" t="inlineStr">
        <is>
          <t>Job Coach/WI</t>
        </is>
      </c>
      <c r="B15" s="6" t="n"/>
      <c r="C15" s="6" t="n"/>
      <c r="D15" s="6" t="n"/>
      <c r="E15" s="77" t="inlineStr">
        <is>
          <t>131 Wadsworth</t>
        </is>
      </c>
      <c r="F15" s="6" t="n"/>
      <c r="G15" s="6" t="n"/>
      <c r="H15" s="6" t="n"/>
      <c r="I15" s="77" t="inlineStr">
        <is>
          <t>Employment Services</t>
        </is>
      </c>
      <c r="J15" s="77" t="inlineStr">
        <is>
          <t>Employment Services</t>
        </is>
      </c>
      <c r="K15" s="6" t="n"/>
      <c r="L15" s="6" t="n"/>
    </row>
    <row r="16" ht="15" customHeight="1">
      <c r="A16" s="80" t="inlineStr">
        <is>
          <t>HR</t>
        </is>
      </c>
      <c r="B16" s="6" t="n"/>
      <c r="C16" s="6" t="n"/>
      <c r="D16" s="6" t="n"/>
      <c r="E16" s="80" t="inlineStr">
        <is>
          <t>132 Northwestern</t>
        </is>
      </c>
      <c r="F16" s="6" t="n"/>
      <c r="G16" s="6" t="n"/>
      <c r="H16" s="6" t="n"/>
      <c r="I16" s="80" t="inlineStr">
        <is>
          <t>Job Developer</t>
        </is>
      </c>
      <c r="J16" s="80" t="inlineStr">
        <is>
          <t>Employment Services</t>
        </is>
      </c>
      <c r="K16" s="6" t="n"/>
      <c r="L16" s="6" t="n"/>
    </row>
    <row r="17" ht="15" customHeight="1">
      <c r="A17" s="77" t="inlineStr">
        <is>
          <t>QA</t>
        </is>
      </c>
      <c r="B17" s="6" t="n"/>
      <c r="C17" s="6" t="n"/>
      <c r="D17" s="6" t="n"/>
      <c r="E17" s="77" t="inlineStr">
        <is>
          <t>150 Alger</t>
        </is>
      </c>
      <c r="F17" s="6" t="n"/>
      <c r="G17" s="6" t="n"/>
      <c r="H17" s="6" t="n"/>
      <c r="I17" s="77" t="inlineStr">
        <is>
          <t>MAPS</t>
        </is>
      </c>
      <c r="J17" s="77" t="inlineStr">
        <is>
          <t>Employment Services</t>
        </is>
      </c>
      <c r="K17" s="6" t="n"/>
      <c r="L17" s="6" t="n"/>
    </row>
    <row r="18" ht="15" customHeight="1">
      <c r="A18" s="80" t="inlineStr">
        <is>
          <t>Other</t>
        </is>
      </c>
      <c r="B18" s="6" t="n"/>
      <c r="C18" s="6" t="n"/>
      <c r="D18" s="6" t="n"/>
      <c r="E18" s="80" t="inlineStr">
        <is>
          <t>162 W. WADSWORTH CIRCLE</t>
        </is>
      </c>
      <c r="F18" s="6" t="n"/>
      <c r="G18" s="6" t="n"/>
      <c r="H18" s="6" t="n"/>
      <c r="I18" s="80" t="inlineStr">
        <is>
          <t>Workfoce Innovation</t>
        </is>
      </c>
      <c r="J18" s="80" t="inlineStr">
        <is>
          <t>Employment Services</t>
        </is>
      </c>
      <c r="K18" s="6" t="n"/>
      <c r="L18" s="6" t="n"/>
    </row>
    <row r="19" ht="15" customHeight="1">
      <c r="A19" s="6" t="n"/>
      <c r="B19" s="6" t="n"/>
      <c r="C19" s="6" t="n"/>
      <c r="D19" s="6" t="n"/>
      <c r="E19" s="77" t="inlineStr">
        <is>
          <t>164 Wadsworth</t>
        </is>
      </c>
      <c r="F19" s="6" t="n"/>
      <c r="G19" s="6" t="n"/>
      <c r="H19" s="6" t="n"/>
      <c r="I19" s="77" t="inlineStr">
        <is>
          <t>Workforce Development</t>
        </is>
      </c>
      <c r="J19" s="77" t="inlineStr">
        <is>
          <t>Employment Services</t>
        </is>
      </c>
      <c r="K19" s="6" t="n"/>
      <c r="L19" s="6" t="n"/>
    </row>
    <row r="20" ht="15" customHeight="1">
      <c r="A20" s="6" t="n"/>
      <c r="B20" s="6" t="n"/>
      <c r="C20" s="6" t="n"/>
      <c r="D20" s="6" t="n"/>
      <c r="E20" s="80" t="inlineStr">
        <is>
          <t>167 Golfcrest</t>
        </is>
      </c>
      <c r="F20" s="6" t="n"/>
      <c r="G20" s="6" t="n"/>
      <c r="H20" s="6" t="n"/>
      <c r="I20" s="80" t="inlineStr">
        <is>
          <t>Workforce Innovation</t>
        </is>
      </c>
      <c r="J20" s="80" t="inlineStr">
        <is>
          <t>Employment Services</t>
        </is>
      </c>
      <c r="K20" s="6" t="n"/>
      <c r="L20" s="6" t="n"/>
    </row>
    <row r="21" ht="15" customHeight="1">
      <c r="A21" s="6" t="n"/>
      <c r="B21" s="6" t="n"/>
      <c r="C21" s="6" t="n"/>
      <c r="D21" s="6" t="n"/>
      <c r="E21" s="77" t="inlineStr">
        <is>
          <t>194 Latimer</t>
        </is>
      </c>
      <c r="F21" s="6" t="n"/>
      <c r="G21" s="6" t="n"/>
      <c r="H21" s="6" t="n"/>
      <c r="I21" s="77" t="inlineStr">
        <is>
          <t>Family Support</t>
        </is>
      </c>
      <c r="J21" s="77" t="inlineStr">
        <is>
          <t>Family Support</t>
        </is>
      </c>
      <c r="K21" s="6" t="n"/>
      <c r="L21" s="6" t="n"/>
    </row>
    <row r="22" ht="15" customHeight="1">
      <c r="A22" s="6" t="n"/>
      <c r="B22" s="6" t="n"/>
      <c r="C22" s="6" t="n"/>
      <c r="D22" s="6" t="n"/>
      <c r="E22" s="80" t="inlineStr">
        <is>
          <t>196 Latimer</t>
        </is>
      </c>
      <c r="F22" s="6" t="n"/>
      <c r="G22" s="6" t="n"/>
      <c r="H22" s="6" t="n"/>
      <c r="I22" s="80" t="inlineStr">
        <is>
          <t>Finance</t>
        </is>
      </c>
      <c r="J22" s="80" t="inlineStr">
        <is>
          <t>Finance</t>
        </is>
      </c>
      <c r="K22" s="6" t="n"/>
      <c r="L22" s="6" t="n"/>
    </row>
    <row r="23" ht="15" customHeight="1">
      <c r="A23" s="6" t="n"/>
      <c r="B23" s="6" t="n"/>
      <c r="C23" s="6" t="n"/>
      <c r="D23" s="6" t="n"/>
      <c r="E23" s="77" t="inlineStr">
        <is>
          <t>198 Latimer</t>
        </is>
      </c>
      <c r="F23" s="6" t="n"/>
      <c r="G23" s="6" t="n"/>
      <c r="H23" s="6" t="n"/>
      <c r="I23" s="77" t="inlineStr">
        <is>
          <t>HR</t>
        </is>
      </c>
      <c r="J23" s="77" t="inlineStr">
        <is>
          <t>Human Resources</t>
        </is>
      </c>
      <c r="K23" s="6" t="n"/>
      <c r="L23" s="6" t="n"/>
    </row>
    <row r="24" ht="15" customHeight="1">
      <c r="A24" s="6" t="n"/>
      <c r="B24" s="6" t="n"/>
      <c r="C24" s="6" t="n"/>
      <c r="D24" s="6" t="n"/>
      <c r="E24" s="80" t="inlineStr">
        <is>
          <t>200 Latimer</t>
        </is>
      </c>
      <c r="F24" s="6" t="n"/>
      <c r="G24" s="6" t="n"/>
      <c r="H24" s="6" t="n"/>
      <c r="I24" s="80" t="inlineStr">
        <is>
          <t>Human Resources</t>
        </is>
      </c>
      <c r="J24" s="80" t="inlineStr">
        <is>
          <t>Human Resources</t>
        </is>
      </c>
      <c r="K24" s="6" t="n"/>
      <c r="L24" s="6" t="n"/>
    </row>
    <row r="25" ht="15" customHeight="1">
      <c r="A25" s="6" t="n"/>
      <c r="B25" s="6" t="n"/>
      <c r="C25" s="6" t="n"/>
      <c r="D25" s="6" t="n"/>
      <c r="E25" s="77" t="inlineStr">
        <is>
          <t>207 Wadsworth Place</t>
        </is>
      </c>
      <c r="F25" s="6" t="n"/>
      <c r="G25" s="6" t="n"/>
      <c r="H25" s="6" t="n"/>
      <c r="I25" s="77" t="inlineStr">
        <is>
          <t>100 Thelma Road</t>
        </is>
      </c>
      <c r="J25" s="77" t="inlineStr">
        <is>
          <t>Operations</t>
        </is>
      </c>
      <c r="K25" s="6" t="n"/>
      <c r="L25" s="6" t="n"/>
    </row>
    <row r="26" ht="15" customHeight="1">
      <c r="A26" s="6" t="n"/>
      <c r="B26" s="6" t="n"/>
      <c r="C26" s="6" t="n"/>
      <c r="D26" s="6" t="n"/>
      <c r="E26" s="80" t="inlineStr">
        <is>
          <t>2290 Turnpike</t>
        </is>
      </c>
      <c r="F26" s="6" t="n"/>
      <c r="G26" s="6" t="n"/>
      <c r="H26" s="6" t="n"/>
      <c r="I26" s="80" t="inlineStr">
        <is>
          <t>104 E Dalton</t>
        </is>
      </c>
      <c r="J26" s="80" t="inlineStr">
        <is>
          <t>Operations</t>
        </is>
      </c>
      <c r="K26" s="6" t="n"/>
      <c r="L26" s="6" t="n"/>
    </row>
    <row r="27" ht="15" customHeight="1">
      <c r="A27" s="6" t="n"/>
      <c r="B27" s="6" t="n"/>
      <c r="C27" s="6" t="n"/>
      <c r="D27" s="6" t="n"/>
      <c r="E27" s="77" t="inlineStr">
        <is>
          <t>2292 Turnpike</t>
        </is>
      </c>
      <c r="F27" s="6" t="n"/>
      <c r="G27" s="6" t="n"/>
      <c r="H27" s="6" t="n"/>
      <c r="I27" s="77" t="inlineStr">
        <is>
          <t>104 East Dalton</t>
        </is>
      </c>
      <c r="J27" s="77" t="inlineStr">
        <is>
          <t>Operations</t>
        </is>
      </c>
      <c r="K27" s="6" t="n"/>
      <c r="L27" s="6" t="n"/>
    </row>
    <row r="28" ht="15" customHeight="1">
      <c r="A28" s="6" t="n"/>
      <c r="B28" s="6" t="n"/>
      <c r="C28" s="6" t="n"/>
      <c r="D28" s="6" t="n"/>
      <c r="E28" s="80" t="inlineStr">
        <is>
          <t>246 Four Mile</t>
        </is>
      </c>
      <c r="F28" s="6" t="n"/>
      <c r="G28" s="6" t="n"/>
      <c r="H28" s="6" t="n"/>
      <c r="I28" s="80" t="inlineStr">
        <is>
          <t>107 Tucker</t>
        </is>
      </c>
      <c r="J28" s="80" t="inlineStr">
        <is>
          <t>Operations</t>
        </is>
      </c>
      <c r="K28" s="6" t="n"/>
      <c r="L28" s="6" t="n"/>
    </row>
    <row r="29" ht="15" customHeight="1">
      <c r="A29" s="6" t="n"/>
      <c r="B29" s="6" t="n"/>
      <c r="C29" s="6" t="n"/>
      <c r="D29" s="6" t="n"/>
      <c r="E29" s="77" t="inlineStr">
        <is>
          <t>284 Jefferson Circle</t>
        </is>
      </c>
      <c r="F29" s="6" t="n"/>
      <c r="G29" s="6" t="n"/>
      <c r="H29" s="6" t="n"/>
      <c r="I29" s="77" t="inlineStr">
        <is>
          <t>107 Ulena Lane</t>
        </is>
      </c>
      <c r="J29" s="77" t="inlineStr">
        <is>
          <t>Operations</t>
        </is>
      </c>
      <c r="K29" s="6" t="n"/>
      <c r="L29" s="6" t="n"/>
    </row>
    <row r="30" ht="15" customHeight="1">
      <c r="A30" s="6" t="n"/>
      <c r="B30" s="6" t="n"/>
      <c r="C30" s="6" t="n"/>
      <c r="D30" s="6" t="n"/>
      <c r="E30" s="80" t="inlineStr">
        <is>
          <t>289 Royce Apt 207</t>
        </is>
      </c>
      <c r="F30" s="6" t="n"/>
      <c r="G30" s="6" t="n"/>
      <c r="H30" s="6" t="n"/>
      <c r="I30" s="80" t="inlineStr">
        <is>
          <t>1111 McAdoo</t>
        </is>
      </c>
      <c r="J30" s="80" t="inlineStr">
        <is>
          <t>Operations</t>
        </is>
      </c>
      <c r="K30" s="6" t="n"/>
      <c r="L30" s="6" t="n"/>
    </row>
    <row r="31" ht="15" customHeight="1">
      <c r="A31" s="6" t="n"/>
      <c r="B31" s="6" t="n"/>
      <c r="C31" s="6" t="n"/>
      <c r="D31" s="6" t="n"/>
      <c r="E31" s="77" t="inlineStr">
        <is>
          <t>341 W OUTER</t>
        </is>
      </c>
      <c r="F31" s="6" t="n"/>
      <c r="G31" s="6" t="n"/>
      <c r="H31" s="6" t="n"/>
      <c r="I31" s="77" t="inlineStr">
        <is>
          <t>1113 McAdoo</t>
        </is>
      </c>
      <c r="J31" s="77" t="inlineStr">
        <is>
          <t>Operations</t>
        </is>
      </c>
      <c r="K31" s="6" t="n"/>
      <c r="L31" s="6" t="n"/>
    </row>
    <row r="32" ht="15" customHeight="1">
      <c r="A32" s="6" t="n"/>
      <c r="B32" s="6" t="n"/>
      <c r="C32" s="6" t="n"/>
      <c r="D32" s="6" t="n"/>
      <c r="E32" s="80" t="inlineStr">
        <is>
          <t>345 West Outer</t>
        </is>
      </c>
      <c r="F32" s="6" t="n"/>
      <c r="G32" s="6" t="n"/>
      <c r="H32" s="6" t="n"/>
      <c r="I32" s="80" t="inlineStr">
        <is>
          <t>112 Salem</t>
        </is>
      </c>
      <c r="J32" s="80" t="inlineStr">
        <is>
          <t>Operations</t>
        </is>
      </c>
      <c r="K32" s="6" t="n"/>
      <c r="L32" s="6" t="n"/>
    </row>
    <row r="33" ht="15" customHeight="1">
      <c r="A33" s="6" t="n"/>
      <c r="B33" s="6" t="n"/>
      <c r="C33" s="6" t="n"/>
      <c r="D33" s="6" t="n"/>
      <c r="E33" s="77" t="inlineStr">
        <is>
          <t>361 W. Outer Dr</t>
        </is>
      </c>
      <c r="F33" s="6" t="n"/>
      <c r="G33" s="6" t="n"/>
      <c r="H33" s="6" t="n"/>
      <c r="I33" s="77" t="inlineStr">
        <is>
          <t>112 Salem Road</t>
        </is>
      </c>
      <c r="J33" s="77" t="inlineStr">
        <is>
          <t>Operations</t>
        </is>
      </c>
      <c r="K33" s="6" t="n"/>
      <c r="L33" s="6" t="n"/>
    </row>
    <row r="34" ht="15" customHeight="1">
      <c r="A34" s="6" t="n"/>
      <c r="B34" s="6" t="n"/>
      <c r="C34" s="6" t="n"/>
      <c r="D34" s="6" t="n"/>
      <c r="E34" s="80" t="inlineStr">
        <is>
          <t>363 West Outer</t>
        </is>
      </c>
      <c r="F34" s="6" t="n"/>
      <c r="G34" s="6" t="n"/>
      <c r="H34" s="6" t="n"/>
      <c r="I34" s="80" t="inlineStr">
        <is>
          <t>114 Herbert Heidel</t>
        </is>
      </c>
      <c r="J34" s="80" t="inlineStr">
        <is>
          <t>Operations</t>
        </is>
      </c>
      <c r="K34" s="6" t="n"/>
      <c r="L34" s="6" t="n"/>
    </row>
    <row r="35" ht="15" customHeight="1">
      <c r="A35" s="6" t="n"/>
      <c r="B35" s="6" t="n"/>
      <c r="C35" s="6" t="n"/>
      <c r="D35" s="6" t="n"/>
      <c r="E35" s="77" t="inlineStr">
        <is>
          <t>367 West Outer</t>
        </is>
      </c>
      <c r="F35" s="6" t="n"/>
      <c r="G35" s="6" t="n"/>
      <c r="H35" s="6" t="n"/>
      <c r="I35" s="77" t="inlineStr">
        <is>
          <t>115 Brookwood Terrace</t>
        </is>
      </c>
      <c r="J35" s="77" t="inlineStr">
        <is>
          <t>Operations</t>
        </is>
      </c>
      <c r="K35" s="6" t="n"/>
      <c r="L35" s="6" t="n"/>
    </row>
    <row r="36" ht="15" customHeight="1">
      <c r="A36" s="6" t="n"/>
      <c r="B36" s="6" t="n"/>
      <c r="C36" s="6" t="n"/>
      <c r="D36" s="6" t="n"/>
      <c r="E36" s="80" t="inlineStr">
        <is>
          <t>367 Willow Run</t>
        </is>
      </c>
      <c r="F36" s="6" t="n"/>
      <c r="G36" s="6" t="n"/>
      <c r="H36" s="6" t="n"/>
      <c r="I36" s="80" t="inlineStr">
        <is>
          <t>119 Lawton Rd</t>
        </is>
      </c>
      <c r="J36" s="80" t="inlineStr">
        <is>
          <t>Operations</t>
        </is>
      </c>
      <c r="K36" s="6" t="n"/>
      <c r="L36" s="6" t="n"/>
    </row>
    <row r="37" ht="15" customHeight="1">
      <c r="A37" s="6" t="n"/>
      <c r="B37" s="6" t="n"/>
      <c r="C37" s="6" t="n"/>
      <c r="D37" s="6" t="n"/>
      <c r="E37" s="77" t="inlineStr">
        <is>
          <t>427 W Outer Dr</t>
        </is>
      </c>
      <c r="F37" s="6" t="n"/>
      <c r="G37" s="6" t="n"/>
      <c r="H37" s="6" t="n"/>
      <c r="I37" s="77" t="inlineStr">
        <is>
          <t>122 E. Newkirk Lane</t>
        </is>
      </c>
      <c r="J37" s="77" t="inlineStr">
        <is>
          <t>Operations</t>
        </is>
      </c>
      <c r="K37" s="6" t="n"/>
      <c r="L37" s="6" t="n"/>
    </row>
    <row r="38" ht="15" customHeight="1">
      <c r="A38" s="6" t="n"/>
      <c r="B38" s="6" t="n"/>
      <c r="C38" s="6" t="n"/>
      <c r="D38" s="6" t="n"/>
      <c r="E38" s="80" t="inlineStr">
        <is>
          <t>429 W Outer Dr</t>
        </is>
      </c>
      <c r="F38" s="6" t="n"/>
      <c r="G38" s="6" t="n"/>
      <c r="H38" s="6" t="n"/>
      <c r="I38" s="80" t="inlineStr">
        <is>
          <t>122 East Newkirk Lane</t>
        </is>
      </c>
      <c r="J38" s="80" t="inlineStr">
        <is>
          <t>Operations</t>
        </is>
      </c>
      <c r="K38" s="6" t="n"/>
      <c r="L38" s="6" t="n"/>
    </row>
    <row r="39" ht="15" customHeight="1">
      <c r="A39" s="6" t="n"/>
      <c r="B39" s="6" t="n"/>
      <c r="C39" s="6" t="n"/>
      <c r="D39" s="6" t="n"/>
      <c r="E39" s="77" t="inlineStr">
        <is>
          <t>503 Estabrook</t>
        </is>
      </c>
      <c r="F39" s="6" t="n"/>
      <c r="G39" s="6" t="n"/>
      <c r="H39" s="6" t="n"/>
      <c r="I39" s="77" t="inlineStr">
        <is>
          <t>122 Walker</t>
        </is>
      </c>
      <c r="J39" s="77" t="inlineStr">
        <is>
          <t>Operations</t>
        </is>
      </c>
      <c r="K39" s="6" t="n"/>
      <c r="L39" s="6" t="n"/>
    </row>
    <row r="40" ht="15" customHeight="1">
      <c r="A40" s="6" t="n"/>
      <c r="B40" s="6" t="n"/>
      <c r="C40" s="6" t="n"/>
      <c r="D40" s="6" t="n"/>
      <c r="E40" s="80" t="inlineStr">
        <is>
          <t>790 Emory Valley Road           Apt 702 Bristol Park</t>
        </is>
      </c>
      <c r="F40" s="6" t="n"/>
      <c r="G40" s="6" t="n"/>
      <c r="H40" s="6" t="n"/>
      <c r="I40" s="80" t="inlineStr">
        <is>
          <t>129 W Racoon Valley</t>
        </is>
      </c>
      <c r="J40" s="80" t="inlineStr">
        <is>
          <t>Operations</t>
        </is>
      </c>
      <c r="K40" s="6" t="n"/>
      <c r="L40" s="6" t="n"/>
    </row>
    <row r="41" ht="15" customHeight="1">
      <c r="A41" s="6" t="n"/>
      <c r="B41" s="6" t="n"/>
      <c r="C41" s="6" t="n"/>
      <c r="D41" s="6" t="n"/>
      <c r="E41" s="77" t="inlineStr">
        <is>
          <t>813 NW Sapphire</t>
        </is>
      </c>
      <c r="F41" s="6" t="n"/>
      <c r="G41" s="6" t="n"/>
      <c r="H41" s="6" t="n"/>
      <c r="I41" s="77" t="inlineStr">
        <is>
          <t>131 Atlanta</t>
        </is>
      </c>
      <c r="J41" s="77" t="inlineStr">
        <is>
          <t>Operations</t>
        </is>
      </c>
      <c r="K41" s="6" t="n"/>
      <c r="L41" s="6" t="n"/>
    </row>
    <row r="42" ht="15" customHeight="1">
      <c r="A42" s="6" t="n"/>
      <c r="B42" s="6" t="n"/>
      <c r="C42" s="6" t="n"/>
      <c r="D42" s="6" t="n"/>
      <c r="E42" s="80" t="inlineStr">
        <is>
          <t>911 Bristol Park</t>
        </is>
      </c>
      <c r="F42" s="6" t="n"/>
      <c r="G42" s="6" t="n"/>
      <c r="H42" s="6" t="n"/>
      <c r="I42" s="80" t="inlineStr">
        <is>
          <t>131 Wadsworth</t>
        </is>
      </c>
      <c r="J42" s="80" t="inlineStr">
        <is>
          <t>Operations</t>
        </is>
      </c>
      <c r="K42" s="6" t="n"/>
      <c r="L42" s="6" t="n"/>
    </row>
    <row r="43" ht="15" customHeight="1">
      <c r="A43" s="6" t="n"/>
      <c r="B43" s="6" t="n"/>
      <c r="C43" s="6" t="n"/>
      <c r="D43" s="6" t="n"/>
      <c r="E43" s="77" t="inlineStr">
        <is>
          <t>Admin</t>
        </is>
      </c>
      <c r="F43" s="6" t="n"/>
      <c r="G43" s="6" t="n"/>
      <c r="H43" s="6" t="n"/>
      <c r="I43" s="77" t="inlineStr">
        <is>
          <t>132 Northwestern</t>
        </is>
      </c>
      <c r="J43" s="77" t="inlineStr">
        <is>
          <t>Operations</t>
        </is>
      </c>
      <c r="K43" s="6" t="n"/>
      <c r="L43" s="6" t="n"/>
    </row>
    <row r="44" ht="15" customHeight="1">
      <c r="A44" s="6" t="n"/>
      <c r="B44" s="6" t="n"/>
      <c r="C44" s="6" t="n"/>
      <c r="D44" s="6" t="n"/>
      <c r="E44" s="80" t="inlineStr">
        <is>
          <t>BCBA</t>
        </is>
      </c>
      <c r="F44" s="6" t="n"/>
      <c r="G44" s="6" t="n"/>
      <c r="H44" s="6" t="n"/>
      <c r="I44" s="80" t="inlineStr">
        <is>
          <t>141 Wainwright</t>
        </is>
      </c>
      <c r="J44" s="80" t="inlineStr">
        <is>
          <t>Operations</t>
        </is>
      </c>
      <c r="K44" s="6" t="n"/>
      <c r="L44" s="6" t="n"/>
    </row>
    <row r="45" ht="15" customHeight="1">
      <c r="A45" s="6" t="n"/>
      <c r="B45" s="6" t="n"/>
      <c r="C45" s="6" t="n"/>
      <c r="D45" s="6" t="n"/>
      <c r="E45" s="77" t="inlineStr">
        <is>
          <t>Behavioral Health</t>
        </is>
      </c>
      <c r="F45" s="6" t="n"/>
      <c r="G45" s="6" t="n"/>
      <c r="H45" s="6" t="n"/>
      <c r="I45" s="77" t="inlineStr">
        <is>
          <t>145 Latimer</t>
        </is>
      </c>
      <c r="J45" s="77" t="inlineStr">
        <is>
          <t>Operations</t>
        </is>
      </c>
      <c r="K45" s="6" t="n"/>
      <c r="L45" s="6" t="n"/>
    </row>
    <row r="46" ht="15" customHeight="1">
      <c r="A46" s="6" t="n"/>
      <c r="B46" s="6" t="n"/>
      <c r="C46" s="6" t="n"/>
      <c r="D46" s="6" t="n"/>
      <c r="E46" s="80" t="inlineStr">
        <is>
          <t>Early Learning Center</t>
        </is>
      </c>
      <c r="F46" s="6" t="n"/>
      <c r="G46" s="6" t="n"/>
      <c r="H46" s="6" t="n"/>
      <c r="I46" s="80" t="inlineStr">
        <is>
          <t>150 Alger</t>
        </is>
      </c>
      <c r="J46" s="80" t="inlineStr">
        <is>
          <t>Operations</t>
        </is>
      </c>
      <c r="K46" s="6" t="n"/>
      <c r="L46" s="6" t="n"/>
    </row>
    <row r="47" ht="15" customHeight="1">
      <c r="A47" s="6" t="n"/>
      <c r="B47" s="6" t="n"/>
      <c r="C47" s="6" t="n"/>
      <c r="D47" s="6" t="n"/>
      <c r="E47" s="77" t="inlineStr">
        <is>
          <t>EI-Pilot Program</t>
        </is>
      </c>
      <c r="F47" s="6" t="n"/>
      <c r="G47" s="6" t="n"/>
      <c r="H47" s="6" t="n"/>
      <c r="I47" s="77" t="inlineStr">
        <is>
          <t>150 Algers</t>
        </is>
      </c>
      <c r="J47" s="77" t="inlineStr">
        <is>
          <t>Operations</t>
        </is>
      </c>
      <c r="K47" s="6" t="n"/>
      <c r="L47" s="6" t="n"/>
    </row>
    <row r="48" ht="15" customHeight="1">
      <c r="A48" s="6" t="n"/>
      <c r="B48" s="6" t="n"/>
      <c r="C48" s="6" t="n"/>
      <c r="D48" s="6" t="n"/>
      <c r="E48" s="80" t="inlineStr">
        <is>
          <t>Employment Services</t>
        </is>
      </c>
      <c r="F48" s="6" t="n"/>
      <c r="G48" s="6" t="n"/>
      <c r="H48" s="6" t="n"/>
      <c r="I48" s="80" t="inlineStr">
        <is>
          <t>162 W. WADSWORTH CIRCLE</t>
        </is>
      </c>
      <c r="J48" s="80" t="inlineStr">
        <is>
          <t>Operations</t>
        </is>
      </c>
      <c r="K48" s="6" t="n"/>
      <c r="L48" s="6" t="n"/>
    </row>
    <row r="49" ht="15" customHeight="1">
      <c r="A49" s="6" t="n"/>
      <c r="B49" s="6" t="n"/>
      <c r="C49" s="6" t="n"/>
      <c r="D49" s="6" t="n"/>
      <c r="E49" s="77" t="inlineStr">
        <is>
          <t>Family Support</t>
        </is>
      </c>
      <c r="F49" s="6" t="n"/>
      <c r="G49" s="6" t="n"/>
      <c r="H49" s="6" t="n"/>
      <c r="I49" s="77" t="inlineStr">
        <is>
          <t>162 Wadsworth</t>
        </is>
      </c>
      <c r="J49" s="77" t="inlineStr">
        <is>
          <t>Operations</t>
        </is>
      </c>
      <c r="K49" s="6" t="n"/>
      <c r="L49" s="6" t="n"/>
    </row>
    <row r="50" ht="15" customHeight="1">
      <c r="A50" s="6" t="n"/>
      <c r="B50" s="6" t="n"/>
      <c r="C50" s="6" t="n"/>
      <c r="D50" s="6" t="n"/>
      <c r="E50" s="80" t="inlineStr">
        <is>
          <t>Hamilton A</t>
        </is>
      </c>
      <c r="F50" s="6" t="n"/>
      <c r="G50" s="6" t="n"/>
      <c r="H50" s="6" t="n"/>
      <c r="I50" s="80" t="inlineStr">
        <is>
          <t>164 W Wadsworth Circle</t>
        </is>
      </c>
      <c r="J50" s="80" t="inlineStr">
        <is>
          <t>Operations</t>
        </is>
      </c>
      <c r="K50" s="6" t="n"/>
      <c r="L50" s="6" t="n"/>
    </row>
    <row r="51" ht="15" customHeight="1">
      <c r="A51" s="6" t="n"/>
      <c r="B51" s="6" t="n"/>
      <c r="C51" s="6" t="n"/>
      <c r="D51" s="6" t="n"/>
      <c r="E51" s="77" t="inlineStr">
        <is>
          <t>Hamilton B</t>
        </is>
      </c>
      <c r="F51" s="6" t="n"/>
      <c r="G51" s="6" t="n"/>
      <c r="H51" s="6" t="n"/>
      <c r="I51" s="77" t="inlineStr">
        <is>
          <t>164 Wadsworth</t>
        </is>
      </c>
      <c r="J51" s="77" t="inlineStr">
        <is>
          <t>Operations</t>
        </is>
      </c>
      <c r="K51" s="6" t="n"/>
      <c r="L51" s="6" t="n"/>
    </row>
    <row r="52" ht="15" customHeight="1">
      <c r="A52" s="6" t="n"/>
      <c r="B52" s="6" t="n"/>
      <c r="C52" s="6" t="n"/>
      <c r="D52" s="6" t="n"/>
      <c r="E52" s="80" t="inlineStr">
        <is>
          <t>Little Learning Lab</t>
        </is>
      </c>
      <c r="F52" s="6" t="n"/>
      <c r="G52" s="6" t="n"/>
      <c r="H52" s="6" t="n"/>
      <c r="I52" s="80" t="inlineStr">
        <is>
          <t>167 Golfcrest</t>
        </is>
      </c>
      <c r="J52" s="80" t="inlineStr">
        <is>
          <t>Operations</t>
        </is>
      </c>
      <c r="K52" s="6" t="n"/>
      <c r="L52" s="6" t="n"/>
    </row>
    <row r="53" ht="15" customHeight="1">
      <c r="A53" s="6" t="n"/>
      <c r="B53" s="6" t="n"/>
      <c r="C53" s="6" t="n"/>
      <c r="D53" s="6" t="n"/>
      <c r="E53" s="77" t="inlineStr">
        <is>
          <t>Livingston</t>
        </is>
      </c>
      <c r="F53" s="6" t="n"/>
      <c r="G53" s="6" t="n"/>
      <c r="H53" s="6" t="n"/>
      <c r="I53" s="77" t="inlineStr">
        <is>
          <t>194 Latimer</t>
        </is>
      </c>
      <c r="J53" s="77" t="inlineStr">
        <is>
          <t>Operations</t>
        </is>
      </c>
      <c r="K53" s="6" t="n"/>
      <c r="L53" s="6" t="n"/>
    </row>
    <row r="54" ht="15" customHeight="1">
      <c r="A54" s="6" t="n"/>
      <c r="B54" s="6" t="n"/>
      <c r="C54" s="6" t="n"/>
      <c r="D54" s="6" t="n"/>
      <c r="E54" s="80" t="inlineStr">
        <is>
          <t>Lower Valley</t>
        </is>
      </c>
      <c r="F54" s="6" t="n"/>
      <c r="G54" s="6" t="n"/>
      <c r="H54" s="6" t="n"/>
      <c r="I54" s="80" t="inlineStr">
        <is>
          <t>196 Laimter</t>
        </is>
      </c>
      <c r="J54" s="80" t="inlineStr">
        <is>
          <t>Operations</t>
        </is>
      </c>
      <c r="K54" s="6" t="n"/>
      <c r="L54" s="6" t="n"/>
    </row>
    <row r="55" ht="15" customHeight="1">
      <c r="A55" s="6" t="n"/>
      <c r="B55" s="6" t="n"/>
      <c r="C55" s="6" t="n"/>
      <c r="D55" s="6" t="n"/>
      <c r="E55" s="77" t="inlineStr">
        <is>
          <t>MAPS</t>
        </is>
      </c>
      <c r="F55" s="6" t="n"/>
      <c r="G55" s="6" t="n"/>
      <c r="H55" s="6" t="n"/>
      <c r="I55" s="77" t="inlineStr">
        <is>
          <t>196 Latimer</t>
        </is>
      </c>
      <c r="J55" s="77" t="inlineStr">
        <is>
          <t>Operations</t>
        </is>
      </c>
      <c r="K55" s="6" t="n"/>
      <c r="L55" s="6" t="n"/>
    </row>
    <row r="56" ht="15" customHeight="1">
      <c r="A56" s="6" t="n"/>
      <c r="B56" s="6" t="n"/>
      <c r="C56" s="6" t="n"/>
      <c r="D56" s="6" t="n"/>
      <c r="E56" s="80" t="inlineStr">
        <is>
          <t>Other</t>
        </is>
      </c>
      <c r="F56" s="6" t="n"/>
      <c r="G56" s="6" t="n"/>
      <c r="H56" s="6" t="n"/>
      <c r="I56" s="80" t="inlineStr">
        <is>
          <t>198 Latimer</t>
        </is>
      </c>
      <c r="J56" s="80" t="inlineStr">
        <is>
          <t>Operations</t>
        </is>
      </c>
      <c r="K56" s="6" t="n"/>
      <c r="L56" s="6" t="n"/>
    </row>
    <row r="57" ht="15" customHeight="1">
      <c r="A57" s="6" t="n"/>
      <c r="B57" s="6" t="n"/>
      <c r="C57" s="6" t="n"/>
      <c r="D57" s="6" t="n"/>
      <c r="E57" s="77" t="inlineStr">
        <is>
          <t>Residential</t>
        </is>
      </c>
      <c r="F57" s="6" t="n"/>
      <c r="G57" s="6" t="n"/>
      <c r="H57" s="6" t="n"/>
      <c r="I57" s="77" t="inlineStr">
        <is>
          <t>200 Latimer</t>
        </is>
      </c>
      <c r="J57" s="77" t="inlineStr">
        <is>
          <t>Operations</t>
        </is>
      </c>
      <c r="K57" s="6" t="n"/>
      <c r="L57" s="6" t="n"/>
    </row>
    <row r="58" ht="15" customHeight="1">
      <c r="A58" s="6" t="n"/>
      <c r="B58" s="6" t="n"/>
      <c r="C58" s="6" t="n"/>
      <c r="D58" s="6" t="n"/>
      <c r="E58" s="80" t="inlineStr">
        <is>
          <t>Robert Bunch Road</t>
        </is>
      </c>
      <c r="F58" s="6" t="n"/>
      <c r="G58" s="6" t="n"/>
      <c r="H58" s="6" t="n"/>
      <c r="I58" s="80" t="inlineStr">
        <is>
          <t>200 Latimer/196 Latimer</t>
        </is>
      </c>
      <c r="J58" s="80" t="inlineStr">
        <is>
          <t>Operations</t>
        </is>
      </c>
      <c r="K58" s="6" t="n"/>
      <c r="L58" s="6" t="n"/>
    </row>
    <row r="59" ht="15" customHeight="1">
      <c r="A59" s="6" t="n"/>
      <c r="B59" s="6" t="n"/>
      <c r="C59" s="6" t="n"/>
      <c r="D59" s="6" t="n"/>
      <c r="E59" s="77" t="inlineStr">
        <is>
          <t>Skyview</t>
        </is>
      </c>
      <c r="F59" s="6" t="n"/>
      <c r="G59" s="6" t="n"/>
      <c r="H59" s="6" t="n"/>
      <c r="I59" s="77" t="inlineStr">
        <is>
          <t>200 Latimer/Livingston</t>
        </is>
      </c>
      <c r="J59" s="77" t="inlineStr">
        <is>
          <t>Operations</t>
        </is>
      </c>
      <c r="K59" s="6" t="n"/>
      <c r="L59" s="6" t="n"/>
    </row>
    <row r="60" ht="15" customHeight="1">
      <c r="A60" s="6" t="n"/>
      <c r="B60" s="6" t="n"/>
      <c r="C60" s="6" t="n"/>
      <c r="D60" s="6" t="n"/>
      <c r="E60" s="80" t="inlineStr">
        <is>
          <t>Tiffin</t>
        </is>
      </c>
      <c r="F60" s="6" t="n"/>
      <c r="G60" s="6" t="n"/>
      <c r="H60" s="6" t="n"/>
      <c r="I60" s="80" t="inlineStr">
        <is>
          <t>207 Royce</t>
        </is>
      </c>
      <c r="J60" s="80" t="inlineStr">
        <is>
          <t>Operations</t>
        </is>
      </c>
      <c r="K60" s="6" t="n"/>
      <c r="L60" s="6" t="n"/>
    </row>
    <row r="61" ht="15" customHeight="1">
      <c r="A61" s="6" t="n"/>
      <c r="B61" s="6" t="n"/>
      <c r="C61" s="6" t="n"/>
      <c r="D61" s="6" t="n"/>
      <c r="E61" s="77" t="inlineStr">
        <is>
          <t>Case Management</t>
        </is>
      </c>
      <c r="F61" s="6" t="n"/>
      <c r="G61" s="6" t="n"/>
      <c r="H61" s="6" t="n"/>
      <c r="I61" s="77" t="inlineStr">
        <is>
          <t>207 Wadsworth</t>
        </is>
      </c>
      <c r="J61" s="77" t="inlineStr">
        <is>
          <t>Operations</t>
        </is>
      </c>
      <c r="K61" s="6" t="n"/>
      <c r="L61" s="6" t="n"/>
    </row>
    <row r="62" ht="15" customHeight="1">
      <c r="A62" s="6" t="n"/>
      <c r="B62" s="6" t="n"/>
      <c r="C62" s="6" t="n"/>
      <c r="D62" s="6" t="n"/>
      <c r="E62" s="80" t="inlineStr">
        <is>
          <t>Professional Services</t>
        </is>
      </c>
      <c r="F62" s="6" t="n"/>
      <c r="G62" s="6" t="n"/>
      <c r="H62" s="6" t="n"/>
      <c r="I62" s="80" t="inlineStr">
        <is>
          <t>207 Wadsworth DSP</t>
        </is>
      </c>
      <c r="J62" s="80" t="inlineStr">
        <is>
          <t>Operations</t>
        </is>
      </c>
      <c r="K62" s="6" t="n"/>
      <c r="L62" s="6" t="n"/>
    </row>
    <row r="63" ht="15" customHeight="1">
      <c r="A63" s="6" t="n"/>
      <c r="B63" s="6" t="n"/>
      <c r="C63" s="6" t="n"/>
      <c r="D63" s="6" t="n"/>
      <c r="E63" s="77" t="inlineStr">
        <is>
          <t>Customer Service</t>
        </is>
      </c>
      <c r="F63" s="6" t="n"/>
      <c r="G63" s="6" t="n"/>
      <c r="H63" s="6" t="n"/>
      <c r="I63" s="77" t="inlineStr">
        <is>
          <t>207 Wadsworth Place</t>
        </is>
      </c>
      <c r="J63" s="77" t="inlineStr">
        <is>
          <t>Operations</t>
        </is>
      </c>
      <c r="K63" s="6" t="n"/>
      <c r="L63" s="6" t="n"/>
    </row>
    <row r="64" ht="15" customHeight="1">
      <c r="A64" s="6" t="n"/>
      <c r="B64" s="6" t="n"/>
      <c r="C64" s="6" t="n"/>
      <c r="D64" s="6" t="n"/>
      <c r="E64" s="80" t="inlineStr">
        <is>
          <t>Quality Assurance</t>
        </is>
      </c>
      <c r="F64" s="6" t="n"/>
      <c r="G64" s="6" t="n"/>
      <c r="H64" s="6" t="n"/>
      <c r="I64" s="80" t="inlineStr">
        <is>
          <t>207 Wadsworth and 141 Wainwright</t>
        </is>
      </c>
      <c r="J64" s="80" t="inlineStr">
        <is>
          <t>Operations</t>
        </is>
      </c>
      <c r="K64" s="6" t="n"/>
      <c r="L64" s="6" t="n"/>
    </row>
    <row r="65" ht="15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77" t="inlineStr">
        <is>
          <t>2290 Turnpike</t>
        </is>
      </c>
      <c r="J65" s="77" t="inlineStr">
        <is>
          <t>Operations</t>
        </is>
      </c>
      <c r="K65" s="6" t="n"/>
      <c r="L65" s="6" t="n"/>
    </row>
    <row r="66" ht="15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80" t="inlineStr">
        <is>
          <t>2292 Turnpike</t>
        </is>
      </c>
      <c r="J66" s="80" t="inlineStr">
        <is>
          <t>Operations</t>
        </is>
      </c>
      <c r="K66" s="6" t="n"/>
      <c r="L66" s="6" t="n"/>
    </row>
    <row r="67" ht="15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77" t="inlineStr">
        <is>
          <t>246 Four Mile</t>
        </is>
      </c>
      <c r="J67" s="77" t="inlineStr">
        <is>
          <t>Operations</t>
        </is>
      </c>
      <c r="K67" s="6" t="n"/>
      <c r="L67" s="6" t="n"/>
    </row>
    <row r="68" ht="15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80" t="inlineStr">
        <is>
          <t>284 Jefferson Circle</t>
        </is>
      </c>
      <c r="J68" s="80" t="inlineStr">
        <is>
          <t>Operations</t>
        </is>
      </c>
      <c r="K68" s="6" t="n"/>
      <c r="L68" s="6" t="n"/>
    </row>
    <row r="69" ht="15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77" t="inlineStr">
        <is>
          <t>289 Royce Apt 207</t>
        </is>
      </c>
      <c r="J69" s="77" t="inlineStr">
        <is>
          <t>Operations</t>
        </is>
      </c>
      <c r="K69" s="6" t="n"/>
      <c r="L69" s="6" t="n"/>
    </row>
    <row r="70" ht="15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80" t="inlineStr">
        <is>
          <t>289 Royce, #207</t>
        </is>
      </c>
      <c r="J70" s="80" t="inlineStr">
        <is>
          <t>Operations</t>
        </is>
      </c>
      <c r="K70" s="6" t="n"/>
      <c r="L70" s="6" t="n"/>
    </row>
    <row r="71" ht="15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77" t="inlineStr">
        <is>
          <t>341 W OUTER</t>
        </is>
      </c>
      <c r="J71" s="77" t="inlineStr">
        <is>
          <t>Operations</t>
        </is>
      </c>
      <c r="K71" s="6" t="n"/>
      <c r="L71" s="6" t="n"/>
    </row>
    <row r="72" ht="15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80" t="inlineStr">
        <is>
          <t>345 W Outer</t>
        </is>
      </c>
      <c r="J72" s="80" t="inlineStr">
        <is>
          <t>Operations</t>
        </is>
      </c>
      <c r="K72" s="6" t="n"/>
      <c r="L72" s="6" t="n"/>
    </row>
    <row r="73" ht="15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77" t="inlineStr">
        <is>
          <t>345 West Outer</t>
        </is>
      </c>
      <c r="J73" s="77" t="inlineStr">
        <is>
          <t>Operations</t>
        </is>
      </c>
      <c r="K73" s="6" t="n"/>
      <c r="L73" s="6" t="n"/>
    </row>
    <row r="74" ht="15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80" t="inlineStr">
        <is>
          <t>361 Outer</t>
        </is>
      </c>
      <c r="J74" s="80" t="inlineStr">
        <is>
          <t>Operations</t>
        </is>
      </c>
      <c r="K74" s="6" t="n"/>
      <c r="L74" s="6" t="n"/>
    </row>
    <row r="75" ht="15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77" t="inlineStr">
        <is>
          <t>361 W Outer</t>
        </is>
      </c>
      <c r="J75" s="77" t="inlineStr">
        <is>
          <t>Operations</t>
        </is>
      </c>
      <c r="K75" s="6" t="n"/>
      <c r="L75" s="6" t="n"/>
    </row>
    <row r="76" ht="15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80" t="inlineStr">
        <is>
          <t>361 W. Outer Dr</t>
        </is>
      </c>
      <c r="J76" s="80" t="inlineStr">
        <is>
          <t>Operations</t>
        </is>
      </c>
      <c r="K76" s="6" t="n"/>
      <c r="L76" s="6" t="n"/>
    </row>
    <row r="77" ht="15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77" t="inlineStr">
        <is>
          <t>361 West Outer</t>
        </is>
      </c>
      <c r="J77" s="77" t="inlineStr">
        <is>
          <t>Operations</t>
        </is>
      </c>
      <c r="K77" s="6" t="n"/>
      <c r="L77" s="6" t="n"/>
    </row>
    <row r="78" ht="15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80" t="inlineStr">
        <is>
          <t>363 West Outer</t>
        </is>
      </c>
      <c r="J78" s="80" t="inlineStr">
        <is>
          <t>Operations</t>
        </is>
      </c>
      <c r="K78" s="6" t="n"/>
      <c r="L78" s="6" t="n"/>
    </row>
    <row r="79" ht="15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77" t="inlineStr">
        <is>
          <t>367 West Outer</t>
        </is>
      </c>
      <c r="J79" s="77" t="inlineStr">
        <is>
          <t>Operations</t>
        </is>
      </c>
      <c r="K79" s="6" t="n"/>
      <c r="L79" s="6" t="n"/>
    </row>
    <row r="80" ht="15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80" t="inlineStr">
        <is>
          <t>367 Willow Run</t>
        </is>
      </c>
      <c r="J80" s="80" t="inlineStr">
        <is>
          <t>Operations</t>
        </is>
      </c>
      <c r="K80" s="6" t="n"/>
      <c r="L80" s="6" t="n"/>
    </row>
    <row r="81" ht="15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77" t="inlineStr">
        <is>
          <t>427 Outer</t>
        </is>
      </c>
      <c r="J81" s="77" t="inlineStr">
        <is>
          <t>Operations</t>
        </is>
      </c>
      <c r="K81" s="6" t="n"/>
      <c r="L81" s="6" t="n"/>
    </row>
    <row r="82" ht="15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80" t="inlineStr">
        <is>
          <t>427 W Outer Dr</t>
        </is>
      </c>
      <c r="J82" s="80" t="inlineStr">
        <is>
          <t>Operations</t>
        </is>
      </c>
      <c r="K82" s="6" t="n"/>
      <c r="L82" s="6" t="n"/>
    </row>
    <row r="83" ht="15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77" t="inlineStr">
        <is>
          <t>428 West Outer/Northwestern</t>
        </is>
      </c>
      <c r="J83" s="77" t="inlineStr">
        <is>
          <t>Operations</t>
        </is>
      </c>
      <c r="K83" s="6" t="n"/>
      <c r="L83" s="6" t="n"/>
    </row>
    <row r="84" ht="15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80" t="inlineStr">
        <is>
          <t>429 W Outer Dr</t>
        </is>
      </c>
      <c r="J84" s="80" t="inlineStr">
        <is>
          <t>Operations</t>
        </is>
      </c>
      <c r="K84" s="6" t="n"/>
      <c r="L84" s="6" t="n"/>
    </row>
    <row r="85" ht="15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77" t="inlineStr">
        <is>
          <t>503 Estabrook</t>
        </is>
      </c>
      <c r="J85" s="77" t="inlineStr">
        <is>
          <t>Operations</t>
        </is>
      </c>
      <c r="K85" s="6" t="n"/>
      <c r="L85" s="6" t="n"/>
    </row>
    <row r="86" ht="15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80" t="inlineStr">
        <is>
          <t>702 BP</t>
        </is>
      </c>
      <c r="J86" s="80" t="inlineStr">
        <is>
          <t>Operations</t>
        </is>
      </c>
      <c r="K86" s="6" t="n"/>
      <c r="L86" s="6" t="n"/>
    </row>
    <row r="87" ht="15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77" t="inlineStr">
        <is>
          <t>702 Bristol</t>
        </is>
      </c>
      <c r="J87" s="77" t="inlineStr">
        <is>
          <t>Operations</t>
        </is>
      </c>
      <c r="K87" s="6" t="n"/>
      <c r="L87" s="6" t="n"/>
    </row>
    <row r="88" ht="15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80" t="inlineStr">
        <is>
          <t>723 Emory Valley</t>
        </is>
      </c>
      <c r="J88" s="80" t="inlineStr">
        <is>
          <t>Operations</t>
        </is>
      </c>
      <c r="K88" s="6" t="n"/>
      <c r="L88" s="6" t="n"/>
    </row>
    <row r="89" ht="15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77" t="inlineStr">
        <is>
          <t>723 Emory Valley Rd</t>
        </is>
      </c>
      <c r="J89" s="77" t="inlineStr">
        <is>
          <t>Operations</t>
        </is>
      </c>
      <c r="K89" s="6" t="n"/>
      <c r="L89" s="6" t="n"/>
    </row>
    <row r="90" ht="15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80" t="inlineStr">
        <is>
          <t>723 Emory Valley Road</t>
        </is>
      </c>
      <c r="J90" s="80" t="inlineStr">
        <is>
          <t>Operations</t>
        </is>
      </c>
      <c r="K90" s="6" t="n"/>
      <c r="L90" s="6" t="n"/>
    </row>
    <row r="91" ht="15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77" t="inlineStr">
        <is>
          <t>790 Emory Valley Road           Apt 702 Bristol Park</t>
        </is>
      </c>
      <c r="J91" s="77" t="inlineStr">
        <is>
          <t>Operations</t>
        </is>
      </c>
      <c r="K91" s="6" t="n"/>
      <c r="L91" s="6" t="n"/>
    </row>
    <row r="92" ht="15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80" t="inlineStr">
        <is>
          <t>813 NW Sapphire</t>
        </is>
      </c>
      <c r="J92" s="80" t="inlineStr">
        <is>
          <t>Operations</t>
        </is>
      </c>
      <c r="K92" s="6" t="n"/>
      <c r="L92" s="6" t="n"/>
    </row>
    <row r="93" ht="15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77" t="inlineStr">
        <is>
          <t>813 Sapphire Rd</t>
        </is>
      </c>
      <c r="J93" s="77" t="inlineStr">
        <is>
          <t>Operations</t>
        </is>
      </c>
      <c r="K93" s="6" t="n"/>
      <c r="L93" s="6" t="n"/>
    </row>
    <row r="94" ht="15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80" t="inlineStr">
        <is>
          <t>813 Sapphire Road</t>
        </is>
      </c>
      <c r="J94" s="80" t="inlineStr">
        <is>
          <t>Operations</t>
        </is>
      </c>
      <c r="K94" s="6" t="n"/>
      <c r="L94" s="6" t="n"/>
    </row>
    <row r="95" ht="15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77" t="inlineStr">
        <is>
          <t>911 BP/207 Wadsworth</t>
        </is>
      </c>
      <c r="J95" s="77" t="inlineStr">
        <is>
          <t>Operations</t>
        </is>
      </c>
      <c r="K95" s="6" t="n"/>
      <c r="L95" s="6" t="n"/>
    </row>
    <row r="96" ht="15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80" t="inlineStr">
        <is>
          <t>911 Bristol Park</t>
        </is>
      </c>
      <c r="J96" s="80" t="inlineStr">
        <is>
          <t>Operations</t>
        </is>
      </c>
      <c r="K96" s="6" t="n"/>
      <c r="L96" s="6" t="n"/>
    </row>
    <row r="97" ht="15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77" t="inlineStr">
        <is>
          <t>Admin</t>
        </is>
      </c>
      <c r="J97" s="77" t="inlineStr">
        <is>
          <t>Operations</t>
        </is>
      </c>
      <c r="K97" s="6" t="n"/>
      <c r="L97" s="6" t="n"/>
    </row>
    <row r="98" ht="15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80" t="inlineStr">
        <is>
          <t>Alger</t>
        </is>
      </c>
      <c r="J98" s="80" t="inlineStr">
        <is>
          <t>Operations</t>
        </is>
      </c>
      <c r="K98" s="6" t="n"/>
      <c r="L98" s="6" t="n"/>
    </row>
    <row r="99" ht="15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77" t="inlineStr">
        <is>
          <t>Another Job</t>
        </is>
      </c>
      <c r="J99" s="77" t="inlineStr">
        <is>
          <t>Operations</t>
        </is>
      </c>
      <c r="K99" s="6" t="n"/>
      <c r="L99" s="6" t="n"/>
    </row>
    <row r="100" ht="15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80" t="inlineStr">
        <is>
          <t>Atlanta</t>
        </is>
      </c>
      <c r="J100" s="80" t="inlineStr">
        <is>
          <t>Operations</t>
        </is>
      </c>
      <c r="K100" s="6" t="n"/>
      <c r="L100" s="6" t="n"/>
    </row>
    <row r="101" ht="15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77" t="inlineStr">
        <is>
          <t>BP 702</t>
        </is>
      </c>
      <c r="J101" s="77" t="inlineStr">
        <is>
          <t>Operations</t>
        </is>
      </c>
      <c r="K101" s="6" t="n"/>
      <c r="L101" s="6" t="n"/>
    </row>
    <row r="102" ht="15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80" t="inlineStr">
        <is>
          <t>BP 911</t>
        </is>
      </c>
      <c r="J102" s="80" t="inlineStr">
        <is>
          <t>Operations</t>
        </is>
      </c>
      <c r="K102" s="6" t="n"/>
      <c r="L102" s="6" t="n"/>
    </row>
    <row r="103" ht="15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77" t="inlineStr">
        <is>
          <t>Dalton</t>
        </is>
      </c>
      <c r="J103" s="77" t="inlineStr">
        <is>
          <t>Operations</t>
        </is>
      </c>
      <c r="K103" s="6" t="n"/>
      <c r="L103" s="6" t="n"/>
    </row>
    <row r="104" ht="15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80" t="inlineStr">
        <is>
          <t>Dalton and 429 Outer</t>
        </is>
      </c>
      <c r="J104" s="80" t="inlineStr">
        <is>
          <t>Operations</t>
        </is>
      </c>
      <c r="K104" s="6" t="n"/>
      <c r="L104" s="6" t="n"/>
    </row>
    <row r="105" ht="15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77" t="inlineStr">
        <is>
          <t>Dalton/207 Royce/Hamilton A/Lower Valley</t>
        </is>
      </c>
      <c r="J105" s="77" t="inlineStr">
        <is>
          <t>Operations</t>
        </is>
      </c>
      <c r="K105" s="6" t="n"/>
      <c r="L105" s="6" t="n"/>
    </row>
    <row r="106" ht="15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80" t="inlineStr">
        <is>
          <t>Discharged- LOA denied</t>
        </is>
      </c>
      <c r="J106" s="80" t="inlineStr">
        <is>
          <t>Operations</t>
        </is>
      </c>
      <c r="K106" s="6" t="n"/>
      <c r="L106" s="6" t="n"/>
    </row>
    <row r="107" ht="15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77" t="inlineStr">
        <is>
          <t>ECF</t>
        </is>
      </c>
      <c r="J107" s="77" t="inlineStr">
        <is>
          <t>Operations</t>
        </is>
      </c>
      <c r="K107" s="6" t="n"/>
      <c r="L107" s="6" t="n"/>
    </row>
    <row r="108" ht="15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80" t="inlineStr">
        <is>
          <t>ECF Services</t>
        </is>
      </c>
      <c r="J108" s="80" t="inlineStr">
        <is>
          <t>Operations</t>
        </is>
      </c>
      <c r="K108" s="6" t="n"/>
      <c r="L108" s="6" t="n"/>
    </row>
    <row r="109" ht="15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77" t="inlineStr">
        <is>
          <t>Estabrook</t>
        </is>
      </c>
      <c r="J109" s="77" t="inlineStr">
        <is>
          <t>Operations</t>
        </is>
      </c>
      <c r="K109" s="6" t="n"/>
      <c r="L109" s="6" t="n"/>
    </row>
    <row r="110" ht="15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80" t="inlineStr">
        <is>
          <t>Facilities</t>
        </is>
      </c>
      <c r="J110" s="80" t="inlineStr">
        <is>
          <t>Operations</t>
        </is>
      </c>
      <c r="K110" s="6" t="n"/>
      <c r="L110" s="6" t="n"/>
    </row>
    <row r="111" ht="15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77" t="inlineStr">
        <is>
          <t>Floater</t>
        </is>
      </c>
      <c r="J111" s="77" t="inlineStr">
        <is>
          <t>Operations</t>
        </is>
      </c>
      <c r="K111" s="6" t="n"/>
      <c r="L111" s="6" t="n"/>
    </row>
    <row r="112" ht="15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80" t="inlineStr">
        <is>
          <t>Four Mile</t>
        </is>
      </c>
      <c r="J112" s="80" t="inlineStr">
        <is>
          <t>Operations</t>
        </is>
      </c>
      <c r="K112" s="6" t="n"/>
      <c r="L112" s="6" t="n"/>
    </row>
    <row r="113" ht="15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77" t="inlineStr">
        <is>
          <t>Four Mile Peaks</t>
        </is>
      </c>
      <c r="J113" s="77" t="inlineStr">
        <is>
          <t>Operations</t>
        </is>
      </c>
      <c r="K113" s="6" t="n"/>
      <c r="L113" s="6" t="n"/>
    </row>
    <row r="114" ht="15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80" t="inlineStr">
        <is>
          <t>Going back to school</t>
        </is>
      </c>
      <c r="J114" s="80" t="inlineStr">
        <is>
          <t>Operations</t>
        </is>
      </c>
      <c r="K114" s="6" t="n"/>
      <c r="L114" s="6" t="n"/>
    </row>
    <row r="115" ht="15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77" t="inlineStr">
        <is>
          <t>Hamilton</t>
        </is>
      </c>
      <c r="J115" s="77" t="inlineStr">
        <is>
          <t>Operations</t>
        </is>
      </c>
      <c r="K115" s="6" t="n"/>
      <c r="L115" s="6" t="n"/>
    </row>
    <row r="116" ht="15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80" t="inlineStr">
        <is>
          <t>Hamilton A</t>
        </is>
      </c>
      <c r="J116" s="80" t="inlineStr">
        <is>
          <t>Operations</t>
        </is>
      </c>
      <c r="K116" s="6" t="n"/>
      <c r="L116" s="6" t="n"/>
    </row>
    <row r="117" ht="15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77" t="inlineStr">
        <is>
          <t>Hamilton A/145 Latimer</t>
        </is>
      </c>
      <c r="J117" s="77" t="inlineStr">
        <is>
          <t>Operations</t>
        </is>
      </c>
      <c r="K117" s="6" t="n"/>
      <c r="L117" s="6" t="n"/>
    </row>
    <row r="118" ht="15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80" t="inlineStr">
        <is>
          <t>Hamilton B</t>
        </is>
      </c>
      <c r="J118" s="80" t="inlineStr">
        <is>
          <t>Operations</t>
        </is>
      </c>
      <c r="K118" s="6" t="n"/>
      <c r="L118" s="6" t="n"/>
    </row>
    <row r="119" ht="15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77" t="inlineStr">
        <is>
          <t>Hamiltons</t>
        </is>
      </c>
      <c r="J119" s="77" t="inlineStr">
        <is>
          <t>Operations</t>
        </is>
      </c>
      <c r="K119" s="6" t="n"/>
      <c r="L119" s="6" t="n"/>
    </row>
    <row r="120" ht="15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80" t="inlineStr">
        <is>
          <t>Herbert Heidel</t>
        </is>
      </c>
      <c r="J120" s="80" t="inlineStr">
        <is>
          <t>Operations</t>
        </is>
      </c>
      <c r="K120" s="6" t="n"/>
      <c r="L120" s="6" t="n"/>
    </row>
    <row r="121" ht="15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77" t="inlineStr">
        <is>
          <t>Job Abandonment</t>
        </is>
      </c>
      <c r="J121" s="77" t="inlineStr">
        <is>
          <t>Operations</t>
        </is>
      </c>
      <c r="K121" s="6" t="n"/>
      <c r="L121" s="6" t="n"/>
    </row>
    <row r="122" ht="15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80" t="inlineStr">
        <is>
          <t>Latimer</t>
        </is>
      </c>
      <c r="J122" s="80" t="inlineStr">
        <is>
          <t>Operations</t>
        </is>
      </c>
      <c r="K122" s="6" t="n"/>
      <c r="L122" s="6" t="n"/>
    </row>
    <row r="123" ht="15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77" t="inlineStr">
        <is>
          <t>Livingston</t>
        </is>
      </c>
      <c r="J123" s="77" t="inlineStr">
        <is>
          <t>Operations</t>
        </is>
      </c>
      <c r="K123" s="6" t="n"/>
      <c r="L123" s="6" t="n"/>
    </row>
    <row r="124" ht="15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80" t="inlineStr">
        <is>
          <t>Livingston/196 Latimer</t>
        </is>
      </c>
      <c r="J124" s="80" t="inlineStr">
        <is>
          <t>Operations</t>
        </is>
      </c>
      <c r="K124" s="6" t="n"/>
      <c r="L124" s="6" t="n"/>
    </row>
    <row r="125" ht="15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77" t="inlineStr">
        <is>
          <t>Lower Valley</t>
        </is>
      </c>
      <c r="J125" s="77" t="inlineStr">
        <is>
          <t>Operations</t>
        </is>
      </c>
      <c r="K125" s="6" t="n"/>
      <c r="L125" s="6" t="n"/>
    </row>
    <row r="126" ht="15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80" t="inlineStr">
        <is>
          <t>Lower Valley/Estabrook</t>
        </is>
      </c>
      <c r="J126" s="80" t="inlineStr">
        <is>
          <t>Operations</t>
        </is>
      </c>
      <c r="K126" s="6" t="n"/>
      <c r="L126" s="6" t="n"/>
    </row>
    <row r="127" ht="15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77" t="inlineStr">
        <is>
          <t>McAdoo</t>
        </is>
      </c>
      <c r="J127" s="77" t="inlineStr">
        <is>
          <t>Operations</t>
        </is>
      </c>
      <c r="K127" s="6" t="n"/>
      <c r="L127" s="6" t="n"/>
    </row>
    <row r="128" ht="15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80" t="inlineStr">
        <is>
          <t>N. Purdue</t>
        </is>
      </c>
      <c r="J128" s="80" t="inlineStr">
        <is>
          <t>Operations</t>
        </is>
      </c>
      <c r="K128" s="6" t="n"/>
      <c r="L128" s="6" t="n"/>
    </row>
    <row r="129" ht="15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77" t="inlineStr">
        <is>
          <t>N. Purude</t>
        </is>
      </c>
      <c r="J129" s="77" t="inlineStr">
        <is>
          <t>Operations</t>
        </is>
      </c>
      <c r="K129" s="6" t="n"/>
      <c r="L129" s="6" t="n"/>
    </row>
    <row r="130" ht="15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80" t="inlineStr">
        <is>
          <t>NA</t>
        </is>
      </c>
      <c r="J130" s="80" t="inlineStr">
        <is>
          <t>Operations</t>
        </is>
      </c>
      <c r="K130" s="6" t="n"/>
      <c r="L130" s="6" t="n"/>
    </row>
    <row r="131" ht="15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77" t="inlineStr">
        <is>
          <t>Newkirk</t>
        </is>
      </c>
      <c r="J131" s="77" t="inlineStr">
        <is>
          <t>Operations</t>
        </is>
      </c>
      <c r="K131" s="6" t="n"/>
      <c r="L131" s="6" t="n"/>
    </row>
    <row r="132" ht="15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80" t="inlineStr">
        <is>
          <t>None given</t>
        </is>
      </c>
      <c r="J132" s="80" t="inlineStr">
        <is>
          <t>Operations</t>
        </is>
      </c>
      <c r="K132" s="6" t="n"/>
      <c r="L132" s="6" t="n"/>
    </row>
    <row r="133" ht="15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77" t="inlineStr">
        <is>
          <t>Northestern</t>
        </is>
      </c>
      <c r="J133" s="77" t="inlineStr">
        <is>
          <t>Operations</t>
        </is>
      </c>
      <c r="K133" s="6" t="n"/>
      <c r="L133" s="6" t="n"/>
    </row>
    <row r="134" ht="15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80" t="inlineStr">
        <is>
          <t>Northwestern</t>
        </is>
      </c>
      <c r="J134" s="80" t="inlineStr">
        <is>
          <t>Operations</t>
        </is>
      </c>
      <c r="K134" s="6" t="n"/>
      <c r="L134" s="6" t="n"/>
    </row>
    <row r="135" ht="15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77" t="inlineStr">
        <is>
          <t>Not enough hours</t>
        </is>
      </c>
      <c r="J135" s="77" t="inlineStr">
        <is>
          <t>Operations</t>
        </is>
      </c>
      <c r="K135" s="6" t="n"/>
      <c r="L135" s="6" t="n"/>
    </row>
    <row r="136" ht="15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80" t="inlineStr">
        <is>
          <t>On Leave</t>
        </is>
      </c>
      <c r="J136" s="80" t="inlineStr">
        <is>
          <t>Operations</t>
        </is>
      </c>
      <c r="K136" s="6" t="n"/>
      <c r="L136" s="6" t="n"/>
    </row>
    <row r="137" ht="15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77" t="inlineStr">
        <is>
          <t>Other</t>
        </is>
      </c>
      <c r="J137" s="77" t="inlineStr">
        <is>
          <t>Operations</t>
        </is>
      </c>
      <c r="K137" s="6" t="n"/>
      <c r="L137" s="6" t="n"/>
    </row>
    <row r="138" ht="15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80" t="inlineStr">
        <is>
          <t>PT DSP Estabrook</t>
        </is>
      </c>
      <c r="J138" s="80" t="inlineStr">
        <is>
          <t>Operations</t>
        </is>
      </c>
      <c r="K138" s="6" t="n"/>
      <c r="L138" s="6" t="n"/>
    </row>
    <row r="139" ht="15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77" t="inlineStr">
        <is>
          <t>Remote</t>
        </is>
      </c>
      <c r="J139" s="77" t="inlineStr">
        <is>
          <t>Operations</t>
        </is>
      </c>
      <c r="K139" s="6" t="n"/>
      <c r="L139" s="6" t="n"/>
    </row>
    <row r="140" ht="15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80" t="inlineStr">
        <is>
          <t>Residential</t>
        </is>
      </c>
      <c r="J140" s="80" t="inlineStr">
        <is>
          <t>Operations</t>
        </is>
      </c>
      <c r="K140" s="6" t="n"/>
      <c r="L140" s="6" t="n"/>
    </row>
    <row r="141" ht="15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77" t="inlineStr">
        <is>
          <t>Residential Services</t>
        </is>
      </c>
      <c r="J141" s="77" t="inlineStr">
        <is>
          <t>Operations</t>
        </is>
      </c>
      <c r="K141" s="6" t="n"/>
      <c r="L141" s="6" t="n"/>
    </row>
    <row r="142" ht="15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80" t="inlineStr">
        <is>
          <t>Residential/Lower Valley</t>
        </is>
      </c>
      <c r="J142" s="80" t="inlineStr">
        <is>
          <t>Operations</t>
        </is>
      </c>
      <c r="K142" s="6" t="n"/>
      <c r="L142" s="6" t="n"/>
    </row>
    <row r="143" ht="15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77" t="inlineStr">
        <is>
          <t>Residential/Robert Bunch</t>
        </is>
      </c>
      <c r="J143" s="77" t="inlineStr">
        <is>
          <t>Operations</t>
        </is>
      </c>
      <c r="K143" s="6" t="n"/>
      <c r="L143" s="6" t="n"/>
    </row>
    <row r="144" ht="15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80" t="inlineStr">
        <is>
          <t>Robert Bunch</t>
        </is>
      </c>
      <c r="J144" s="80" t="inlineStr">
        <is>
          <t>Operations</t>
        </is>
      </c>
      <c r="K144" s="6" t="n"/>
      <c r="L144" s="6" t="n"/>
    </row>
    <row r="145" ht="15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77" t="inlineStr">
        <is>
          <t>Robert Bunch Road</t>
        </is>
      </c>
      <c r="J145" s="77" t="inlineStr">
        <is>
          <t>Operations</t>
        </is>
      </c>
      <c r="K145" s="6" t="n"/>
      <c r="L145" s="6" t="n"/>
    </row>
    <row r="146" ht="15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80" t="inlineStr">
        <is>
          <t>Royce 207</t>
        </is>
      </c>
      <c r="J146" s="80" t="inlineStr">
        <is>
          <t>Operations</t>
        </is>
      </c>
      <c r="K146" s="6" t="n"/>
      <c r="L146" s="6" t="n"/>
    </row>
    <row r="147" ht="15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77" t="inlineStr">
        <is>
          <t>Royce Circle, #115</t>
        </is>
      </c>
      <c r="J147" s="77" t="inlineStr">
        <is>
          <t>Operations</t>
        </is>
      </c>
      <c r="K147" s="6" t="n"/>
      <c r="L147" s="6" t="n"/>
    </row>
    <row r="148" ht="15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80" t="inlineStr">
        <is>
          <t>SEPARATIONS BY JOB</t>
        </is>
      </c>
      <c r="J148" s="80" t="inlineStr">
        <is>
          <t>Operations</t>
        </is>
      </c>
      <c r="K148" s="6" t="n"/>
      <c r="L148" s="6" t="n"/>
    </row>
    <row r="149" ht="15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77" t="inlineStr">
        <is>
          <t>Salem/Ulena</t>
        </is>
      </c>
      <c r="J149" s="77" t="inlineStr">
        <is>
          <t>Operations</t>
        </is>
      </c>
      <c r="K149" s="6" t="n"/>
      <c r="L149" s="6" t="n"/>
    </row>
    <row r="150" ht="15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80" t="inlineStr">
        <is>
          <t>Sapphire</t>
        </is>
      </c>
      <c r="J150" s="80" t="inlineStr">
        <is>
          <t>Operations</t>
        </is>
      </c>
      <c r="K150" s="6" t="n"/>
      <c r="L150" s="6" t="n"/>
    </row>
    <row r="151" ht="15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77" t="inlineStr">
        <is>
          <t>Sapphire/194 Latimer</t>
        </is>
      </c>
      <c r="J151" s="77" t="inlineStr">
        <is>
          <t>Operations</t>
        </is>
      </c>
      <c r="K151" s="6" t="n"/>
      <c r="L151" s="6" t="n"/>
    </row>
    <row r="152" ht="15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80" t="inlineStr">
        <is>
          <t>Sapphire/Newkirk</t>
        </is>
      </c>
      <c r="J152" s="80" t="inlineStr">
        <is>
          <t>Operations</t>
        </is>
      </c>
      <c r="K152" s="6" t="n"/>
      <c r="L152" s="6" t="n"/>
    </row>
    <row r="153" ht="15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77" t="inlineStr">
        <is>
          <t>Skyview</t>
        </is>
      </c>
      <c r="J153" s="77" t="inlineStr">
        <is>
          <t>Operations</t>
        </is>
      </c>
      <c r="K153" s="6" t="n"/>
      <c r="L153" s="6" t="n"/>
    </row>
    <row r="154" ht="15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80" t="inlineStr">
        <is>
          <t>Staff late to shift</t>
        </is>
      </c>
      <c r="J154" s="80" t="inlineStr">
        <is>
          <t>Operations</t>
        </is>
      </c>
      <c r="K154" s="6" t="n"/>
      <c r="L154" s="6" t="n"/>
    </row>
    <row r="155" ht="15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77" t="inlineStr">
        <is>
          <t>Stopped training/No Call No Show</t>
        </is>
      </c>
      <c r="J155" s="77" t="inlineStr">
        <is>
          <t>Operations</t>
        </is>
      </c>
      <c r="K155" s="6" t="n"/>
      <c r="L155" s="6" t="n"/>
    </row>
    <row r="156" ht="15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80" t="inlineStr">
        <is>
          <t>Superimposed</t>
        </is>
      </c>
      <c r="J156" s="80" t="inlineStr">
        <is>
          <t>Operations</t>
        </is>
      </c>
      <c r="K156" s="6" t="n"/>
      <c r="L156" s="6" t="n"/>
    </row>
    <row r="157" ht="15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77" t="inlineStr">
        <is>
          <t>Superimposed Schedule conflict</t>
        </is>
      </c>
      <c r="J157" s="77" t="inlineStr">
        <is>
          <t>Operations</t>
        </is>
      </c>
      <c r="K157" s="6" t="n"/>
      <c r="L157" s="6" t="n"/>
    </row>
    <row r="158" ht="15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80" t="inlineStr">
        <is>
          <t>Superimposed/Residential</t>
        </is>
      </c>
      <c r="J158" s="80" t="inlineStr">
        <is>
          <t>Operations</t>
        </is>
      </c>
      <c r="K158" s="6" t="n"/>
      <c r="L158" s="6" t="n"/>
    </row>
    <row r="159" ht="15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77" t="inlineStr">
        <is>
          <t>Thelma</t>
        </is>
      </c>
      <c r="J159" s="77" t="inlineStr">
        <is>
          <t>Operations</t>
        </is>
      </c>
      <c r="K159" s="6" t="n"/>
      <c r="L159" s="6" t="n"/>
    </row>
    <row r="160" ht="15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80" t="inlineStr">
        <is>
          <t>Tiffin</t>
        </is>
      </c>
      <c r="J160" s="80" t="inlineStr">
        <is>
          <t>Operations</t>
        </is>
      </c>
      <c r="K160" s="6" t="n"/>
      <c r="L160" s="6" t="n"/>
    </row>
    <row r="161" ht="15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77" t="inlineStr">
        <is>
          <t>Trunpike A</t>
        </is>
      </c>
      <c r="J161" s="77" t="inlineStr">
        <is>
          <t>Operations</t>
        </is>
      </c>
      <c r="K161" s="6" t="n"/>
      <c r="L161" s="6" t="n"/>
    </row>
    <row r="162" ht="15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80" t="inlineStr">
        <is>
          <t>Tucker/Estabrook</t>
        </is>
      </c>
      <c r="J162" s="80" t="inlineStr">
        <is>
          <t>Operations</t>
        </is>
      </c>
      <c r="K162" s="6" t="n"/>
      <c r="L162" s="6" t="n"/>
    </row>
    <row r="163" ht="15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77" t="inlineStr">
        <is>
          <t>Turnpike/</t>
        </is>
      </c>
      <c r="J163" s="77" t="inlineStr">
        <is>
          <t>Operations</t>
        </is>
      </c>
      <c r="K163" s="6" t="n"/>
      <c r="L163" s="6" t="n"/>
    </row>
    <row r="164" ht="15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80" t="inlineStr">
        <is>
          <t>Tuskegee</t>
        </is>
      </c>
      <c r="J164" s="80" t="inlineStr">
        <is>
          <t>Operations</t>
        </is>
      </c>
      <c r="K164" s="6" t="n"/>
      <c r="L164" s="6" t="n"/>
    </row>
    <row r="165" ht="15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77" t="inlineStr">
        <is>
          <t>Ulena</t>
        </is>
      </c>
      <c r="J165" s="77" t="inlineStr">
        <is>
          <t>Operations</t>
        </is>
      </c>
      <c r="K165" s="6" t="n"/>
      <c r="L165" s="6" t="n"/>
    </row>
    <row r="166" ht="15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80" t="inlineStr">
        <is>
          <t>Ulena, Estabrook</t>
        </is>
      </c>
      <c r="J166" s="80" t="inlineStr">
        <is>
          <t>Operations</t>
        </is>
      </c>
      <c r="K166" s="6" t="n"/>
      <c r="L166" s="6" t="n"/>
    </row>
    <row r="167" ht="15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77" t="inlineStr">
        <is>
          <t>Violation of Company Policy</t>
        </is>
      </c>
      <c r="J167" s="77" t="inlineStr">
        <is>
          <t>Operations</t>
        </is>
      </c>
      <c r="K167" s="6" t="n"/>
      <c r="L167" s="6" t="n"/>
    </row>
    <row r="168" ht="15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80" t="inlineStr">
        <is>
          <t>Wadsworth</t>
        </is>
      </c>
      <c r="J168" s="80" t="inlineStr">
        <is>
          <t>Operations</t>
        </is>
      </c>
      <c r="K168" s="6" t="n"/>
      <c r="L168" s="6" t="n"/>
    </row>
    <row r="169" ht="15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77" t="inlineStr">
        <is>
          <t>Willow Run</t>
        </is>
      </c>
      <c r="J169" s="77" t="inlineStr">
        <is>
          <t>Operations</t>
        </is>
      </c>
      <c r="K169" s="6" t="n"/>
      <c r="L169" s="6" t="n"/>
    </row>
    <row r="170" ht="15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80" t="inlineStr">
        <is>
          <t>Worforce</t>
        </is>
      </c>
      <c r="J170" s="80" t="inlineStr">
        <is>
          <t>Operations</t>
        </is>
      </c>
      <c r="K170" s="6" t="n"/>
      <c r="L170" s="6" t="n"/>
    </row>
    <row r="171" ht="15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77" t="inlineStr">
        <is>
          <t>Case Management</t>
        </is>
      </c>
      <c r="J171" s="77" t="inlineStr">
        <is>
          <t>Professional Services</t>
        </is>
      </c>
      <c r="K171" s="6" t="n"/>
      <c r="L171" s="6" t="n"/>
    </row>
    <row r="172" ht="15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80" t="inlineStr">
        <is>
          <t>Customer Service</t>
        </is>
      </c>
      <c r="J172" s="80" t="inlineStr">
        <is>
          <t>Professional Services</t>
        </is>
      </c>
      <c r="K172" s="6" t="n"/>
      <c r="L172" s="6" t="n"/>
    </row>
    <row r="173" ht="15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77" t="inlineStr">
        <is>
          <t>Professional Services</t>
        </is>
      </c>
      <c r="J173" s="77" t="inlineStr">
        <is>
          <t>Professional Services</t>
        </is>
      </c>
      <c r="K173" s="6" t="n"/>
      <c r="L173" s="6" t="n"/>
    </row>
    <row r="174" ht="15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80" t="inlineStr">
        <is>
          <t>QA</t>
        </is>
      </c>
      <c r="J174" s="80" t="inlineStr">
        <is>
          <t>QA</t>
        </is>
      </c>
      <c r="K174" s="6" t="n"/>
      <c r="L174" s="6" t="n"/>
    </row>
    <row r="175" ht="15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77" t="inlineStr">
        <is>
          <t>Quality Assurance</t>
        </is>
      </c>
      <c r="J175" s="77" t="inlineStr">
        <is>
          <t>QA</t>
        </is>
      </c>
      <c r="K175" s="6" t="n"/>
      <c r="L175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6" customWidth="1" min="4" max="4"/>
    <col width="26" customWidth="1" min="5" max="5"/>
    <col width="14" customWidth="1" min="6" max="6"/>
    <col width="26" customWidth="1" min="7" max="7"/>
    <col width="38" customWidth="1" min="8" max="8"/>
    <col width="14" customWidth="1" min="9" max="9"/>
    <col width="60" customWidth="1" min="10" max="10"/>
  </cols>
  <sheetData>
    <row r="1">
      <c r="A1" s="178" t="inlineStr">
        <is>
          <t>Timestamp</t>
        </is>
      </c>
      <c r="B1" s="178" t="inlineStr">
        <is>
          <t>Workbook User</t>
        </is>
      </c>
      <c r="C1" s="178" t="inlineStr">
        <is>
          <t>FY Sheet</t>
        </is>
      </c>
      <c r="D1" s="178" t="inlineStr">
        <is>
          <t>Row</t>
        </is>
      </c>
      <c r="E1" s="178" t="inlineStr">
        <is>
          <t>Employee Name</t>
        </is>
      </c>
      <c r="F1" s="178" t="inlineStr">
        <is>
          <t>Separation Date</t>
        </is>
      </c>
      <c r="G1" s="178" t="inlineStr">
        <is>
          <t>Action</t>
        </is>
      </c>
      <c r="H1" s="178" t="inlineStr">
        <is>
          <t>Supabase ID</t>
        </is>
      </c>
      <c r="I1" s="178" t="inlineStr">
        <is>
          <t>Match Type</t>
        </is>
      </c>
      <c r="J1" s="178" t="inlineStr">
        <is>
          <t>Details</t>
        </is>
      </c>
    </row>
    <row r="2">
      <c r="A2" s="179" t="inlineStr">
        <is>
          <t>(HubSync will append run entries starting here)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2026-03-19T18:31:16Z</dcterms:created>
  <dcterms:modified xsi:type="dcterms:W3CDTF">2026-04-14T01:04:21Z</dcterms:modified>
  <cp:lastModifiedBy>Kyle Mahoney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0x01010029E479EDDFE58E42A20C8E4AE72ECE7B</vt:lpwstr>
  </property>
</Properties>
</file>