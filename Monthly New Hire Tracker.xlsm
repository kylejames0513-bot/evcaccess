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0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moryvalleycenter0.sharepoint.com/sites/Training-NewHireTenureStaff/Shared Documents/Training/"/>
    </mc:Choice>
  </mc:AlternateContent>
  <xr:revisionPtr revIDLastSave="14822" documentId="8_{50579884-B4A6-47EF-AE7B-9994561F58C5}" xr6:coauthVersionLast="47" xr6:coauthVersionMax="47" xr10:uidLastSave="{AD864011-462C-4984-85B8-6096DC8478EE}"/>
  <bookViews>
    <workbookView minimized="1" xWindow="34800" yWindow="4185" windowWidth="21600" windowHeight="11295" tabRatio="500" firstSheet="4" activeTab="5" xr2:uid="{00000000-000D-0000-FFFF-FFFF00000000}"/>
  </bookViews>
  <sheets>
    <sheet name="Dashboard" sheetId="1" r:id="rId1"/>
    <sheet name="Training Results" sheetId="2" state="hidden" r:id="rId2"/>
    <sheet name="January" sheetId="3" r:id="rId3"/>
    <sheet name="February" sheetId="4" r:id="rId4"/>
    <sheet name="March" sheetId="5" r:id="rId5"/>
    <sheet name="April" sheetId="6" r:id="rId6"/>
    <sheet name="May" sheetId="7" r:id="rId7"/>
    <sheet name="June" sheetId="8" r:id="rId8"/>
    <sheet name="July" sheetId="9" r:id="rId9"/>
    <sheet name="August" sheetId="10" r:id="rId10"/>
    <sheet name="September" sheetId="11" r:id="rId11"/>
    <sheet name="October" sheetId="12" r:id="rId12"/>
    <sheet name="November" sheetId="13" r:id="rId13"/>
    <sheet name="December" sheetId="14" r:id="rId14"/>
    <sheet name="Onboarding Report" sheetId="15" state="hidden" r:id="rId15"/>
    <sheet name="Termination Report" sheetId="16" state="hidden" r:id="rId16"/>
  </sheets>
  <definedNames>
    <definedName name="_xlnm._FilterDatabase" localSheetId="2" hidden="1">January!$B$1:$B$75</definedName>
    <definedName name="_xlnm.Print_Area" localSheetId="0">Dashboard!$A$1:$Q$52</definedName>
    <definedName name="_xlnm.Print_Titles" localSheetId="14">'Onboarding Report'!$1:$3</definedName>
    <definedName name="_xlnm.Print_Titles" localSheetId="15">'Termination Report'!$1:$3</definedName>
  </definedName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1" i="5" l="1" a="1"/>
  <c r="J21" i="5"/>
  <c r="D109" i="14"/>
  <c r="S55" i="14"/>
  <c r="J55" i="14" a="1"/>
  <c r="J55" i="14"/>
  <c r="D55" i="14"/>
  <c r="C24" i="1" s="1"/>
  <c r="O2" i="14" a="1"/>
  <c r="O2" i="14"/>
  <c r="J2" i="14"/>
  <c r="H2" i="14"/>
  <c r="F2" i="14"/>
  <c r="D109" i="13"/>
  <c r="S55" i="13"/>
  <c r="E23" i="1" s="1"/>
  <c r="J55" i="13" a="1"/>
  <c r="J55" i="13"/>
  <c r="D55" i="13"/>
  <c r="C23" i="1" s="1"/>
  <c r="O2" i="13" a="1"/>
  <c r="O2" i="13"/>
  <c r="J2" i="13"/>
  <c r="H2" i="13"/>
  <c r="F2" i="13"/>
  <c r="D109" i="12"/>
  <c r="D22" i="1" s="1"/>
  <c r="S55" i="12"/>
  <c r="E22" i="1" s="1"/>
  <c r="J55" i="12" a="1"/>
  <c r="J55" i="12"/>
  <c r="D55" i="12"/>
  <c r="C22" i="1" s="1"/>
  <c r="F22" i="1" s="1"/>
  <c r="O2" i="12" a="1"/>
  <c r="O2" i="12"/>
  <c r="J2" i="12"/>
  <c r="H2" i="12"/>
  <c r="F2" i="12"/>
  <c r="D109" i="11"/>
  <c r="D21" i="1" s="1"/>
  <c r="S55" i="11"/>
  <c r="E21" i="1" s="1"/>
  <c r="J55" i="11" a="1"/>
  <c r="J55" i="11"/>
  <c r="D55" i="11"/>
  <c r="C21" i="1" s="1"/>
  <c r="F21" i="1" s="1"/>
  <c r="O2" i="11" a="1"/>
  <c r="O2" i="11"/>
  <c r="J2" i="11"/>
  <c r="H2" i="11"/>
  <c r="F2" i="11"/>
  <c r="D109" i="10"/>
  <c r="D20" i="1" s="1"/>
  <c r="S55" i="10"/>
  <c r="E20" i="1" s="1"/>
  <c r="J55" i="10" a="1"/>
  <c r="J55" i="10" s="1"/>
  <c r="D55" i="10"/>
  <c r="C20" i="1" s="1"/>
  <c r="F20" i="1" s="1"/>
  <c r="O2" i="10" a="1"/>
  <c r="O2" i="10"/>
  <c r="J2" i="10"/>
  <c r="H2" i="10"/>
  <c r="F2" i="10"/>
  <c r="D109" i="9"/>
  <c r="D19" i="1" s="1"/>
  <c r="S55" i="9"/>
  <c r="E19" i="1" s="1"/>
  <c r="J55" i="9" a="1"/>
  <c r="J55" i="9"/>
  <c r="D55" i="9"/>
  <c r="C19" i="1" s="1"/>
  <c r="F19" i="1" s="1"/>
  <c r="O2" i="9" a="1"/>
  <c r="O2" i="9"/>
  <c r="J2" i="9"/>
  <c r="H2" i="9"/>
  <c r="F2" i="9"/>
  <c r="D109" i="8"/>
  <c r="S55" i="8"/>
  <c r="J55" i="8" a="1"/>
  <c r="J55" i="8" s="1"/>
  <c r="D55" i="8"/>
  <c r="O2" i="8" a="1"/>
  <c r="O2" i="8"/>
  <c r="F2" i="8"/>
  <c r="D109" i="7"/>
  <c r="S55" i="7"/>
  <c r="J55" i="7" a="1"/>
  <c r="J55" i="7"/>
  <c r="D55" i="7"/>
  <c r="O2" i="7" a="1"/>
  <c r="O2" i="7"/>
  <c r="J2" i="7"/>
  <c r="H2" i="7"/>
  <c r="F2" i="7"/>
  <c r="D42" i="6"/>
  <c r="S23" i="6"/>
  <c r="J23" i="6" a="1"/>
  <c r="J23" i="6"/>
  <c r="D23" i="6"/>
  <c r="C16" i="1" s="1"/>
  <c r="O2" i="6" a="1"/>
  <c r="O2" i="6"/>
  <c r="H2" i="6"/>
  <c r="F2" i="6"/>
  <c r="D38" i="5"/>
  <c r="S21" i="5"/>
  <c r="D21" i="5"/>
  <c r="O2" i="5" a="1"/>
  <c r="O2" i="5" s="1"/>
  <c r="D51" i="4"/>
  <c r="S33" i="4"/>
  <c r="J33" i="4" a="1"/>
  <c r="J33" i="4"/>
  <c r="D33" i="4"/>
  <c r="O2" i="4" a="1"/>
  <c r="O2" i="4" s="1"/>
  <c r="D53" i="1"/>
  <c r="C53" i="1"/>
  <c r="D52" i="1"/>
  <c r="C52" i="1"/>
  <c r="D51" i="1"/>
  <c r="C51" i="1"/>
  <c r="D50" i="1"/>
  <c r="C50" i="1"/>
  <c r="D49" i="1"/>
  <c r="C49" i="1"/>
  <c r="D48" i="1"/>
  <c r="C48" i="1"/>
  <c r="D47" i="1"/>
  <c r="C47" i="1"/>
  <c r="D46" i="1"/>
  <c r="C46" i="1"/>
  <c r="D45" i="1"/>
  <c r="C45" i="1"/>
  <c r="D44" i="1"/>
  <c r="C44" i="1"/>
  <c r="N39" i="1"/>
  <c r="M39" i="1"/>
  <c r="L39" i="1"/>
  <c r="K39" i="1"/>
  <c r="J39" i="1"/>
  <c r="I39" i="1"/>
  <c r="H39" i="1"/>
  <c r="G39" i="1"/>
  <c r="F39" i="1"/>
  <c r="E39" i="1"/>
  <c r="D39" i="1"/>
  <c r="C39" i="1"/>
  <c r="N38" i="1"/>
  <c r="M38" i="1"/>
  <c r="L38" i="1"/>
  <c r="K38" i="1"/>
  <c r="J38" i="1"/>
  <c r="I38" i="1"/>
  <c r="H38" i="1"/>
  <c r="G38" i="1"/>
  <c r="F38" i="1"/>
  <c r="E38" i="1"/>
  <c r="D38" i="1"/>
  <c r="C38" i="1"/>
  <c r="N37" i="1"/>
  <c r="M37" i="1"/>
  <c r="L37" i="1"/>
  <c r="K37" i="1"/>
  <c r="J37" i="1"/>
  <c r="I37" i="1"/>
  <c r="H37" i="1"/>
  <c r="G37" i="1"/>
  <c r="F37" i="1"/>
  <c r="E37" i="1"/>
  <c r="D37" i="1"/>
  <c r="C37" i="1"/>
  <c r="N36" i="1"/>
  <c r="M36" i="1"/>
  <c r="L36" i="1"/>
  <c r="K36" i="1"/>
  <c r="J36" i="1"/>
  <c r="I36" i="1"/>
  <c r="H36" i="1"/>
  <c r="G36" i="1"/>
  <c r="F36" i="1"/>
  <c r="E36" i="1"/>
  <c r="D36" i="1"/>
  <c r="C36" i="1"/>
  <c r="N35" i="1"/>
  <c r="M35" i="1"/>
  <c r="L35" i="1"/>
  <c r="K35" i="1"/>
  <c r="J35" i="1"/>
  <c r="I35" i="1"/>
  <c r="H35" i="1"/>
  <c r="G35" i="1"/>
  <c r="F35" i="1"/>
  <c r="E35" i="1"/>
  <c r="D35" i="1"/>
  <c r="C35" i="1"/>
  <c r="N34" i="1"/>
  <c r="M34" i="1"/>
  <c r="L34" i="1"/>
  <c r="K34" i="1"/>
  <c r="J34" i="1"/>
  <c r="I34" i="1"/>
  <c r="H34" i="1"/>
  <c r="G34" i="1"/>
  <c r="F34" i="1"/>
  <c r="E34" i="1"/>
  <c r="D34" i="1"/>
  <c r="C34" i="1"/>
  <c r="N33" i="1"/>
  <c r="M33" i="1"/>
  <c r="L33" i="1"/>
  <c r="K33" i="1"/>
  <c r="J33" i="1"/>
  <c r="I33" i="1"/>
  <c r="H33" i="1"/>
  <c r="G33" i="1"/>
  <c r="F33" i="1"/>
  <c r="E33" i="1"/>
  <c r="D33" i="1"/>
  <c r="C33" i="1"/>
  <c r="N32" i="1"/>
  <c r="M32" i="1"/>
  <c r="L32" i="1"/>
  <c r="K32" i="1"/>
  <c r="J32" i="1"/>
  <c r="I32" i="1"/>
  <c r="H32" i="1"/>
  <c r="G32" i="1"/>
  <c r="F32" i="1"/>
  <c r="E32" i="1"/>
  <c r="D32" i="1"/>
  <c r="C32" i="1"/>
  <c r="N31" i="1"/>
  <c r="M31" i="1"/>
  <c r="L31" i="1"/>
  <c r="K31" i="1"/>
  <c r="J31" i="1"/>
  <c r="I31" i="1"/>
  <c r="H31" i="1"/>
  <c r="G31" i="1"/>
  <c r="F31" i="1"/>
  <c r="E31" i="1"/>
  <c r="D31" i="1"/>
  <c r="C31" i="1"/>
  <c r="N30" i="1"/>
  <c r="M30" i="1"/>
  <c r="L30" i="1"/>
  <c r="K30" i="1"/>
  <c r="J30" i="1"/>
  <c r="I30" i="1"/>
  <c r="H30" i="1"/>
  <c r="G30" i="1"/>
  <c r="F30" i="1"/>
  <c r="E30" i="1"/>
  <c r="D30" i="1"/>
  <c r="C30" i="1"/>
  <c r="N29" i="1"/>
  <c r="M29" i="1"/>
  <c r="L29" i="1"/>
  <c r="K29" i="1"/>
  <c r="J29" i="1"/>
  <c r="I29" i="1"/>
  <c r="H29" i="1"/>
  <c r="G29" i="1"/>
  <c r="F29" i="1"/>
  <c r="E29" i="1"/>
  <c r="D29" i="1"/>
  <c r="C29" i="1"/>
  <c r="E24" i="1"/>
  <c r="D24" i="1"/>
  <c r="D23" i="1"/>
  <c r="C18" i="1"/>
  <c r="E17" i="1"/>
  <c r="D17" i="1"/>
  <c r="C17" i="1"/>
  <c r="F17" i="1" s="1"/>
  <c r="E16" i="1"/>
  <c r="J15" i="1" a="1"/>
  <c r="J15" i="1" s="1"/>
  <c r="J14" i="1" a="1"/>
  <c r="J14" i="1" s="1"/>
  <c r="J13" i="1" a="1"/>
  <c r="J13" i="1" s="1"/>
  <c r="D75" i="3"/>
  <c r="J2" i="3" s="1"/>
  <c r="S21" i="3"/>
  <c r="H2" i="3" s="1"/>
  <c r="J21" i="3" a="1"/>
  <c r="J21" i="3" s="1"/>
  <c r="D21" i="3"/>
  <c r="F2" i="3" s="1"/>
  <c r="O2" i="3" a="1"/>
  <c r="O2" i="3" s="1"/>
  <c r="G40" i="1" l="1"/>
  <c r="H40" i="1"/>
  <c r="I40" i="1"/>
  <c r="J40" i="1"/>
  <c r="K40" i="1"/>
  <c r="L40" i="1"/>
  <c r="M40" i="1"/>
  <c r="N40" i="1"/>
  <c r="F24" i="1"/>
  <c r="F40" i="1"/>
  <c r="F16" i="1"/>
  <c r="J2" i="6"/>
  <c r="D16" i="1"/>
  <c r="C15" i="1"/>
  <c r="F2" i="5"/>
  <c r="O35" i="1"/>
  <c r="O37" i="1"/>
  <c r="O36" i="1"/>
  <c r="C14" i="1"/>
  <c r="F2" i="4"/>
  <c r="E15" i="1"/>
  <c r="H2" i="5"/>
  <c r="E40" i="1"/>
  <c r="E14" i="1"/>
  <c r="F14" i="1" s="1"/>
  <c r="H2" i="4"/>
  <c r="D15" i="1"/>
  <c r="J2" i="5"/>
  <c r="D14" i="1"/>
  <c r="J2" i="4"/>
  <c r="O39" i="1"/>
  <c r="D40" i="1"/>
  <c r="O34" i="1"/>
  <c r="O32" i="1"/>
  <c r="O30" i="1"/>
  <c r="O31" i="1"/>
  <c r="O29" i="1"/>
  <c r="O33" i="1"/>
  <c r="J2" i="8"/>
  <c r="D18" i="1"/>
  <c r="H2" i="8"/>
  <c r="E18" i="1"/>
  <c r="F18" i="1" s="1"/>
  <c r="F53" i="1"/>
  <c r="E53" i="1"/>
  <c r="F52" i="1"/>
  <c r="E52" i="1"/>
  <c r="F51" i="1"/>
  <c r="E51" i="1"/>
  <c r="E50" i="1"/>
  <c r="F50" i="1"/>
  <c r="F49" i="1"/>
  <c r="E49" i="1"/>
  <c r="F48" i="1"/>
  <c r="E48" i="1"/>
  <c r="E47" i="1"/>
  <c r="F47" i="1"/>
  <c r="F46" i="1"/>
  <c r="E46" i="1"/>
  <c r="E45" i="1"/>
  <c r="F45" i="1"/>
  <c r="F44" i="1"/>
  <c r="E44" i="1"/>
  <c r="O38" i="1"/>
  <c r="C40" i="1"/>
  <c r="E9" i="1"/>
  <c r="D13" i="1"/>
  <c r="E13" i="1"/>
  <c r="H9" i="1"/>
  <c r="B9" i="1"/>
  <c r="C13" i="1"/>
  <c r="N9" i="1"/>
  <c r="F23" i="1"/>
  <c r="D25" i="1" l="1"/>
  <c r="F15" i="1"/>
  <c r="O40" i="1"/>
  <c r="K9" i="1"/>
  <c r="H13" i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E25" i="1"/>
  <c r="F13" i="1"/>
  <c r="G13" i="1"/>
  <c r="C25" i="1"/>
  <c r="J25" i="1" s="1"/>
  <c r="F25" i="1" l="1"/>
  <c r="I13" i="1"/>
  <c r="G14" i="1"/>
  <c r="I14" i="1" s="1"/>
  <c r="G15" i="1" l="1"/>
  <c r="I15" i="1" l="1"/>
  <c r="G16" i="1"/>
  <c r="I16" i="1" l="1"/>
  <c r="G17" i="1"/>
  <c r="I17" i="1" l="1"/>
  <c r="G18" i="1"/>
  <c r="I18" i="1" l="1"/>
  <c r="G19" i="1"/>
  <c r="I19" i="1" l="1"/>
  <c r="G20" i="1"/>
  <c r="I20" i="1" l="1"/>
  <c r="G21" i="1"/>
  <c r="I21" i="1" l="1"/>
  <c r="G22" i="1"/>
  <c r="I22" i="1" l="1"/>
  <c r="G23" i="1"/>
  <c r="I23" i="1" l="1"/>
  <c r="G24" i="1"/>
  <c r="I24" i="1" l="1"/>
  <c r="I25" i="1" s="1"/>
  <c r="G2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Kyle Mahoney</author>
  </authors>
  <commentList>
    <comment ref="L5" authorId="0" shapeId="0" xr:uid="{00000000-0006-0000-0200-000001000000}">
      <text>
        <r>
          <rPr>
            <sz val="11"/>
            <color theme="1"/>
            <rFont val="Calibri"/>
            <family val="2"/>
            <charset val="1"/>
          </rPr>
          <t>Completed: 01/08/2026</t>
        </r>
      </text>
    </comment>
    <comment ref="L6" authorId="0" shapeId="0" xr:uid="{00000000-0006-0000-0200-000002000000}">
      <text>
        <r>
          <rPr>
            <sz val="11"/>
            <color theme="1"/>
            <rFont val="Calibri"/>
            <family val="2"/>
            <charset val="1"/>
          </rPr>
          <t>Completed: 01/08/2026</t>
        </r>
      </text>
    </comment>
    <comment ref="M6" authorId="0" shapeId="0" xr:uid="{E0720D23-D42A-4E20-8185-2D0D0D0E6487}">
      <text>
        <r>
          <rPr>
            <sz val="9"/>
            <color indexed="81"/>
            <rFont val="Tahoma"/>
            <charset val="1"/>
          </rPr>
          <t>Completed: 03/02/2026</t>
        </r>
      </text>
    </comment>
    <comment ref="N6" authorId="0" shapeId="0" xr:uid="{00000000-0006-0000-0200-000003000000}">
      <text>
        <r>
          <rPr>
            <sz val="11"/>
            <color theme="1"/>
            <rFont val="Calibri"/>
            <family val="2"/>
            <charset val="1"/>
          </rPr>
          <t>Completed: 01/12/2026</t>
        </r>
      </text>
    </comment>
    <comment ref="O6" authorId="0" shapeId="0" xr:uid="{00000000-0006-0000-0200-000004000000}">
      <text>
        <r>
          <rPr>
            <sz val="11"/>
            <color theme="1"/>
            <rFont val="Calibri"/>
            <family val="2"/>
            <charset val="1"/>
          </rPr>
          <t>Completed: 01/21/2026</t>
        </r>
      </text>
    </comment>
    <comment ref="L7" authorId="0" shapeId="0" xr:uid="{00000000-0006-0000-0200-000005000000}">
      <text>
        <r>
          <rPr>
            <sz val="11"/>
            <color theme="1"/>
            <rFont val="Calibri"/>
            <family val="2"/>
            <charset val="1"/>
          </rPr>
          <t>Completed: 01/15/2026</t>
        </r>
      </text>
    </comment>
    <comment ref="J8" authorId="0" shapeId="0" xr:uid="{00000000-0006-0000-0200-000006000000}">
      <text>
        <r>
          <rPr>
            <sz val="11"/>
            <color theme="1"/>
            <rFont val="Calibri"/>
            <family val="2"/>
            <charset val="1"/>
          </rPr>
          <t>Completed: 02/26/2026</t>
        </r>
      </text>
    </comment>
    <comment ref="L8" authorId="0" shapeId="0" xr:uid="{00000000-0006-0000-0200-000007000000}">
      <text>
        <r>
          <rPr>
            <sz val="11"/>
            <color theme="1"/>
            <rFont val="Calibri"/>
            <family val="2"/>
            <charset val="1"/>
          </rPr>
          <t>Completed: 01/22/2026</t>
        </r>
      </text>
    </comment>
    <comment ref="N8" authorId="0" shapeId="0" xr:uid="{00000000-0006-0000-0200-000008000000}">
      <text>
        <r>
          <rPr>
            <sz val="11"/>
            <color theme="1"/>
            <rFont val="Calibri"/>
            <family val="2"/>
            <charset val="1"/>
          </rPr>
          <t>Completed: 02/09/2026</t>
        </r>
      </text>
    </comment>
    <comment ref="L9" authorId="0" shapeId="0" xr:uid="{00000000-0006-0000-0200-000009000000}">
      <text>
        <r>
          <rPr>
            <sz val="11"/>
            <color theme="1"/>
            <rFont val="Calibri"/>
            <family val="2"/>
            <charset val="1"/>
          </rPr>
          <t>Completed: 01/22/2026</t>
        </r>
      </text>
    </comment>
    <comment ref="N9" authorId="0" shapeId="0" xr:uid="{290F9813-6722-4A65-89BA-B8E1100BE843}">
      <text>
        <r>
          <rPr>
            <sz val="9"/>
            <color indexed="81"/>
            <rFont val="Tahoma"/>
          </rPr>
          <t>Completed: 01/12/2026</t>
        </r>
      </text>
    </comment>
    <comment ref="L10" authorId="0" shapeId="0" xr:uid="{00000000-0006-0000-0200-00000A000000}">
      <text>
        <r>
          <rPr>
            <sz val="11"/>
            <color theme="1"/>
            <rFont val="Calibri"/>
            <family val="2"/>
            <charset val="1"/>
          </rPr>
          <t>Completed: 01/15/2026</t>
        </r>
      </text>
    </comment>
    <comment ref="N10" authorId="0" shapeId="0" xr:uid="{00000000-0006-0000-0200-00000B000000}">
      <text>
        <r>
          <rPr>
            <sz val="11"/>
            <color theme="1"/>
            <rFont val="Calibri"/>
            <family val="2"/>
            <charset val="1"/>
          </rPr>
          <t>Completed: 01/30/2026</t>
        </r>
      </text>
    </comment>
    <comment ref="O10" authorId="0" shapeId="0" xr:uid="{00000000-0006-0000-0200-00000C000000}">
      <text>
        <r>
          <rPr>
            <sz val="11"/>
            <color theme="1"/>
            <rFont val="Calibri"/>
            <family val="2"/>
            <charset val="1"/>
          </rPr>
          <t>Completed: 01/21/2026</t>
        </r>
      </text>
    </comment>
    <comment ref="L13" authorId="0" shapeId="0" xr:uid="{00000000-0006-0000-0200-00000D000000}">
      <text>
        <r>
          <rPr>
            <sz val="11"/>
            <color theme="1"/>
            <rFont val="Calibri"/>
            <family val="2"/>
            <charset val="1"/>
          </rPr>
          <t>Completed: 01/22/2026</t>
        </r>
      </text>
    </comment>
    <comment ref="M13" authorId="0" shapeId="0" xr:uid="{64554FF4-EC3D-4315-BF2D-A2FF30F2EDC3}">
      <text>
        <r>
          <rPr>
            <sz val="9"/>
            <color indexed="81"/>
            <rFont val="Tahoma"/>
            <charset val="1"/>
          </rPr>
          <t>Completed: 05/11/2023</t>
        </r>
      </text>
    </comment>
    <comment ref="N13" authorId="0" shapeId="0" xr:uid="{F2406F3F-4CA9-4AF4-9479-D04C72B80902}">
      <text>
        <r>
          <rPr>
            <sz val="9"/>
            <color indexed="81"/>
            <rFont val="Tahoma"/>
            <family val="2"/>
          </rPr>
          <t>Completed: 02/07/2026</t>
        </r>
      </text>
    </comment>
    <comment ref="L14" authorId="0" shapeId="0" xr:uid="{EF3B3C8D-CEF3-4493-BBB2-567487E1B16B}">
      <text>
        <r>
          <rPr>
            <sz val="9"/>
            <color indexed="81"/>
            <rFont val="Tahoma"/>
          </rPr>
          <t>Completed: 02/12/2026</t>
        </r>
      </text>
    </comment>
    <comment ref="O14" authorId="0" shapeId="0" xr:uid="{4FDB0E1A-E72D-4934-B642-60CD96C68BB9}">
      <text>
        <r>
          <rPr>
            <sz val="9"/>
            <color indexed="81"/>
            <rFont val="Tahoma"/>
          </rPr>
          <t>Completed: 03/18/2026</t>
        </r>
      </text>
    </comment>
    <comment ref="L15" authorId="0" shapeId="0" xr:uid="{E9CAA021-5D28-4506-9198-4D2CF41CB9BA}">
      <text>
        <r>
          <rPr>
            <sz val="9"/>
            <color indexed="81"/>
            <rFont val="Tahoma"/>
          </rPr>
          <t>Completed: 08/29/2024</t>
        </r>
      </text>
    </comment>
    <comment ref="N15" authorId="0" shapeId="0" xr:uid="{00000000-0006-0000-0200-00000E000000}">
      <text>
        <r>
          <rPr>
            <sz val="11"/>
            <color theme="1"/>
            <rFont val="Calibri"/>
            <family val="2"/>
            <charset val="1"/>
          </rPr>
          <t>Completed: 02/09/2026</t>
        </r>
      </text>
    </comment>
    <comment ref="L17" authorId="0" shapeId="0" xr:uid="{00000000-0006-0000-0200-00000F000000}">
      <text>
        <r>
          <rPr>
            <sz val="11"/>
            <color theme="1"/>
            <rFont val="Calibri"/>
            <family val="2"/>
            <charset val="1"/>
          </rPr>
          <t>Completed: 02/12/2026</t>
        </r>
      </text>
    </comment>
    <comment ref="N17" authorId="0" shapeId="0" xr:uid="{00000000-0006-0000-0200-000010000000}">
      <text>
        <r>
          <rPr>
            <sz val="11"/>
            <color theme="1"/>
            <rFont val="Calibri"/>
            <family val="2"/>
            <charset val="1"/>
          </rPr>
          <t>Completed: 02/09/2026</t>
        </r>
      </text>
    </comment>
    <comment ref="O17" authorId="0" shapeId="0" xr:uid="{00000000-0006-0000-0200-000011000000}">
      <text>
        <r>
          <rPr>
            <sz val="11"/>
            <color theme="1"/>
            <rFont val="Calibri"/>
            <family val="2"/>
            <charset val="1"/>
          </rPr>
          <t>Completed: 02/18/2026</t>
        </r>
      </text>
    </comment>
    <comment ref="K26" authorId="0" shapeId="0" xr:uid="{743B8676-32A4-43C8-B5BD-D3F05D0F7BF5}">
      <text>
        <r>
          <rPr>
            <sz val="9"/>
            <color indexed="81"/>
            <rFont val="Tahoma"/>
          </rPr>
          <t>Completed: 05/09/2025</t>
        </r>
      </text>
    </comment>
    <comment ref="J27" authorId="0" shapeId="0" xr:uid="{00000000-0006-0000-0200-000012000000}">
      <text>
        <r>
          <rPr>
            <sz val="11"/>
            <color theme="1"/>
            <rFont val="Calibri"/>
            <family val="2"/>
            <charset val="1"/>
          </rPr>
          <t>Completed: 01/12/2026</t>
        </r>
      </text>
    </comment>
    <comment ref="K27" authorId="0" shapeId="0" xr:uid="{12A254EB-871C-49ED-B16E-7B358B303BCD}">
      <text>
        <r>
          <rPr>
            <sz val="9"/>
            <color indexed="81"/>
            <rFont val="Tahoma"/>
          </rPr>
          <t>Completed: 01/12/2026</t>
        </r>
      </text>
    </comment>
    <comment ref="L27" authorId="0" shapeId="0" xr:uid="{1EB0947F-6A98-43F2-8F5F-9931640C0424}">
      <text>
        <r>
          <rPr>
            <sz val="9"/>
            <color indexed="81"/>
            <rFont val="Tahoma"/>
          </rPr>
          <t>Completed: 01/21/2026</t>
        </r>
      </text>
    </comment>
    <comment ref="J28" authorId="0" shapeId="0" xr:uid="{00000000-0006-0000-0200-000014000000}">
      <text>
        <r>
          <rPr>
            <sz val="11"/>
            <color theme="1"/>
            <rFont val="Calibri"/>
            <family val="2"/>
            <charset val="1"/>
          </rPr>
          <t>Completed: 01/12/2026</t>
        </r>
      </text>
    </comment>
    <comment ref="K28" authorId="0" shapeId="0" xr:uid="{8B5A287B-8D18-4720-9325-100CB9342CB1}">
      <text>
        <r>
          <rPr>
            <sz val="9"/>
            <color indexed="81"/>
            <rFont val="Tahoma"/>
          </rPr>
          <t>Completed: 01/12/2026</t>
        </r>
      </text>
    </comment>
    <comment ref="L28" authorId="0" shapeId="0" xr:uid="{2AC8E1A8-94A8-4B90-89B5-F4B62F146E0E}">
      <text>
        <r>
          <rPr>
            <sz val="9"/>
            <color indexed="81"/>
            <rFont val="Tahoma"/>
          </rPr>
          <t>Completed: 01/21/2026</t>
        </r>
      </text>
    </comment>
    <comment ref="K30" authorId="0" shapeId="0" xr:uid="{E9F9D7C0-837C-4AE1-9EEF-987D04909F14}">
      <text>
        <r>
          <rPr>
            <sz val="9"/>
            <color indexed="81"/>
            <rFont val="Tahoma"/>
          </rPr>
          <t>Completed: 10/10/2025</t>
        </r>
      </text>
    </comment>
    <comment ref="L30" authorId="0" shapeId="0" xr:uid="{141A50EC-8EF1-4C4E-8D1C-DEB2D7D4F80A}">
      <text>
        <r>
          <rPr>
            <sz val="9"/>
            <color indexed="81"/>
            <rFont val="Tahoma"/>
          </rPr>
          <t>Completed: 11/19/2025</t>
        </r>
      </text>
    </comment>
    <comment ref="J31" authorId="0" shapeId="0" xr:uid="{00000000-0006-0000-0200-000017000000}">
      <text>
        <r>
          <rPr>
            <sz val="11"/>
            <color theme="1"/>
            <rFont val="Calibri"/>
            <family val="2"/>
            <charset val="1"/>
          </rPr>
          <t>Completed: 01/12/2026</t>
        </r>
      </text>
    </comment>
    <comment ref="K31" authorId="0" shapeId="0" xr:uid="{46DDD4EC-8C1C-4338-8A92-E6E6BD4AC275}">
      <text>
        <r>
          <rPr>
            <sz val="9"/>
            <color indexed="81"/>
            <rFont val="Tahoma"/>
          </rPr>
          <t>Completed: 01/12/2026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Kyle Mahoney</author>
  </authors>
  <commentList>
    <comment ref="L5" authorId="0" shapeId="0" xr:uid="{00000000-0006-0000-0300-000001000000}">
      <text>
        <r>
          <rPr>
            <sz val="11"/>
            <color theme="1"/>
            <rFont val="Calibri"/>
            <family val="2"/>
            <charset val="1"/>
          </rPr>
          <t>Completed: 02/12/2026</t>
        </r>
      </text>
    </comment>
    <comment ref="N5" authorId="0" shapeId="0" xr:uid="{00000000-0006-0000-0300-000002000000}">
      <text>
        <r>
          <rPr>
            <sz val="11"/>
            <color theme="1"/>
            <rFont val="Calibri"/>
            <family val="2"/>
            <charset val="1"/>
          </rPr>
          <t>Completed: 02/09/2026</t>
        </r>
      </text>
    </comment>
    <comment ref="O5" authorId="0" shapeId="0" xr:uid="{00000000-0006-0000-0300-000003000000}">
      <text>
        <r>
          <rPr>
            <sz val="11"/>
            <color theme="1"/>
            <rFont val="Calibri"/>
            <family val="2"/>
            <charset val="1"/>
          </rPr>
          <t>Completed: 02/18/2026</t>
        </r>
      </text>
    </comment>
    <comment ref="L6" authorId="0" shapeId="0" xr:uid="{A0AB0F97-4A2A-47B3-9FB4-7FE25FA835BB}">
      <text>
        <r>
          <rPr>
            <sz val="9"/>
            <color indexed="81"/>
            <rFont val="Tahoma"/>
          </rPr>
          <t>Completed: 01/31/2025</t>
        </r>
      </text>
    </comment>
    <comment ref="M6" authorId="0" shapeId="0" xr:uid="{933BE3CB-3EBE-4CB4-9543-B07E72A65883}">
      <text>
        <r>
          <rPr>
            <sz val="9"/>
            <color indexed="81"/>
            <rFont val="Tahoma"/>
          </rPr>
          <t>Completed: 11/05/2024</t>
        </r>
      </text>
    </comment>
    <comment ref="N6" authorId="0" shapeId="0" xr:uid="{AE520364-3A5D-4F47-A44A-C39A84CBFED0}">
      <text>
        <r>
          <rPr>
            <sz val="9"/>
            <color indexed="81"/>
            <rFont val="Tahoma"/>
            <family val="2"/>
          </rPr>
          <t>Completed: 02/09/2026</t>
        </r>
      </text>
    </comment>
    <comment ref="O6" authorId="0" shapeId="0" xr:uid="{76ABCDA1-B60F-4B3A-9C9B-827D30AEF9DA}">
      <text>
        <r>
          <rPr>
            <sz val="9"/>
            <color indexed="81"/>
            <rFont val="Tahoma"/>
            <family val="2"/>
          </rPr>
          <t>Completed: 02/18/2026</t>
        </r>
      </text>
    </comment>
    <comment ref="L7" authorId="0" shapeId="0" xr:uid="{00000000-0006-0000-0300-000004000000}">
      <text>
        <r>
          <rPr>
            <sz val="11"/>
            <color theme="1"/>
            <rFont val="Calibri"/>
            <family val="2"/>
            <charset val="1"/>
          </rPr>
          <t>Completed: 02/12/2026</t>
        </r>
      </text>
    </comment>
    <comment ref="L8" authorId="0" shapeId="0" xr:uid="{00000000-0006-0000-0300-000005000000}">
      <text>
        <r>
          <rPr>
            <sz val="11"/>
            <color theme="1"/>
            <rFont val="Calibri"/>
            <family val="2"/>
            <charset val="1"/>
          </rPr>
          <t>Completed: 02/12/2026</t>
        </r>
      </text>
    </comment>
    <comment ref="O8" authorId="0" shapeId="0" xr:uid="{9B5947C3-5A4B-420F-AB49-5F84B6EE379A}">
      <text>
        <r>
          <rPr>
            <sz val="9"/>
            <color indexed="81"/>
            <rFont val="Tahoma"/>
            <charset val="1"/>
          </rPr>
          <t>Completed: 02/18/2026</t>
        </r>
      </text>
    </comment>
    <comment ref="K10" authorId="0" shapeId="0" xr:uid="{00000000-0006-0000-0300-000006000000}">
      <text>
        <r>
          <rPr>
            <sz val="11"/>
            <color theme="1"/>
            <rFont val="Calibri"/>
            <family val="2"/>
            <charset val="1"/>
          </rPr>
          <t>Completed: 02/26/2026</t>
        </r>
      </text>
    </comment>
    <comment ref="L10" authorId="0" shapeId="0" xr:uid="{00000000-0006-0000-0300-000007000000}">
      <text>
        <r>
          <rPr>
            <sz val="11"/>
            <color theme="1"/>
            <rFont val="Calibri"/>
            <family val="2"/>
            <charset val="1"/>
          </rPr>
          <t>Completed: 02/19/2026</t>
        </r>
      </text>
    </comment>
    <comment ref="N10" authorId="0" shapeId="0" xr:uid="{3D6866AA-FCA7-4E19-9781-774476F57DE1}">
      <text>
        <r>
          <rPr>
            <sz val="9"/>
            <color indexed="81"/>
            <rFont val="Tahoma"/>
            <family val="2"/>
          </rPr>
          <t>Completed: 02/27/2026</t>
        </r>
      </text>
    </comment>
    <comment ref="L11" authorId="0" shapeId="0" xr:uid="{228745C9-12DC-4DF4-8A2F-59748D332B2A}">
      <text>
        <r>
          <rPr>
            <sz val="9"/>
            <color indexed="81"/>
            <rFont val="Tahoma"/>
            <charset val="1"/>
          </rPr>
          <t>Completed: 02/17/2026</t>
        </r>
      </text>
    </comment>
    <comment ref="L12" authorId="0" shapeId="0" xr:uid="{4F01845F-2AB6-4310-B588-6A9CBBF594BA}">
      <text>
        <r>
          <rPr>
            <sz val="9"/>
            <color indexed="81"/>
            <rFont val="Tahoma"/>
            <family val="2"/>
          </rPr>
          <t>Completed: 02/26/2026</t>
        </r>
      </text>
    </comment>
    <comment ref="I13" authorId="0" shapeId="0" xr:uid="{00000000-0006-0000-0300-00000A000000}">
      <text>
        <r>
          <rPr>
            <sz val="11"/>
            <color theme="1"/>
            <rFont val="Calibri"/>
            <family val="2"/>
            <charset val="1"/>
          </rPr>
          <t>Completed: 02/27/2026</t>
        </r>
      </text>
    </comment>
    <comment ref="K13" authorId="0" shapeId="0" xr:uid="{00000000-0006-0000-0300-00000B000000}">
      <text>
        <r>
          <rPr>
            <sz val="11"/>
            <color theme="1"/>
            <rFont val="Calibri"/>
            <family val="2"/>
            <charset val="1"/>
          </rPr>
          <t>Completed: 02/26/2026</t>
        </r>
      </text>
    </comment>
    <comment ref="L13" authorId="0" shapeId="0" xr:uid="{D4D4B3DB-9679-4666-8DAA-DAFD8167D2D2}">
      <text>
        <r>
          <rPr>
            <sz val="9"/>
            <color indexed="81"/>
            <rFont val="Tahoma"/>
            <family val="2"/>
          </rPr>
          <t>Completed: 02/26/2026</t>
        </r>
      </text>
    </comment>
    <comment ref="N13" authorId="0" shapeId="0" xr:uid="{CFB2D56B-5FC1-4FDC-9D63-A3E244B7AA26}">
      <text>
        <r>
          <rPr>
            <sz val="9"/>
            <color indexed="81"/>
            <rFont val="Tahoma"/>
            <family val="2"/>
          </rPr>
          <t>Completed: 02/27/2026</t>
        </r>
      </text>
    </comment>
    <comment ref="L14" authorId="0" shapeId="0" xr:uid="{00000000-0006-0000-0300-00000E000000}">
      <text>
        <r>
          <rPr>
            <sz val="11"/>
            <color theme="1"/>
            <rFont val="Calibri"/>
            <family val="2"/>
            <charset val="1"/>
          </rPr>
          <t>Completed: 02/19/2026</t>
        </r>
      </text>
    </comment>
    <comment ref="N14" authorId="0" shapeId="0" xr:uid="{3561920D-E293-4F25-BACA-7AB6FE2E69B1}">
      <text>
        <r>
          <rPr>
            <sz val="9"/>
            <color indexed="81"/>
            <rFont val="Tahoma"/>
            <family val="2"/>
          </rPr>
          <t>Completed: 02/27/2026</t>
        </r>
      </text>
    </comment>
    <comment ref="K15" authorId="0" shapeId="0" xr:uid="{00000000-0006-0000-0300-000010000000}">
      <text>
        <r>
          <rPr>
            <sz val="11"/>
            <color theme="1"/>
            <rFont val="Calibri"/>
            <family val="2"/>
            <charset val="1"/>
          </rPr>
          <t>Completed: 02/26/2026</t>
        </r>
      </text>
    </comment>
    <comment ref="N15" authorId="0" shapeId="0" xr:uid="{00000000-0006-0000-0300-000011000000}">
      <text>
        <r>
          <rPr>
            <sz val="11"/>
            <color theme="1"/>
            <rFont val="Calibri"/>
            <family val="2"/>
            <charset val="1"/>
          </rPr>
          <t>Completed: 02/27/2026</t>
        </r>
      </text>
    </comment>
    <comment ref="K16" authorId="0" shapeId="0" xr:uid="{00000000-0006-0000-0300-000012000000}">
      <text>
        <r>
          <rPr>
            <sz val="11"/>
            <color theme="1"/>
            <rFont val="Calibri"/>
            <family val="2"/>
            <charset val="1"/>
          </rPr>
          <t>Completed: 02/26/2026</t>
        </r>
      </text>
    </comment>
    <comment ref="L16" authorId="0" shapeId="0" xr:uid="{00000000-0006-0000-0300-000013000000}">
      <text>
        <r>
          <rPr>
            <sz val="11"/>
            <color theme="1"/>
            <rFont val="Calibri"/>
            <family val="2"/>
            <charset val="1"/>
          </rPr>
          <t>Completed: 02/19/2026</t>
        </r>
      </text>
    </comment>
    <comment ref="N16" authorId="0" shapeId="0" xr:uid="{99931234-A646-4171-B70B-EF5791955D7D}">
      <text>
        <r>
          <rPr>
            <sz val="9"/>
            <color indexed="81"/>
            <rFont val="Tahoma"/>
            <charset val="1"/>
          </rPr>
          <t>Completed: 02/26/2026</t>
        </r>
      </text>
    </comment>
    <comment ref="O16" authorId="0" shapeId="0" xr:uid="{6BA7BA1F-CE4F-4139-AE31-648923D48B0B}">
      <text>
        <r>
          <rPr>
            <sz val="9"/>
            <color indexed="81"/>
            <rFont val="Tahoma"/>
            <family val="2"/>
          </rPr>
          <t>Completed: 03/18/2026</t>
        </r>
      </text>
    </comment>
    <comment ref="K17" authorId="0" shapeId="0" xr:uid="{00000000-0006-0000-0300-000014000000}">
      <text>
        <r>
          <rPr>
            <sz val="11"/>
            <color theme="1"/>
            <rFont val="Calibri"/>
            <family val="2"/>
            <charset val="1"/>
          </rPr>
          <t>Completed: 02/26/2026</t>
        </r>
      </text>
    </comment>
    <comment ref="L17" authorId="0" shapeId="0" xr:uid="{AFCD3E38-77ED-47CE-A632-56497D79BE73}">
      <text>
        <r>
          <rPr>
            <sz val="9"/>
            <color indexed="81"/>
            <rFont val="Tahoma"/>
            <family val="2"/>
          </rPr>
          <t>Completed: 02/26/2026</t>
        </r>
      </text>
    </comment>
    <comment ref="N17" authorId="0" shapeId="0" xr:uid="{0F14FFB5-4BF9-4374-A459-0BF331A014F8}">
      <text>
        <r>
          <rPr>
            <sz val="9"/>
            <color indexed="81"/>
            <rFont val="Tahoma"/>
            <family val="2"/>
          </rPr>
          <t>Completed: 02/27/2026</t>
        </r>
      </text>
    </comment>
    <comment ref="O17" authorId="0" shapeId="0" xr:uid="{D6D8FECE-F4FC-4B61-8A69-7119771D75BA}">
      <text>
        <r>
          <rPr>
            <sz val="9"/>
            <color indexed="81"/>
            <rFont val="Tahoma"/>
            <family val="2"/>
          </rPr>
          <t>Completed: 03/18/2026</t>
        </r>
      </text>
    </comment>
    <comment ref="K18" authorId="0" shapeId="0" xr:uid="{00000000-0006-0000-0300-000017000000}">
      <text>
        <r>
          <rPr>
            <sz val="11"/>
            <color theme="1"/>
            <rFont val="Calibri"/>
            <family val="2"/>
            <charset val="1"/>
          </rPr>
          <t>Completed: 02/26/2026</t>
        </r>
      </text>
    </comment>
    <comment ref="L18" authorId="0" shapeId="0" xr:uid="{33F00A42-8ABE-465B-A77A-06DD6783048B}">
      <text>
        <r>
          <rPr>
            <sz val="9"/>
            <color indexed="81"/>
            <rFont val="Tahoma"/>
            <family val="2"/>
          </rPr>
          <t>Completed: 02/26/2026</t>
        </r>
      </text>
    </comment>
    <comment ref="M18" authorId="0" shapeId="0" xr:uid="{5EA61E40-5FF2-407A-86D9-A502B2F4EF99}">
      <text>
        <r>
          <rPr>
            <sz val="9"/>
            <color indexed="81"/>
            <rFont val="Tahoma"/>
          </rPr>
          <t>Completed: 09/18/2025</t>
        </r>
      </text>
    </comment>
    <comment ref="N18" authorId="0" shapeId="0" xr:uid="{9A1CAE6B-350A-4F08-9041-7D137DAAA974}">
      <text>
        <r>
          <rPr>
            <sz val="9"/>
            <color indexed="81"/>
            <rFont val="Tahoma"/>
            <family val="2"/>
          </rPr>
          <t>Completed: 02/27/2026</t>
        </r>
      </text>
    </comment>
    <comment ref="O18" authorId="0" shapeId="0" xr:uid="{92E4788E-9A6D-42EC-ADB5-368D773947E3}">
      <text>
        <r>
          <rPr>
            <sz val="9"/>
            <color indexed="81"/>
            <rFont val="Tahoma"/>
            <family val="2"/>
          </rPr>
          <t>Completed: 03/18/2026</t>
        </r>
      </text>
    </comment>
    <comment ref="K19" authorId="0" shapeId="0" xr:uid="{00000000-0006-0000-0300-00001A000000}">
      <text>
        <r>
          <rPr>
            <sz val="11"/>
            <color theme="1"/>
            <rFont val="Calibri"/>
            <family val="2"/>
            <charset val="1"/>
          </rPr>
          <t>Completed: 02/26/2026</t>
        </r>
      </text>
    </comment>
    <comment ref="L19" authorId="0" shapeId="0" xr:uid="{B0566145-A97C-4041-A081-8ADCDA92845B}">
      <text>
        <r>
          <rPr>
            <sz val="9"/>
            <color indexed="81"/>
            <rFont val="Tahoma"/>
            <family val="2"/>
          </rPr>
          <t>Completed: 02/26/2026</t>
        </r>
      </text>
    </comment>
    <comment ref="N19" authorId="0" shapeId="0" xr:uid="{C0112CB8-8574-4556-8F26-B2CA8124CC0D}">
      <text>
        <r>
          <rPr>
            <sz val="9"/>
            <color indexed="81"/>
            <rFont val="Tahoma"/>
            <family val="2"/>
          </rPr>
          <t>Completed: 02/27/2026</t>
        </r>
      </text>
    </comment>
    <comment ref="K20" authorId="0" shapeId="0" xr:uid="{00000000-0006-0000-0300-00001D000000}">
      <text>
        <r>
          <rPr>
            <sz val="11"/>
            <color theme="1"/>
            <rFont val="Calibri"/>
            <family val="2"/>
            <charset val="1"/>
          </rPr>
          <t>Completed: 02/26/2026</t>
        </r>
      </text>
    </comment>
    <comment ref="L20" authorId="0" shapeId="0" xr:uid="{CE46F7C3-DA73-4985-B5C9-909AE046D514}">
      <text>
        <r>
          <rPr>
            <sz val="9"/>
            <color indexed="81"/>
            <rFont val="Tahoma"/>
            <family val="2"/>
          </rPr>
          <t>Completed: 02/26/2026</t>
        </r>
      </text>
    </comment>
    <comment ref="N20" authorId="0" shapeId="0" xr:uid="{EA3C3759-D021-455B-B7BE-0FFDBF92FD86}">
      <text>
        <r>
          <rPr>
            <sz val="9"/>
            <color indexed="81"/>
            <rFont val="Tahoma"/>
            <family val="2"/>
          </rPr>
          <t>Completed: 02/27/2026</t>
        </r>
      </text>
    </comment>
    <comment ref="O20" authorId="0" shapeId="0" xr:uid="{0BEF4617-DA21-40FE-BBE7-9CC6E4E0EB67}">
      <text>
        <r>
          <rPr>
            <sz val="9"/>
            <color indexed="81"/>
            <rFont val="Tahoma"/>
            <family val="2"/>
          </rPr>
          <t>Completed: 03/18/2026</t>
        </r>
      </text>
    </comment>
    <comment ref="L21" authorId="0" shapeId="0" xr:uid="{6BCF6ECE-BDBF-4A3E-AE79-008267EF4C72}">
      <text>
        <r>
          <rPr>
            <sz val="9"/>
            <color indexed="81"/>
            <rFont val="Tahoma"/>
            <family val="2"/>
          </rPr>
          <t>Completed: 03/05/2026</t>
        </r>
      </text>
    </comment>
    <comment ref="O21" authorId="0" shapeId="0" xr:uid="{02304A92-C82D-4441-9D0E-DE4762319521}">
      <text>
        <r>
          <rPr>
            <sz val="9"/>
            <color indexed="81"/>
            <rFont val="Tahoma"/>
            <family val="2"/>
          </rPr>
          <t>Completed: 03/18/2026</t>
        </r>
      </text>
    </comment>
    <comment ref="L22" authorId="0" shapeId="0" xr:uid="{6412CE2E-0FFF-4C90-83BD-A69CFCDEE022}">
      <text>
        <r>
          <rPr>
            <sz val="9"/>
            <color indexed="81"/>
            <rFont val="Tahoma"/>
          </rPr>
          <t>Completed: 07/11/2024</t>
        </r>
      </text>
    </comment>
    <comment ref="L23" authorId="0" shapeId="0" xr:uid="{6BE33274-E94F-479A-89F7-577564090FC2}">
      <text>
        <r>
          <rPr>
            <sz val="9"/>
            <color indexed="81"/>
            <rFont val="Tahoma"/>
            <family val="2"/>
          </rPr>
          <t>Completed: 03/05/2026</t>
        </r>
      </text>
    </comment>
    <comment ref="O23" authorId="0" shapeId="0" xr:uid="{C283CB19-3BBE-4587-874A-3797F85B66DA}">
      <text>
        <r>
          <rPr>
            <sz val="9"/>
            <color indexed="81"/>
            <rFont val="Tahoma"/>
          </rPr>
          <t>Completed: 03/18/2026</t>
        </r>
      </text>
    </comment>
    <comment ref="L24" authorId="0" shapeId="0" xr:uid="{A6D22E23-FE36-45D6-AAD9-B5FB5F6884D4}">
      <text>
        <r>
          <rPr>
            <sz val="9"/>
            <color indexed="81"/>
            <rFont val="Tahoma"/>
            <family val="2"/>
          </rPr>
          <t>Completed: 03/05/2026</t>
        </r>
      </text>
    </comment>
    <comment ref="O24" authorId="0" shapeId="0" xr:uid="{27CE28E9-F46D-45FA-95B6-BC7EE439C766}">
      <text>
        <r>
          <rPr>
            <sz val="9"/>
            <color indexed="81"/>
            <rFont val="Tahoma"/>
            <family val="2"/>
          </rPr>
          <t>Completed: 03/18/2026</t>
        </r>
      </text>
    </comment>
    <comment ref="J37" authorId="0" shapeId="0" xr:uid="{00000000-0006-0000-0300-000020000000}">
      <text>
        <r>
          <rPr>
            <sz val="11"/>
            <color theme="1"/>
            <rFont val="Calibri"/>
            <family val="2"/>
            <charset val="1"/>
          </rPr>
          <t>Completed: 02/27/2026</t>
        </r>
      </text>
    </comment>
    <comment ref="K37" authorId="0" shapeId="0" xr:uid="{C1F72F79-FD1B-46FF-83C7-7F6759BF9FBF}">
      <text>
        <r>
          <rPr>
            <sz val="9"/>
            <color indexed="81"/>
            <rFont val="Tahoma"/>
            <family val="2"/>
          </rPr>
          <t>Completed: 02/27/2026</t>
        </r>
      </text>
    </comment>
    <comment ref="K42" authorId="0" shapeId="0" xr:uid="{00000000-0006-0000-0300-000021000000}">
      <text>
        <r>
          <rPr>
            <sz val="11"/>
            <color theme="1"/>
            <rFont val="Calibri"/>
            <family val="2"/>
            <charset val="1"/>
          </rPr>
          <t>Completed: 01/21/2026</t>
        </r>
      </text>
    </comment>
    <comment ref="L42" authorId="0" shapeId="0" xr:uid="{0135E126-74D5-453C-BC99-792772F78792}">
      <text>
        <r>
          <rPr>
            <sz val="9"/>
            <color indexed="81"/>
            <rFont val="Tahoma"/>
          </rPr>
          <t>Completed: 01/21/2026</t>
        </r>
      </text>
    </comment>
    <comment ref="K43" authorId="0" shapeId="0" xr:uid="{18BC35B2-A9B9-469C-860B-E032D8A97416}">
      <text>
        <r>
          <rPr>
            <sz val="9"/>
            <color indexed="81"/>
            <rFont val="Tahoma"/>
          </rPr>
          <t>Completed: 04/11/2025</t>
        </r>
      </text>
    </comment>
    <comment ref="L43" authorId="0" shapeId="0" xr:uid="{1006F1D6-292F-49E7-BBC3-46DACA7A59AC}">
      <text>
        <r>
          <rPr>
            <sz val="9"/>
            <color indexed="81"/>
            <rFont val="Tahoma"/>
          </rPr>
          <t>Completed: 04/23/2025</t>
        </r>
      </text>
    </comment>
    <comment ref="K44" authorId="0" shapeId="0" xr:uid="{FF24C4BB-51A4-40A9-94CF-DB9E19F23157}">
      <text>
        <r>
          <rPr>
            <sz val="9"/>
            <color indexed="81"/>
            <rFont val="Tahoma"/>
          </rPr>
          <t>Completed: 05/31/2024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Kyle Mahoney</author>
  </authors>
  <commentList>
    <comment ref="L5" authorId="0" shapeId="0" xr:uid="{BB62CE25-32C9-4CDF-80F9-2B1D7BE21788}">
      <text>
        <r>
          <rPr>
            <sz val="9"/>
            <color indexed="81"/>
            <rFont val="Tahoma"/>
            <family val="2"/>
          </rPr>
          <t>Completed: 03/12/2026</t>
        </r>
      </text>
    </comment>
    <comment ref="N5" authorId="0" shapeId="0" xr:uid="{02D5F757-A084-4EFA-9958-738509036334}">
      <text>
        <r>
          <rPr>
            <sz val="9"/>
            <color indexed="81"/>
            <rFont val="Tahoma"/>
            <charset val="1"/>
          </rPr>
          <t>Completed: 03/27/2026</t>
        </r>
      </text>
    </comment>
    <comment ref="O5" authorId="0" shapeId="0" xr:uid="{F447C0BB-75FE-4E4E-B5EA-338EA87A6EDC}">
      <text>
        <r>
          <rPr>
            <sz val="9"/>
            <color indexed="81"/>
            <rFont val="Tahoma"/>
            <family val="2"/>
          </rPr>
          <t>Completed: 03/18/2026</t>
        </r>
      </text>
    </comment>
    <comment ref="L7" authorId="0" shapeId="0" xr:uid="{696673E4-7996-476F-93E2-47E32038E478}">
      <text>
        <r>
          <rPr>
            <sz val="9"/>
            <color indexed="81"/>
            <rFont val="Tahoma"/>
            <family val="2"/>
          </rPr>
          <t>Completed: 03/19/2026</t>
        </r>
      </text>
    </comment>
    <comment ref="N7" authorId="0" shapeId="0" xr:uid="{92169760-C7D5-4E3E-9FF5-EB1E307DB344}">
      <text>
        <r>
          <rPr>
            <sz val="9"/>
            <color indexed="81"/>
            <rFont val="Tahoma"/>
            <charset val="1"/>
          </rPr>
          <t>Completed: 03/27/2026</t>
        </r>
      </text>
    </comment>
    <comment ref="L8" authorId="0" shapeId="0" xr:uid="{E1F37EB4-B59D-48B6-9979-F0E1BB40DB73}">
      <text>
        <r>
          <rPr>
            <sz val="9"/>
            <color indexed="81"/>
            <rFont val="Tahoma"/>
            <charset val="1"/>
          </rPr>
          <t>Completed: 09/12/2025</t>
        </r>
      </text>
    </comment>
    <comment ref="J25" authorId="0" shapeId="0" xr:uid="{00000000-0006-0000-0400-000001000000}">
      <text>
        <r>
          <rPr>
            <sz val="11"/>
            <color theme="1"/>
            <rFont val="Calibri"/>
            <family val="2"/>
            <charset val="1"/>
          </rPr>
          <t>Completed: 02/09/2026</t>
        </r>
      </text>
    </comment>
    <comment ref="K25" authorId="0" shapeId="0" xr:uid="{C39626FD-841D-48BF-B6E9-FB08442439AD}">
      <text>
        <r>
          <rPr>
            <sz val="9"/>
            <color indexed="81"/>
            <rFont val="Tahoma"/>
          </rPr>
          <t>Completed: 02/09/2026</t>
        </r>
      </text>
    </comment>
    <comment ref="L25" authorId="0" shapeId="0" xr:uid="{FD515777-2E3E-41B3-AED6-B7B29BA25B6B}">
      <text>
        <r>
          <rPr>
            <sz val="9"/>
            <color indexed="81"/>
            <rFont val="Tahoma"/>
            <charset val="1"/>
          </rPr>
          <t>Completed: 07/03/2025</t>
        </r>
      </text>
    </comment>
    <comment ref="M25" authorId="0" shapeId="0" xr:uid="{F55484F6-B707-42E2-90D2-907A917BE408}">
      <text>
        <r>
          <rPr>
            <sz val="9"/>
            <color indexed="81"/>
            <rFont val="Tahoma"/>
            <charset val="1"/>
          </rPr>
          <t>Completed: 07/17/2025</t>
        </r>
      </text>
    </comment>
    <comment ref="N25" authorId="0" shapeId="0" xr:uid="{5CA23432-28F3-4B6F-B30F-0D23FC3E18CC}">
      <text>
        <r>
          <rPr>
            <sz val="9"/>
            <color indexed="81"/>
            <rFont val="Tahoma"/>
            <charset val="1"/>
          </rPr>
          <t>Completed: 02/09/2026</t>
        </r>
      </text>
    </comment>
    <comment ref="K26" authorId="0" shapeId="0" xr:uid="{B4E0DEBE-9CAB-497F-9F41-C9551A3181D3}">
      <text>
        <r>
          <rPr>
            <sz val="9"/>
            <color indexed="81"/>
            <rFont val="Tahoma"/>
          </rPr>
          <t>Completed: 10/08/2025</t>
        </r>
      </text>
    </comment>
    <comment ref="L26" authorId="0" shapeId="0" xr:uid="{32830029-CB41-4926-8C66-95C08C8E59D2}">
      <text>
        <r>
          <rPr>
            <sz val="9"/>
            <color indexed="81"/>
            <rFont val="Tahoma"/>
            <charset val="1"/>
          </rPr>
          <t>Completed: 10/16/2025</t>
        </r>
      </text>
    </comment>
    <comment ref="M26" authorId="0" shapeId="0" xr:uid="{CDB0563D-58C7-4596-84DD-A6472E2F4E25}">
      <text>
        <r>
          <rPr>
            <sz val="9"/>
            <color indexed="81"/>
            <rFont val="Tahoma"/>
            <charset val="1"/>
          </rPr>
          <t>Completed: 07/24/2025</t>
        </r>
      </text>
    </comment>
    <comment ref="N26" authorId="0" shapeId="0" xr:uid="{29F359C2-DA3C-4515-AE64-EDB96E9DFB32}">
      <text>
        <r>
          <rPr>
            <sz val="9"/>
            <color indexed="81"/>
            <rFont val="Tahoma"/>
            <charset val="1"/>
          </rPr>
          <t>Completed: 10/08/2025</t>
        </r>
      </text>
    </comment>
    <comment ref="O26" authorId="0" shapeId="0" xr:uid="{6C1D764B-F460-4A77-80E3-120C7029C4D3}">
      <text>
        <r>
          <rPr>
            <sz val="9"/>
            <color indexed="81"/>
            <rFont val="Tahoma"/>
            <charset val="1"/>
          </rPr>
          <t>Completed: 09/16/2025</t>
        </r>
      </text>
    </comment>
    <comment ref="K27" authorId="0" shapeId="0" xr:uid="{B0B7B275-1357-4D47-B1CD-7A93E33B3EBD}">
      <text>
        <r>
          <rPr>
            <sz val="9"/>
            <color indexed="81"/>
            <rFont val="Tahoma"/>
          </rPr>
          <t>Completed: 08/25/2025</t>
        </r>
      </text>
    </comment>
    <comment ref="L27" authorId="0" shapeId="0" xr:uid="{C41CB59B-83A2-4317-BAA4-B15D4C594D8F}">
      <text>
        <r>
          <rPr>
            <sz val="9"/>
            <color indexed="81"/>
            <rFont val="Tahoma"/>
            <charset val="1"/>
          </rPr>
          <t>Completed: 08/28/2025</t>
        </r>
      </text>
    </comment>
    <comment ref="M27" authorId="0" shapeId="0" xr:uid="{764BC0D1-DA8C-4145-B1E4-EC88581B28A6}">
      <text>
        <r>
          <rPr>
            <sz val="9"/>
            <color indexed="81"/>
            <rFont val="Tahoma"/>
            <charset val="1"/>
          </rPr>
          <t>Completed: 12/18/2025</t>
        </r>
      </text>
    </comment>
    <comment ref="N27" authorId="0" shapeId="0" xr:uid="{9F20F4D2-61A5-4FF7-BB19-E18A891E7E81}">
      <text>
        <r>
          <rPr>
            <sz val="9"/>
            <color indexed="81"/>
            <rFont val="Tahoma"/>
            <charset val="1"/>
          </rPr>
          <t>Completed: 08/25/2025</t>
        </r>
      </text>
    </comment>
    <comment ref="K28" authorId="0" shapeId="0" xr:uid="{3E7303DF-A25C-4D28-A078-569DBADC1DEF}">
      <text>
        <r>
          <rPr>
            <sz val="9"/>
            <color indexed="81"/>
            <rFont val="Tahoma"/>
          </rPr>
          <t>Completed: 09/26/2025</t>
        </r>
      </text>
    </comment>
    <comment ref="L28" authorId="0" shapeId="0" xr:uid="{BBD76C93-0360-4A9C-8ED4-3309EE7BFC0C}">
      <text>
        <r>
          <rPr>
            <sz val="9"/>
            <color indexed="81"/>
            <rFont val="Tahoma"/>
            <charset val="1"/>
          </rPr>
          <t>Completed: 03/19/2025</t>
        </r>
      </text>
    </comment>
    <comment ref="M28" authorId="0" shapeId="0" xr:uid="{265DC6A5-B512-4312-B349-F64DE8AAE3D4}">
      <text>
        <r>
          <rPr>
            <sz val="9"/>
            <color indexed="81"/>
            <rFont val="Tahoma"/>
            <charset val="1"/>
          </rPr>
          <t>Completed: 03/28/2024</t>
        </r>
      </text>
    </comment>
    <comment ref="N28" authorId="0" shapeId="0" xr:uid="{A41CACD9-E38F-4624-8D81-FC1D805BFDA5}">
      <text>
        <r>
          <rPr>
            <sz val="9"/>
            <color indexed="81"/>
            <rFont val="Tahoma"/>
            <charset val="1"/>
          </rPr>
          <t>Completed: 09/26/2025</t>
        </r>
      </text>
    </comment>
    <comment ref="L29" authorId="0" shapeId="0" xr:uid="{7341E2AB-7A01-45CF-8BE2-65F62029E0B9}">
      <text>
        <r>
          <rPr>
            <sz val="9"/>
            <color indexed="81"/>
            <rFont val="Tahoma"/>
            <charset val="1"/>
          </rPr>
          <t>Completed: 03/05/2026</t>
        </r>
      </text>
    </comment>
    <comment ref="O29" authorId="0" shapeId="0" xr:uid="{98B511CE-D777-4452-9FB9-695E2556DA72}">
      <text>
        <r>
          <rPr>
            <sz val="9"/>
            <color indexed="81"/>
            <rFont val="Tahoma"/>
            <charset val="1"/>
          </rPr>
          <t>Completed: 03/18/2026</t>
        </r>
      </text>
    </comment>
    <comment ref="L30" authorId="0" shapeId="0" xr:uid="{D5111BA9-BE2B-4E34-8CAF-D565362EAFA2}">
      <text>
        <r>
          <rPr>
            <sz val="9"/>
            <color indexed="81"/>
            <rFont val="Tahoma"/>
            <charset val="1"/>
          </rPr>
          <t>Completed: 02/20/2025</t>
        </r>
      </text>
    </comment>
    <comment ref="M30" authorId="0" shapeId="0" xr:uid="{97596C6B-B08F-4825-897F-8ED6CDABC81F}">
      <text>
        <r>
          <rPr>
            <sz val="9"/>
            <color indexed="81"/>
            <rFont val="Tahoma"/>
            <charset val="1"/>
          </rPr>
          <t>Completed: 01/14/2026</t>
        </r>
      </text>
    </comment>
    <comment ref="N30" authorId="0" shapeId="0" xr:uid="{C153CBD3-E00C-456D-9C7D-C10FF11F1616}">
      <text>
        <r>
          <rPr>
            <sz val="9"/>
            <color indexed="81"/>
            <rFont val="Tahoma"/>
            <charset val="1"/>
          </rPr>
          <t>Completed: 08/28/2025</t>
        </r>
      </text>
    </comment>
    <comment ref="O30" authorId="0" shapeId="0" xr:uid="{FFBB670A-5ACA-4247-A4FA-2F89700C1AFB}">
      <text>
        <r>
          <rPr>
            <sz val="9"/>
            <color indexed="81"/>
            <rFont val="Tahoma"/>
            <charset val="1"/>
          </rPr>
          <t>Completed: 07/30/2025</t>
        </r>
      </text>
    </comment>
    <comment ref="K31" authorId="0" shapeId="0" xr:uid="{F96628B0-22B5-4C52-A674-B6E98CA5D5F6}">
      <text>
        <r>
          <rPr>
            <sz val="9"/>
            <color indexed="81"/>
            <rFont val="Tahoma"/>
            <family val="2"/>
          </rPr>
          <t>Completed: 12/12/2025</t>
        </r>
      </text>
    </comment>
    <comment ref="L31" authorId="0" shapeId="0" xr:uid="{AF88087B-4BC2-4225-B78D-4485E5F587CE}">
      <text>
        <r>
          <rPr>
            <sz val="9"/>
            <color indexed="81"/>
            <rFont val="Tahoma"/>
            <charset val="1"/>
          </rPr>
          <t>Completed: 12/04/2025</t>
        </r>
      </text>
    </comment>
    <comment ref="N31" authorId="0" shapeId="0" xr:uid="{471B1335-DB05-4913-94B1-7F63BDB75574}">
      <text>
        <r>
          <rPr>
            <sz val="9"/>
            <color indexed="81"/>
            <rFont val="Tahoma"/>
            <charset val="1"/>
          </rPr>
          <t>Completed: 12/12/2025</t>
        </r>
      </text>
    </comment>
    <comment ref="O31" authorId="0" shapeId="0" xr:uid="{9AA66040-8038-4F11-BA5B-9643C21648C8}">
      <text>
        <r>
          <rPr>
            <sz val="9"/>
            <color indexed="81"/>
            <rFont val="Tahoma"/>
            <charset val="1"/>
          </rPr>
          <t>Completed: 03/23/2026</t>
        </r>
      </text>
    </comment>
    <comment ref="K32" authorId="0" shapeId="0" xr:uid="{20DA30CC-0974-40FA-B06A-835F06D50463}">
      <text>
        <r>
          <rPr>
            <sz val="9"/>
            <color indexed="81"/>
            <rFont val="Tahoma"/>
          </rPr>
          <t>Completed: 05/31/2024</t>
        </r>
      </text>
    </comment>
    <comment ref="L32" authorId="0" shapeId="0" xr:uid="{2210FFF0-413D-4ED3-BBD5-D67D2BC24023}">
      <text>
        <r>
          <rPr>
            <sz val="9"/>
            <color indexed="81"/>
            <rFont val="Tahoma"/>
            <charset val="1"/>
          </rPr>
          <t>Completed: 03/12/2026</t>
        </r>
      </text>
    </comment>
    <comment ref="M32" authorId="0" shapeId="0" xr:uid="{8A7C834D-68B8-43ED-85B6-319A2F4CD857}">
      <text>
        <r>
          <rPr>
            <sz val="9"/>
            <color indexed="81"/>
            <rFont val="Tahoma"/>
            <charset val="1"/>
          </rPr>
          <t>Completed: 04/03/2024</t>
        </r>
      </text>
    </comment>
    <comment ref="N32" authorId="0" shapeId="0" xr:uid="{236ED1B6-693A-4BAB-8F4B-29FA1EF9E5E6}">
      <text>
        <r>
          <rPr>
            <sz val="9"/>
            <color indexed="81"/>
            <rFont val="Tahoma"/>
            <charset val="1"/>
          </rPr>
          <t>Completed: 05/31/2024</t>
        </r>
      </text>
    </comment>
    <comment ref="K33" authorId="0" shapeId="0" xr:uid="{0380DB48-8153-458A-A1BA-5E0A5FAD1134}">
      <text>
        <r>
          <rPr>
            <sz val="9"/>
            <color indexed="81"/>
            <rFont val="Tahoma"/>
          </rPr>
          <t>Completed: 02/10/2025</t>
        </r>
      </text>
    </comment>
    <comment ref="L33" authorId="0" shapeId="0" xr:uid="{AF3AB20C-7C9F-4CF6-8F26-B37C9BA2F812}">
      <text>
        <r>
          <rPr>
            <sz val="9"/>
            <color indexed="81"/>
            <rFont val="Tahoma"/>
            <charset val="1"/>
          </rPr>
          <t>Completed: 08/28/2025</t>
        </r>
      </text>
    </comment>
    <comment ref="M33" authorId="0" shapeId="0" xr:uid="{1A83B93D-BABE-4D53-8C4F-180B03996333}">
      <text>
        <r>
          <rPr>
            <sz val="9"/>
            <color indexed="81"/>
            <rFont val="Tahoma"/>
            <charset val="1"/>
          </rPr>
          <t>Completed: 03/24/2025</t>
        </r>
      </text>
    </comment>
    <comment ref="N33" authorId="0" shapeId="0" xr:uid="{C7914164-F40E-4B93-8581-2AE273A9DEF0}">
      <text>
        <r>
          <rPr>
            <sz val="9"/>
            <color indexed="81"/>
            <rFont val="Tahoma"/>
            <charset val="1"/>
          </rPr>
          <t>Completed: 02/10/2025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Kyle Mahoney</author>
  </authors>
  <commentList>
    <comment ref="K27" authorId="0" shapeId="0" xr:uid="{5767C489-4033-4CAE-8CD2-BC6388A71FAB}">
      <text>
        <r>
          <rPr>
            <sz val="9"/>
            <color indexed="81"/>
            <rFont val="Tahoma"/>
          </rPr>
          <t>Completed: 01/30/2026</t>
        </r>
      </text>
    </comment>
    <comment ref="K28" authorId="0" shapeId="0" xr:uid="{5E2B6945-7ECF-4A32-9D76-8F97BCC63981}">
      <text>
        <r>
          <rPr>
            <sz val="9"/>
            <color indexed="81"/>
            <rFont val="Tahoma"/>
          </rPr>
          <t>Completed: 10/20/2025</t>
        </r>
      </text>
    </comment>
    <comment ref="K29" authorId="0" shapeId="0" xr:uid="{CF36CBF1-CB75-4F5D-B4EB-74D6E5F3603D}">
      <text>
        <r>
          <rPr>
            <sz val="9"/>
            <color indexed="81"/>
            <rFont val="Tahoma"/>
          </rPr>
          <t>Completed: 04/11/2025</t>
        </r>
      </text>
    </comment>
    <comment ref="L29" authorId="0" shapeId="0" xr:uid="{4D4F17E7-8949-4832-89D2-C610DE102863}">
      <text>
        <r>
          <rPr>
            <sz val="9"/>
            <color indexed="81"/>
            <rFont val="Tahoma"/>
          </rPr>
          <t>Completed: 04/23/2025</t>
        </r>
      </text>
    </comment>
  </commentList>
</comments>
</file>

<file path=xl/sharedStrings.xml><?xml version="1.0" encoding="utf-8"?>
<sst xmlns="http://schemas.openxmlformats.org/spreadsheetml/2006/main" count="3734" uniqueCount="692">
  <si>
    <t>2026 HR NEW HIRE &amp; TRANSFER TRACKER</t>
  </si>
  <si>
    <t>⚡ QUICK ACTIONS</t>
  </si>
  <si>
    <t>🔄 Refresh Reports</t>
  </si>
  <si>
    <t>⚠️ Show Incomplete Training</t>
  </si>
  <si>
    <t>📋 Onboarding Report</t>
  </si>
  <si>
    <t>📊 Termination Report</t>
  </si>
  <si>
    <t>🖨 Print Dashboard</t>
  </si>
  <si>
    <t>YEAR-TO-DATE SUMMARY</t>
  </si>
  <si>
    <t>New Hires (YTD)</t>
  </si>
  <si>
    <t>Transfers (YTD)</t>
  </si>
  <si>
    <t>Termed (This Tracker)</t>
  </si>
  <si>
    <t>Net Hires - Terms</t>
  </si>
  <si>
    <t>Training Incomplete</t>
  </si>
  <si>
    <t>MONTHLY BREAKDOWN</t>
  </si>
  <si>
    <t>Month</t>
  </si>
  <si>
    <t>New Hires</t>
  </si>
  <si>
    <t>Transfers</t>
  </si>
  <si>
    <t>Termed</t>
  </si>
  <si>
    <t>Net Change</t>
  </si>
  <si>
    <t>Cum. Hires</t>
  </si>
  <si>
    <t>Cum. Terms</t>
  </si>
  <si>
    <t>Active</t>
  </si>
  <si>
    <t>Training %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</si>
  <si>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</si>
  <si>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</si>
  <si>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</si>
  <si>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</si>
  <si>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</si>
  <si>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</si>
  <si>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</si>
  <si>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</si>
  <si>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</si>
  <si>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</si>
  <si>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</si>
  <si>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</si>
  <si>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YTD TOTAL</t>
  </si>
  <si>
    <t>DEPARTMENT HIRING BREAKDOWN (YTD)</t>
  </si>
  <si>
    <t>Department</t>
  </si>
  <si>
    <t>Jan</t>
  </si>
  <si>
    <t>Feb</t>
  </si>
  <si>
    <t>Mar</t>
  </si>
  <si>
    <t>Apr</t>
  </si>
  <si>
    <t>Jun</t>
  </si>
  <si>
    <t>Jul</t>
  </si>
  <si>
    <t>Aug</t>
  </si>
  <si>
    <t>Sep</t>
  </si>
  <si>
    <t>Oct</t>
  </si>
  <si>
    <t>Nov</t>
  </si>
  <si>
    <t>Dec</t>
  </si>
  <si>
    <t>YTD Total</t>
  </si>
  <si>
    <t>Residential</t>
  </si>
  <si>
    <t>Administration</t>
  </si>
  <si>
    <t>Finance</t>
  </si>
  <si>
    <t>Facilities</t>
  </si>
  <si>
    <t>HR</t>
  </si>
  <si>
    <t>ELC</t>
  </si>
  <si>
    <t>LLL</t>
  </si>
  <si>
    <t>Prof. Services</t>
  </si>
  <si>
    <t>Behavioral</t>
  </si>
  <si>
    <t>IT</t>
  </si>
  <si>
    <t>Other</t>
  </si>
  <si>
    <t>TOTAL</t>
  </si>
  <si>
    <t>TRAINING COMPLIANCE SNAPSHOT (YTD)</t>
  </si>
  <si>
    <t>Training Item</t>
  </si>
  <si>
    <t>Total Assigned</t>
  </si>
  <si>
    <t>Completed</t>
  </si>
  <si>
    <t>Incomplete</t>
  </si>
  <si>
    <t>Completion %</t>
  </si>
  <si>
    <t>Relias Completed</t>
  </si>
  <si>
    <t>3 Phase</t>
  </si>
  <si>
    <t>Job Description</t>
  </si>
  <si>
    <t>CPR / First Aid</t>
  </si>
  <si>
    <t>Med Cert</t>
  </si>
  <si>
    <t>UKERU</t>
  </si>
  <si>
    <t>Mealtime</t>
  </si>
  <si>
    <t>Therapy</t>
  </si>
  <si>
    <t>ITSP</t>
  </si>
  <si>
    <t>Delegation</t>
  </si>
  <si>
    <t>TRAINING RESULTS LOG</t>
  </si>
  <si>
    <t>← Dashboard</t>
  </si>
  <si>
    <t>⚡  QUICK ENTRY — Add &amp; auto-update monthly sheets</t>
  </si>
  <si>
    <t>Training Session</t>
  </si>
  <si>
    <t>Result</t>
  </si>
  <si>
    <t>Participant Name (First Last)</t>
  </si>
  <si>
    <t>Date of Training</t>
  </si>
  <si>
    <t>▶  Add &amp; Update</t>
  </si>
  <si>
    <t xml:space="preserve">  </t>
  </si>
  <si>
    <t>📋  RUNNING LOG</t>
  </si>
  <si>
    <t>Submission Date</t>
  </si>
  <si>
    <t>Pass or Fail</t>
  </si>
  <si>
    <t>Processed</t>
  </si>
  <si>
    <t>Debug Log</t>
  </si>
  <si>
    <t>Pass</t>
  </si>
  <si>
    <t>Person Centered</t>
  </si>
  <si>
    <t>Tyreese Langston</t>
  </si>
  <si>
    <t>SKIP: Unknown training</t>
  </si>
  <si>
    <t>CPR/FA</t>
  </si>
  <si>
    <t>Michelle Bradshaw</t>
  </si>
  <si>
    <t>NOT FOUND</t>
  </si>
  <si>
    <t>Searched: fName='Michelle' lName='Bradshaw' training='CPR/FA' | No Transfer col</t>
  </si>
  <si>
    <t>Juanita BRABSON</t>
  </si>
  <si>
    <t>Mike Abney</t>
  </si>
  <si>
    <t>Searched: fName='Mike' lName='Abney' training='CPR/FA' | No Transfer col</t>
  </si>
  <si>
    <t>Casey Test</t>
  </si>
  <si>
    <t>Teirsa Cannon</t>
  </si>
  <si>
    <t>Agnes Horner</t>
  </si>
  <si>
    <t>Garry Gordon</t>
  </si>
  <si>
    <t>Morgan Jones</t>
  </si>
  <si>
    <t>Addie Foster</t>
  </si>
  <si>
    <t>Amelia Parris</t>
  </si>
  <si>
    <t>Tiffany Sharp</t>
  </si>
  <si>
    <t>Brittney Boone</t>
  </si>
  <si>
    <t>Jamie Ballard</t>
  </si>
  <si>
    <t>NyLexis Adams</t>
  </si>
  <si>
    <t>Zachary Saylor</t>
  </si>
  <si>
    <t>Juanita Brabson</t>
  </si>
  <si>
    <t>Sarah Allen</t>
  </si>
  <si>
    <t>Searched: fName='Sarah' lName='Allen' training='UKERU'</t>
  </si>
  <si>
    <t>Jacob Turnbill</t>
  </si>
  <si>
    <t>Searched: fName='Jacob' lName='Turnbill' training='UKERU'</t>
  </si>
  <si>
    <t>Orientation</t>
  </si>
  <si>
    <t>Morgan Andrews</t>
  </si>
  <si>
    <t>Searched: fName='Zachary' lName='Saylor' training='UKERU'</t>
  </si>
  <si>
    <t>Chris Mcculloch</t>
  </si>
  <si>
    <t>Searched: fName='Chris' lName='Mcculloch' training='UKERU'</t>
  </si>
  <si>
    <t>Jamie Smith</t>
  </si>
  <si>
    <t>Searched: fName='Jamie' lName='Smith' training='UKERU'</t>
  </si>
  <si>
    <t>Jessica Boyette</t>
  </si>
  <si>
    <t>William Jennings</t>
  </si>
  <si>
    <t>Hannah McRary</t>
  </si>
  <si>
    <t>Corie Reynolds</t>
  </si>
  <si>
    <t>Baylee Stewart</t>
  </si>
  <si>
    <t>Yoen Sanchez</t>
  </si>
  <si>
    <t>Courtaeona Ward</t>
  </si>
  <si>
    <t>Kim Jeffers-Whitaker</t>
  </si>
  <si>
    <t>Med Recert</t>
  </si>
  <si>
    <t>Anne Puckett</t>
  </si>
  <si>
    <t>Amber Potter</t>
  </si>
  <si>
    <t>Candis starkey</t>
  </si>
  <si>
    <t>Darrio McDaniel</t>
  </si>
  <si>
    <t>Marcus Dunn</t>
  </si>
  <si>
    <t>Jacob Pease</t>
  </si>
  <si>
    <t>Edward Copeland</t>
  </si>
  <si>
    <t>Daniel Hammons</t>
  </si>
  <si>
    <t>Heather Watson</t>
  </si>
  <si>
    <t>Albert Mujolli</t>
  </si>
  <si>
    <t>COURTNEY KITTS</t>
  </si>
  <si>
    <t>Robert Graf</t>
  </si>
  <si>
    <t>Jason Burriss</t>
  </si>
  <si>
    <t>Michelle Vondrasek</t>
  </si>
  <si>
    <t>Mary Hawkins</t>
  </si>
  <si>
    <t>Initial Med Class</t>
  </si>
  <si>
    <t>Searched: fName='Jessica' lName='Boyette' training='UKERU'</t>
  </si>
  <si>
    <t>KERRI SHELTON</t>
  </si>
  <si>
    <t>Searched: fName='KERRI' lName='SHELTON' training='UKERU'</t>
  </si>
  <si>
    <t>Searched: fName='William' lName='Jennings' training='UKERU'</t>
  </si>
  <si>
    <t>Mark Oliver</t>
  </si>
  <si>
    <t>Searched: fName='Mark' lName='Oliver' training='UKERU'</t>
  </si>
  <si>
    <t>Searched: fName='Candis' lName='starkey' training='UKERU'</t>
  </si>
  <si>
    <t>Whitney Nunley</t>
  </si>
  <si>
    <t>Searched: fName='Whitney' lName='Nunley' training='UKERU'</t>
  </si>
  <si>
    <t>Frederick Osborne</t>
  </si>
  <si>
    <t>Searched: fName='Frederick' lName='Osborne' training='UKERU'</t>
  </si>
  <si>
    <t>Kimberlee Libberton</t>
  </si>
  <si>
    <t>Searched: fName='Kimberlee' lName='Libberton' training='UKERU'</t>
  </si>
  <si>
    <t>Searched: fName='Corie' lName='Reynolds' training='UKERU'</t>
  </si>
  <si>
    <t>Searched: fName='Baylee' lName='Stewart' training='UKERU'</t>
  </si>
  <si>
    <t>Sarah Turnbill</t>
  </si>
  <si>
    <t>Searched: fName='Sarah' lName='Turnbill' training='UKERU'</t>
  </si>
  <si>
    <t>Searched: fName='Courtaeona' lName='Ward' training='UKERU'</t>
  </si>
  <si>
    <t>Hayley Potter</t>
  </si>
  <si>
    <t>Alissa Chadwick</t>
  </si>
  <si>
    <t>Lacey Ausburn</t>
  </si>
  <si>
    <t>Ryta Manning</t>
  </si>
  <si>
    <t>Nynaka Weaver</t>
  </si>
  <si>
    <t>Yes</t>
  </si>
  <si>
    <t>Abigail Grow</t>
  </si>
  <si>
    <t>Alexandra Jones</t>
  </si>
  <si>
    <t>Hunter Davis</t>
  </si>
  <si>
    <t>TaKeiah Biddix</t>
  </si>
  <si>
    <t>D'Shaun Newton</t>
  </si>
  <si>
    <t>Madison Dalton</t>
  </si>
  <si>
    <t>Autumn Lackey</t>
  </si>
  <si>
    <t>Esther Olatoye</t>
  </si>
  <si>
    <t>Adelaine Sackmann</t>
  </si>
  <si>
    <t>Maleah Sammons</t>
  </si>
  <si>
    <t>Raeleah Sammons</t>
  </si>
  <si>
    <t>Lanem Bruce</t>
  </si>
  <si>
    <t>Lanema Bruce</t>
  </si>
  <si>
    <t>jaycee botts</t>
  </si>
  <si>
    <t>Searched: fName='jaycee' lName='botts' training='CPR/FA' | No Transfer col</t>
  </si>
  <si>
    <t>Searched: fName='Raeleah' lName='Sammons' training='CPR/FA' | No Transfer col</t>
  </si>
  <si>
    <t>Searched: fName='Adelaine' lName='Sackmann' training='CPR/FA' | No Transfer col</t>
  </si>
  <si>
    <t>Searched: fName='Madison' lName='Dalton' training='CPR/FA' | No Transfer col</t>
  </si>
  <si>
    <t>Searched: fName='D'Shaun' lName='Newton' training='CPR/FA' | No Transfer col</t>
  </si>
  <si>
    <t>Jessica Clarke</t>
  </si>
  <si>
    <t>Searched: fName='Jessica' lName='Clarke' training='CPR/FA' | No Transfer col</t>
  </si>
  <si>
    <t>Daniel Orahood</t>
  </si>
  <si>
    <t>Searched: fName='Daniel' lName='Orahood' training='CPR/FA' | No Transfer col</t>
  </si>
  <si>
    <t>Searched: fName='Autumn' lName='Lackey' training='CPR/FA' | No Transfer col</t>
  </si>
  <si>
    <t>Meghan White</t>
  </si>
  <si>
    <t>Searched: fName='Michelle' lName='Bradshaw' training='UKERU'</t>
  </si>
  <si>
    <t>Searched: fName='Madison' lName='Dalton' training='UKERU'</t>
  </si>
  <si>
    <t>Esther olatoye</t>
  </si>
  <si>
    <t>Searched: fName='Esther' lName='olatoye' training='UKERU'</t>
  </si>
  <si>
    <t>Searched: fName='D'Shaun' lName='Newton' training='UKERU'</t>
  </si>
  <si>
    <t>Searched: fName='Adelaine' lName='Sackmann' training='UKERU'</t>
  </si>
  <si>
    <t>Julie West</t>
  </si>
  <si>
    <t>Sascha Martell</t>
  </si>
  <si>
    <t>Katie Colby</t>
  </si>
  <si>
    <t>Judy Johnson</t>
  </si>
  <si>
    <t>Michaela Parrott</t>
  </si>
  <si>
    <t>Searched: fName='Agnes' lName='Horner' training='CPR/FA' | No Transfer col</t>
  </si>
  <si>
    <t>Greg Miller</t>
  </si>
  <si>
    <t>Searched: fName='Greg' lName='Miller' training='CPR/FA' | No Transfer col</t>
  </si>
  <si>
    <t>Everette Johnson</t>
  </si>
  <si>
    <t>Searched: fName='Everette' lName='Johnson' training='CPR/FA' | No Transfer col</t>
  </si>
  <si>
    <t>Samantha Ousley</t>
  </si>
  <si>
    <t>Searched: fName='Samantha' lName='Ousley' training='CPR/FA' | No Transfer col</t>
  </si>
  <si>
    <t>Leslie Turner</t>
  </si>
  <si>
    <t>Searched: fName='Leslie' lName='Turner' training='CPR/FA' | No Transfer col</t>
  </si>
  <si>
    <t>Regina Wilson</t>
  </si>
  <si>
    <t>Searched: fName='Regina' lName='Wilson' training='CPR/FA' | No Transfer col</t>
  </si>
  <si>
    <t>Post Med</t>
  </si>
  <si>
    <t>Katlynn Frerichs</t>
  </si>
  <si>
    <t>Abigail Bowens</t>
  </si>
  <si>
    <t>Elizabeth Harris</t>
  </si>
  <si>
    <t>Loren Packard</t>
  </si>
  <si>
    <t>Mariah Valentine</t>
  </si>
  <si>
    <t>Searched: fName='Abigail' lName='Bowens' training='CPR/FA' | No Transfer col</t>
  </si>
  <si>
    <t>Searched: fName='Mariah' lName='Valentine' training='CPR/FA' | No Transfer col</t>
  </si>
  <si>
    <t>Searched: fName='Elizabeth' lName='Harris' training='CPR/FA' | No Transfer col</t>
  </si>
  <si>
    <t>Sonya Gross</t>
  </si>
  <si>
    <t>Searched: fName='Sonya' lName='Gross' training='CPR/FA' | No Transfer col</t>
  </si>
  <si>
    <t>Ellie Atton</t>
  </si>
  <si>
    <t>Searched: fName='Ellie' lName='Atton' training='CPR/FA' | No Transfer col</t>
  </si>
  <si>
    <t>Alyssa Blankenship</t>
  </si>
  <si>
    <t>Searched: fName='Alyssa' lName='Blankenship' training='CPR/FA' | No Transfer col</t>
  </si>
  <si>
    <t>Kayla Weaver</t>
  </si>
  <si>
    <t>Searched: fName='Kayla' lName='Weaver' training='CPR/FA' | No Transfer col</t>
  </si>
  <si>
    <t>Christopher Mannuzza</t>
  </si>
  <si>
    <t>Searched: fName='Christopher' lName='Mannuzza' training='CPR/FA' | No Transfer col</t>
  </si>
  <si>
    <t>Angela Osborne</t>
  </si>
  <si>
    <t>Searched: fName='Angela' lName='Osborne' training='CPR/FA' | No Transfer col</t>
  </si>
  <si>
    <t>Isabella McQuithy</t>
  </si>
  <si>
    <t>New Hires | January R6C12 | Was:'Yes' Now:'Yes'</t>
  </si>
  <si>
    <t>Brenna Bradshaw</t>
  </si>
  <si>
    <t>New Hires | January R5C12 | Was:'Yes' Now:'Yes'</t>
  </si>
  <si>
    <t>Jen Parent</t>
  </si>
  <si>
    <t>Searched: fName='Jen' lName='Parent' training='CPR/FA' | No Transfer col</t>
  </si>
  <si>
    <t>Aubrey Ridenour</t>
  </si>
  <si>
    <t>Searched: fName='Aubrey' lName='Ridenour' training='CPR/FA' | No Transfer col</t>
  </si>
  <si>
    <t>Bethany Quiggle</t>
  </si>
  <si>
    <t>Searched: fName='Bethany' lName='Quiggle' training='UKERU'</t>
  </si>
  <si>
    <t>New Hires | January R6C14 | Was:'Yes' Now:'Yes'</t>
  </si>
  <si>
    <t>Transfers | January R65C10 | Was:'Yes' Now:'Yes'</t>
  </si>
  <si>
    <t>Searched: fName='Greg' lName='Miller' training='UKERU'</t>
  </si>
  <si>
    <t>Transfers | January R61C10 | Was:'Yes' Now:'Yes'</t>
  </si>
  <si>
    <t>Tiffany Deboer</t>
  </si>
  <si>
    <t>Ashlynn Wyrick</t>
  </si>
  <si>
    <t>Transfers | January R62C10 | Was:'Yes' Now:'Yes'</t>
  </si>
  <si>
    <t>Haley Garrison</t>
  </si>
  <si>
    <t>Alicia Jones</t>
  </si>
  <si>
    <t>Gina Cale</t>
  </si>
  <si>
    <t>Hope Holt</t>
  </si>
  <si>
    <t>CHRISTOPHER NICOLAI</t>
  </si>
  <si>
    <t>Mary Thompson</t>
  </si>
  <si>
    <t>Quincy Scates</t>
  </si>
  <si>
    <t>Roy Jones</t>
  </si>
  <si>
    <t>Sandi Shanklin</t>
  </si>
  <si>
    <t>Heath Look</t>
  </si>
  <si>
    <t>Theresa Fletcher</t>
  </si>
  <si>
    <t>Searched: fName='Elizabeth' lName='Harris' training='UKERU'</t>
  </si>
  <si>
    <t>New Hires | January R10C12 | Was:'Yes' Now:'Yes'</t>
  </si>
  <si>
    <t>New Hires | January R7C12 | Was:'Yes' Now:'Yes'</t>
  </si>
  <si>
    <t>Christopher Cuellar</t>
  </si>
  <si>
    <t>Searched: fName='Christopher' lName='Cuellar' training='CPR/FA' | No Transfer col</t>
  </si>
  <si>
    <t>New Hires | January R9C12 | Was:'Yes' Now:'Yes'</t>
  </si>
  <si>
    <t>Henry Langford</t>
  </si>
  <si>
    <t>Searched: fName='Henry' lName='Langford' training='CPR/FA' | No Transfer col</t>
  </si>
  <si>
    <t>Kyle Mahoney</t>
  </si>
  <si>
    <t>New Hires | January R8C12 | Was:'Yes' Now:'Yes'</t>
  </si>
  <si>
    <t>Abimbola Akerele</t>
  </si>
  <si>
    <t>New Hires | January R13C12 | Was:'Yes' Now:'Yes'</t>
  </si>
  <si>
    <t>Manager Training</t>
  </si>
  <si>
    <t>Brittany Cox</t>
  </si>
  <si>
    <t>Megan Miller</t>
  </si>
  <si>
    <t>Carly Manuel</t>
  </si>
  <si>
    <t>Amanda Tackett</t>
  </si>
  <si>
    <t>Katie Jeffers</t>
  </si>
  <si>
    <t>Andria Casswll</t>
  </si>
  <si>
    <t>Britney Richardson</t>
  </si>
  <si>
    <t>New Hires | January R10C14 | Was:'Yes' Now:'Yes'</t>
  </si>
  <si>
    <t>Luke Lawson</t>
  </si>
  <si>
    <t>Searched: fName='Luke' lName='Lawson' training='CPR/FA' | No Transfer col</t>
  </si>
  <si>
    <t>Searched: fName='KERRI' lName='SHELTON' training='CPR/FA' | No Transfer col</t>
  </si>
  <si>
    <t>Charles Ivey</t>
  </si>
  <si>
    <t>Searched: fName='Charles' lName='Ivey' training='CPR/FA' | No Transfer col</t>
  </si>
  <si>
    <t>Taylor Harrell</t>
  </si>
  <si>
    <t>Searched: fName='Taylor' lName='Harrell' training='CPR/FA' | No Transfer col</t>
  </si>
  <si>
    <t>New Hires | January R8C14 | Was:'Yes' Now:'Yes'</t>
  </si>
  <si>
    <t>Andrew Boshears</t>
  </si>
  <si>
    <t>New Hires | January R17C14 | Was:'Yes' Now:'Yes'</t>
  </si>
  <si>
    <t>Searched: fName='Taylor' lName='Harrell' training='UKERU'</t>
  </si>
  <si>
    <t>Abbey Grow</t>
  </si>
  <si>
    <t>Searched: fName='Abbey' lName='Grow' training='UKERU'</t>
  </si>
  <si>
    <t>Searched: fName='Hope' lName='Holt' training='UKERU'</t>
  </si>
  <si>
    <t>Robert Bigler</t>
  </si>
  <si>
    <t>Searched: fName='Robert' lName='Bigler' training='UKERU'</t>
  </si>
  <si>
    <t>Kendra Coon</t>
  </si>
  <si>
    <t>Searched: fName='Kendra' lName='Coon' training='UKERU'</t>
  </si>
  <si>
    <t>Sean Childress</t>
  </si>
  <si>
    <t>Transfers | March R59C10 | Was:'Yes' Now:'Yes'</t>
  </si>
  <si>
    <t>Elise Lawrence</t>
  </si>
  <si>
    <t>New Hires | February R5C14 | Was:'Yes' Now:'Yes'</t>
  </si>
  <si>
    <t>Samantha Lane</t>
  </si>
  <si>
    <t>New Hires | January R15C14 | Was:'Yes' Now:'Yes'</t>
  </si>
  <si>
    <t>Amara Madtes</t>
  </si>
  <si>
    <t>Elisete Lawrence</t>
  </si>
  <si>
    <t>Niyonyishu Frank</t>
  </si>
  <si>
    <t>Monica Phillips</t>
  </si>
  <si>
    <t>New Hires | January R17C12 | Was:'Yes' Now:'Yes'</t>
  </si>
  <si>
    <t>Jennie England</t>
  </si>
  <si>
    <t>Searched: fName='Jennie' lName='England' training='CPR/FA' | No Transfer col</t>
  </si>
  <si>
    <t>New Hires | February R5C12 | Was:'Yes' Now:'Yes'</t>
  </si>
  <si>
    <t>New Hires | February R8C12 | Was:'Yes' Now:'Yes'</t>
  </si>
  <si>
    <t>Dianna Wooldridge</t>
  </si>
  <si>
    <t>Searched: fName='Dianna' lName='Wooldridge' training='CPR/FA' | No Transfer col</t>
  </si>
  <si>
    <t>Searched: fName='Niyonyishu' lName='Frank' training='CPR/FA' | No Transfer col</t>
  </si>
  <si>
    <t>Orian Miller</t>
  </si>
  <si>
    <t>Searched: fName='Orian' lName='Miller' training='CPR/FA' | No Transfer col</t>
  </si>
  <si>
    <t>New Hires | February R7C12 | Was:'Yes' Now:'Yes'</t>
  </si>
  <si>
    <t>Searched: fName='Chris' lName='Mcculloch' training='CPR/FA' | No Transfer col</t>
  </si>
  <si>
    <t>Samantha Devlin</t>
  </si>
  <si>
    <t>New Hires | February R12C12 | Was:'Yes' Now:'Yes'</t>
  </si>
  <si>
    <t>Linda White</t>
  </si>
  <si>
    <t>New Hires | February R17C12 | Was:'In Progress' Now:'Yes'</t>
  </si>
  <si>
    <t>Heaven Christison</t>
  </si>
  <si>
    <t>New Hires | February R11C12 | Was:'Yes' Now:'Yes'</t>
  </si>
  <si>
    <t>Casey Chumley</t>
  </si>
  <si>
    <t>Searched: fName='Casey' lName='Chumley' training='CPR/FA' | No Transfer col</t>
  </si>
  <si>
    <t>Lynne Williams</t>
  </si>
  <si>
    <t>New Hires | February R15C12 | Was:'Yes' Now:'Yes'</t>
  </si>
  <si>
    <t>Alicia Deal</t>
  </si>
  <si>
    <t>Searched: fName='Alicia' lName='Deal' training='CPR/FA' | No Transfer col</t>
  </si>
  <si>
    <t>Sarah Waterman</t>
  </si>
  <si>
    <t>Khloe Pearson</t>
  </si>
  <si>
    <t>tanytha bingham</t>
  </si>
  <si>
    <t>James Niyonkuru</t>
  </si>
  <si>
    <t>Kelsey Ruffner</t>
  </si>
  <si>
    <t>Michelle Gilbert</t>
  </si>
  <si>
    <t>Haley Garcia</t>
  </si>
  <si>
    <t>New Hires | February R18C12 | Was:'Yes' Now:'Yes'</t>
  </si>
  <si>
    <t>New Hires | February R21C12 | Was:'Yes' Now:'Yes'</t>
  </si>
  <si>
    <t>New Hires | February R14C12 | Was:'Yes' Now:'Yes'</t>
  </si>
  <si>
    <t>New Hires | February R19C12 | Was:'Yes' Now:'Yes'</t>
  </si>
  <si>
    <t>New Hires | February R20C12 | Was:'Yes' Now:'Yes'</t>
  </si>
  <si>
    <t>Relias</t>
  </si>
  <si>
    <t>New Hires | February R14C9 | Was:'Yes' Now:'Yes'</t>
  </si>
  <si>
    <t>New Hires | January R8C10 | Was:'Yes' Now:'Yes'</t>
  </si>
  <si>
    <t>Job Desc</t>
  </si>
  <si>
    <t>Tanytha Bingham</t>
  </si>
  <si>
    <t>Saria Drake</t>
  </si>
  <si>
    <t>Melissa Jackson</t>
  </si>
  <si>
    <t>Aaron Durham</t>
  </si>
  <si>
    <t>Melissa Hodges</t>
  </si>
  <si>
    <t>03/03/2026</t>
  </si>
  <si>
    <t>Mikaela Prichard</t>
  </si>
  <si>
    <t>Brittany Barber</t>
  </si>
  <si>
    <t>Personal Outcome Measures</t>
  </si>
  <si>
    <t>Andria Cassell</t>
  </si>
  <si>
    <t>Christie Bridges</t>
  </si>
  <si>
    <t>03/05/2026</t>
  </si>
  <si>
    <t>Emily Davis</t>
  </si>
  <si>
    <t>Thomas Anderson</t>
  </si>
  <si>
    <t>Leah Hale</t>
  </si>
  <si>
    <t>Okorafor Ndubuisi</t>
  </si>
  <si>
    <t>Austin Jordan</t>
  </si>
  <si>
    <t>Marcel Wadley</t>
  </si>
  <si>
    <t>Meegan Miller</t>
  </si>
  <si>
    <t>02/27/2026</t>
  </si>
  <si>
    <t>Robert Jordan</t>
  </si>
  <si>
    <t>03/10/2026</t>
  </si>
  <si>
    <t>Brandi Chew</t>
  </si>
  <si>
    <t>03/11/2026</t>
  </si>
  <si>
    <t>03/12/2026</t>
  </si>
  <si>
    <t>Samantha Townsend</t>
  </si>
  <si>
    <t>Kelly Buckmaster</t>
  </si>
  <si>
    <t>Candis Starkey</t>
  </si>
  <si>
    <t>Pedro Jimenez</t>
  </si>
  <si>
    <t>Wendy Lineberger</t>
  </si>
  <si>
    <t>03/18/2026</t>
  </si>
  <si>
    <t>kelsey ruffner</t>
  </si>
  <si>
    <t>New Employee Orientation</t>
  </si>
  <si>
    <t>maria andrades</t>
  </si>
  <si>
    <t>Kelly buckmaster</t>
  </si>
  <si>
    <t>Cheryl McNaughton</t>
  </si>
  <si>
    <t>Jay Kelany</t>
  </si>
  <si>
    <t>Aaron Price</t>
  </si>
  <si>
    <t>Amanda Dabney</t>
  </si>
  <si>
    <t>Cynde Purcell</t>
  </si>
  <si>
    <t>January 2026 — New Hires &amp; Transfers</t>
  </si>
  <si>
    <t>Hires:</t>
  </si>
  <si>
    <t>Terms:</t>
  </si>
  <si>
    <t>Transfers:</t>
  </si>
  <si>
    <t>Training Complete:</t>
  </si>
  <si>
    <t>NEW HIRES</t>
  </si>
  <si>
    <t>#</t>
  </si>
  <si>
    <t>Dept</t>
  </si>
  <si>
    <t>Last Name</t>
  </si>
  <si>
    <t>First Name</t>
  </si>
  <si>
    <t>Bkgrd</t>
  </si>
  <si>
    <t>DOH</t>
  </si>
  <si>
    <t>Location / Title</t>
  </si>
  <si>
    <t>Assigned</t>
  </si>
  <si>
    <t>Status</t>
  </si>
  <si>
    <t>Bradshaw</t>
  </si>
  <si>
    <t>Brenna</t>
  </si>
  <si>
    <t>Sub/ELC &amp; LLL1/2/2026</t>
  </si>
  <si>
    <t>N/A</t>
  </si>
  <si>
    <t>McQuithy</t>
  </si>
  <si>
    <t>Isabella</t>
  </si>
  <si>
    <t>DSP/361</t>
  </si>
  <si>
    <t>Garrison</t>
  </si>
  <si>
    <t>Haley</t>
  </si>
  <si>
    <t>Asst. Teacher</t>
  </si>
  <si>
    <t>Mahoney</t>
  </si>
  <si>
    <t>Kyle</t>
  </si>
  <si>
    <t>HR Prog. Co.</t>
  </si>
  <si>
    <t>Wyrick</t>
  </si>
  <si>
    <t>Ashlynn</t>
  </si>
  <si>
    <t>DSP/2292</t>
  </si>
  <si>
    <t>In Progress</t>
  </si>
  <si>
    <t>DeBoer</t>
  </si>
  <si>
    <t>Tiffany</t>
  </si>
  <si>
    <t>PSR Spec.</t>
  </si>
  <si>
    <t>McCarty</t>
  </si>
  <si>
    <t>Aaron</t>
  </si>
  <si>
    <t>DSP/SI</t>
  </si>
  <si>
    <t>NCNS</t>
  </si>
  <si>
    <t>Dunn</t>
  </si>
  <si>
    <t>Keaunna</t>
  </si>
  <si>
    <t>HM/Sapphire,194 Latimere</t>
  </si>
  <si>
    <t>Terminated</t>
  </si>
  <si>
    <t>Akerele</t>
  </si>
  <si>
    <t>Abimbola</t>
  </si>
  <si>
    <t>DSP/Dalton</t>
  </si>
  <si>
    <t>Frank</t>
  </si>
  <si>
    <t>Frankie</t>
  </si>
  <si>
    <t>DSP/SI Days</t>
  </si>
  <si>
    <t>Lane</t>
  </si>
  <si>
    <t>Samantha</t>
  </si>
  <si>
    <t>DSP/Livingston</t>
  </si>
  <si>
    <t>Genaway</t>
  </si>
  <si>
    <t>Madison</t>
  </si>
  <si>
    <t>DSP/Newkirk</t>
  </si>
  <si>
    <t>Resigned</t>
  </si>
  <si>
    <t>Boshears</t>
  </si>
  <si>
    <t>Andrew</t>
  </si>
  <si>
    <t>DSP 2292 Turnpike</t>
  </si>
  <si>
    <t>Total New Hires:</t>
  </si>
  <si>
    <t>InYes:</t>
  </si>
  <si>
    <t>Terminations:</t>
  </si>
  <si>
    <t>TRANSFERS</t>
  </si>
  <si>
    <t>First</t>
  </si>
  <si>
    <t>From</t>
  </si>
  <si>
    <t>To</t>
  </si>
  <si>
    <t>MCF Received</t>
  </si>
  <si>
    <t>Effective Date</t>
  </si>
  <si>
    <t>Lift Van</t>
  </si>
  <si>
    <t>Job Desc/MOU</t>
  </si>
  <si>
    <t>Delegations</t>
  </si>
  <si>
    <t>Therapies</t>
  </si>
  <si>
    <t>Hurd</t>
  </si>
  <si>
    <t>Michael</t>
  </si>
  <si>
    <t>2292 Turnpike</t>
  </si>
  <si>
    <t>Tiffin</t>
  </si>
  <si>
    <t>QUIT</t>
  </si>
  <si>
    <t>Hamby</t>
  </si>
  <si>
    <t>Travis</t>
  </si>
  <si>
    <t>Tiffin Days</t>
  </si>
  <si>
    <t>Tiffin Nights</t>
  </si>
  <si>
    <t>Bowens</t>
  </si>
  <si>
    <t>Abigail</t>
  </si>
  <si>
    <t xml:space="preserve">Tiffin  </t>
  </si>
  <si>
    <t>200 Latimer</t>
  </si>
  <si>
    <t>Valentine</t>
  </si>
  <si>
    <t>Mariah</t>
  </si>
  <si>
    <t>Northwestern</t>
  </si>
  <si>
    <t>Carbajal</t>
  </si>
  <si>
    <t>Antionette</t>
  </si>
  <si>
    <t>Lower Valley</t>
  </si>
  <si>
    <t>345 West Outer</t>
  </si>
  <si>
    <t>Weaver</t>
  </si>
  <si>
    <t>Nynaka</t>
  </si>
  <si>
    <t>Hamilton B</t>
  </si>
  <si>
    <t>Hamilton A</t>
  </si>
  <si>
    <t>Ousley</t>
  </si>
  <si>
    <t>Total Transfers:</t>
  </si>
  <si>
    <t>February 2026 — New Hires &amp; Transfers</t>
  </si>
  <si>
    <t>Lawrence</t>
  </si>
  <si>
    <t>Elise</t>
  </si>
  <si>
    <t>Coon</t>
  </si>
  <si>
    <t>Kendra</t>
  </si>
  <si>
    <t>HM 363, 367</t>
  </si>
  <si>
    <t>Madtes</t>
  </si>
  <si>
    <t>Amara</t>
  </si>
  <si>
    <t>Accred. Spec.</t>
  </si>
  <si>
    <t>Phillips</t>
  </si>
  <si>
    <t>Monica</t>
  </si>
  <si>
    <t>HM Lower Valley, 196</t>
  </si>
  <si>
    <t>Dicandio</t>
  </si>
  <si>
    <t>Makayla</t>
  </si>
  <si>
    <t>HM</t>
  </si>
  <si>
    <t>Christison</t>
  </si>
  <si>
    <t>Heaven</t>
  </si>
  <si>
    <t xml:space="preserve">DSP/Lawton </t>
  </si>
  <si>
    <t>ELC/LLL</t>
  </si>
  <si>
    <t>Devlin</t>
  </si>
  <si>
    <t>Floater</t>
  </si>
  <si>
    <t>Garcia</t>
  </si>
  <si>
    <t>Accts. Payable</t>
  </si>
  <si>
    <t>Niyonkuru</t>
  </si>
  <si>
    <t>James</t>
  </si>
  <si>
    <t>Super Imposed</t>
  </si>
  <si>
    <t>Williams</t>
  </si>
  <si>
    <t>Lynne</t>
  </si>
  <si>
    <t>HR admin Asst</t>
  </si>
  <si>
    <t>Bingham</t>
  </si>
  <si>
    <t>Tanytha</t>
  </si>
  <si>
    <t>131 Wads/DSP</t>
  </si>
  <si>
    <t>White</t>
  </si>
  <si>
    <t>Linda</t>
  </si>
  <si>
    <t>Tiffin/DSP</t>
  </si>
  <si>
    <t>Waterman</t>
  </si>
  <si>
    <t>Sarah</t>
  </si>
  <si>
    <t>Newkirk/DSP</t>
  </si>
  <si>
    <t>Pearson</t>
  </si>
  <si>
    <t>Khloe</t>
  </si>
  <si>
    <t>363 W Outer/DSP</t>
  </si>
  <si>
    <t>Gilbert</t>
  </si>
  <si>
    <t>Michelle</t>
  </si>
  <si>
    <t>Ruffner</t>
  </si>
  <si>
    <t>Kelsey</t>
  </si>
  <si>
    <t>Davis</t>
  </si>
  <si>
    <t>Emily</t>
  </si>
  <si>
    <t>Alger/DSP</t>
  </si>
  <si>
    <t>Chew</t>
  </si>
  <si>
    <t>Brandi</t>
  </si>
  <si>
    <t>HM ham A &amp; B</t>
  </si>
  <si>
    <t>Jordan</t>
  </si>
  <si>
    <t>Austin</t>
  </si>
  <si>
    <t>DSP/Tucker</t>
  </si>
  <si>
    <t>Hale</t>
  </si>
  <si>
    <t>Leah</t>
  </si>
  <si>
    <t>Lower Valley/DSP</t>
  </si>
  <si>
    <t>Sargent</t>
  </si>
  <si>
    <t>Grace</t>
  </si>
  <si>
    <t>Part-Time</t>
  </si>
  <si>
    <t>Miracle</t>
  </si>
  <si>
    <t>Will</t>
  </si>
  <si>
    <t>Turner</t>
  </si>
  <si>
    <t>Leslie</t>
  </si>
  <si>
    <t>PSR</t>
  </si>
  <si>
    <t>CM</t>
  </si>
  <si>
    <t>Manuel</t>
  </si>
  <si>
    <t>Carley</t>
  </si>
  <si>
    <t>Teacher</t>
  </si>
  <si>
    <t>Assistant Director</t>
  </si>
  <si>
    <t>Loper</t>
  </si>
  <si>
    <t>Lorelei</t>
  </si>
  <si>
    <t>AA / LLL</t>
  </si>
  <si>
    <t>Facilities Clerk</t>
  </si>
  <si>
    <t>Boone</t>
  </si>
  <si>
    <t>Brittany</t>
  </si>
  <si>
    <t>Livingston</t>
  </si>
  <si>
    <t>Waterhouse</t>
  </si>
  <si>
    <t>Salah</t>
  </si>
  <si>
    <t>AT</t>
  </si>
  <si>
    <t>PT Floater</t>
  </si>
  <si>
    <t>Lackey</t>
  </si>
  <si>
    <t>Autumn</t>
  </si>
  <si>
    <t>Turnpike</t>
  </si>
  <si>
    <t>Shortridge</t>
  </si>
  <si>
    <t>Cynthia</t>
  </si>
  <si>
    <t>131 Atlanta</t>
  </si>
  <si>
    <t>McDaniel</t>
  </si>
  <si>
    <t>Dario</t>
  </si>
  <si>
    <t>March 2026 — New Hires &amp; Transfers</t>
  </si>
  <si>
    <t>Buckmaster</t>
  </si>
  <si>
    <t>Kelly</t>
  </si>
  <si>
    <t>Sturgeon</t>
  </si>
  <si>
    <t>McNaughton</t>
  </si>
  <si>
    <t>Cheryl</t>
  </si>
  <si>
    <t>DSP Dalton</t>
  </si>
  <si>
    <t>Andrades</t>
  </si>
  <si>
    <t>Maria</t>
  </si>
  <si>
    <t>Hodges</t>
  </si>
  <si>
    <t>Sequoyah</t>
  </si>
  <si>
    <t>DSP P/T Hamilton B</t>
  </si>
  <si>
    <t>Brant</t>
  </si>
  <si>
    <t>Dreama</t>
  </si>
  <si>
    <t>Res. Manager</t>
  </si>
  <si>
    <t>Larsen</t>
  </si>
  <si>
    <t>Alyse</t>
  </si>
  <si>
    <t>Manzella</t>
  </si>
  <si>
    <t>John</t>
  </si>
  <si>
    <t>Com. Serv. Manager</t>
  </si>
  <si>
    <t>Henegar</t>
  </si>
  <si>
    <t>Emma</t>
  </si>
  <si>
    <t>Employment Coach</t>
  </si>
  <si>
    <t>Fisher</t>
  </si>
  <si>
    <t>Brianna</t>
  </si>
  <si>
    <t>Childress</t>
  </si>
  <si>
    <t>Sean</t>
  </si>
  <si>
    <t>1111 McAdoo</t>
  </si>
  <si>
    <t>SI</t>
  </si>
  <si>
    <t>Foster</t>
  </si>
  <si>
    <t>Kasey</t>
  </si>
  <si>
    <t>RM</t>
  </si>
  <si>
    <t>Ass. Residential Dir.</t>
  </si>
  <si>
    <t>Gordon</t>
  </si>
  <si>
    <t>Olivia</t>
  </si>
  <si>
    <t>2290 Turnpike</t>
  </si>
  <si>
    <t>Liles</t>
  </si>
  <si>
    <t>Randy</t>
  </si>
  <si>
    <t>1111 McADdoo</t>
  </si>
  <si>
    <t>150 Alger Rd</t>
  </si>
  <si>
    <t>Scates</t>
  </si>
  <si>
    <t>Quincy</t>
  </si>
  <si>
    <t>367 W Outer</t>
  </si>
  <si>
    <t>363 W Outer</t>
  </si>
  <si>
    <t>Ramos</t>
  </si>
  <si>
    <t>Mona</t>
  </si>
  <si>
    <t>Brown</t>
  </si>
  <si>
    <t>Sally</t>
  </si>
  <si>
    <t>April 2026 — New Hires &amp; Transfers</t>
  </si>
  <si>
    <t>Chadwell</t>
  </si>
  <si>
    <t>Matthew</t>
  </si>
  <si>
    <t>Program Spec</t>
  </si>
  <si>
    <t>Jones</t>
  </si>
  <si>
    <t>Pending</t>
  </si>
  <si>
    <t>Asst teacher</t>
  </si>
  <si>
    <t>Alley</t>
  </si>
  <si>
    <t>Julianna</t>
  </si>
  <si>
    <t>PSR Specialist</t>
  </si>
  <si>
    <t>Martin</t>
  </si>
  <si>
    <t>Asha</t>
  </si>
  <si>
    <t>Cannon</t>
  </si>
  <si>
    <t>Joseph</t>
  </si>
  <si>
    <t>DSP Turnpike 2292</t>
  </si>
  <si>
    <t>Shepperd</t>
  </si>
  <si>
    <t>DSP Livingston</t>
  </si>
  <si>
    <t>Manning</t>
  </si>
  <si>
    <t>Alandria</t>
  </si>
  <si>
    <t>Operations</t>
  </si>
  <si>
    <t>Thomas</t>
  </si>
  <si>
    <t>Wesley</t>
  </si>
  <si>
    <t>Ivey</t>
  </si>
  <si>
    <t>Charles</t>
  </si>
  <si>
    <t>Jefferson Circle</t>
  </si>
  <si>
    <t>Durham</t>
  </si>
  <si>
    <t>May 2026 — New Hires &amp; Transfers</t>
  </si>
  <si>
    <t>June 2026 — New Hires &amp; Transfers</t>
  </si>
  <si>
    <t>July 2026 — New Hires &amp; Transfers</t>
  </si>
  <si>
    <t>August 2026 — New Hires &amp; Transfers</t>
  </si>
  <si>
    <t>September 2026 — New Hires &amp; Transfers</t>
  </si>
  <si>
    <t>October 2026 — New Hires &amp; Transfers</t>
  </si>
  <si>
    <t>November 2026 — New Hires &amp; Transfers</t>
  </si>
  <si>
    <t>December 2026 — New Hires &amp; Transfers</t>
  </si>
  <si>
    <t>ONBOARDING REPORT — Incomplete Training</t>
  </si>
  <si>
    <t>Missing Training</t>
  </si>
  <si>
    <t>Days Since Hire</t>
  </si>
  <si>
    <t>Med Cert; Mealtime; Delegation</t>
  </si>
  <si>
    <t>3 Phase; Med Cert; UKERU; Mealtime; Delegation</t>
  </si>
  <si>
    <t>3 Phase; Med Cert; Mealtime; Therapy</t>
  </si>
  <si>
    <t>3 Phase; Med Cert; Delegation</t>
  </si>
  <si>
    <t>3 Phase; Med Cert</t>
  </si>
  <si>
    <t>Med Cert; UKERU; Mealtime</t>
  </si>
  <si>
    <t>3 Phase; Med Cert; Mealtime</t>
  </si>
  <si>
    <t>3 Phase; Med Cert; Mealtime; Therapy; ITSP; Delegation</t>
  </si>
  <si>
    <t>3 Phase; Med Cert; UKERU</t>
  </si>
  <si>
    <t>Med Cert; Mealtime</t>
  </si>
  <si>
    <t>3 Phase; Job Desc; Med Cert; UKERU; Therapy; ITSP</t>
  </si>
  <si>
    <t>3 Phase; Job Desc; Med Cert; UKERU; Mealtime; Therapy; ITSP; Delegation</t>
  </si>
  <si>
    <t>3 Phase; Job Desc; Med Cert; UKERU; Mealtime; Therapy; ITSP</t>
  </si>
  <si>
    <t>3 Phase; Job Desc; Med Cert; UKERU; Therapy; ITSP; Delegation</t>
  </si>
  <si>
    <t>DSP P/T</t>
  </si>
  <si>
    <t>Relias; 3 Phase; Job Desc; CPR/FA; Med Cert; UKERU; Mealtime; Therapy; ITSP; Delegation</t>
  </si>
  <si>
    <t>DSP</t>
  </si>
  <si>
    <t>TERMINATION REPORT — Separations</t>
  </si>
  <si>
    <t>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</si>
</sst>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28">
    <font>
      <sz val="11"/>
      <color theme="1"/>
      <name val="Calibri"/>
      <family val="2"/>
      <charset val="1"/>
    </font>
    <font>
      <b/>
      <sz val="10"/>
      <color rgb="FFFFFFFF"/>
      <name val="Grandview"/>
      <family val="2"/>
    </font>
    <font>
      <sz val="10"/>
      <color theme="1"/>
      <name val="Grandview"/>
      <family val="2"/>
    </font>
    <font>
      <b/>
      <sz val="10"/>
      <color rgb="FF1B2A4A"/>
      <name val="Grandview"/>
      <family val="2"/>
    </font>
    <font>
      <sz val="11"/>
      <color theme="1"/>
      <name val="Grandview"/>
      <family val="2"/>
    </font>
    <font>
      <u/>
      <sz val="10"/>
      <color rgb="FF1155CC"/>
      <name val="Grandview"/>
      <family val="2"/>
    </font>
    <font>
      <sz val="10"/>
      <color rgb="FF333333"/>
      <name val="Grandview"/>
      <family val="2"/>
    </font>
    <font>
      <b/>
      <sz val="10"/>
      <color rgb="FF333333"/>
      <name val="Grandview"/>
      <family val="2"/>
    </font>
    <font>
      <b/>
      <u/>
      <sz val="10"/>
      <color rgb="FF0563C1"/>
      <name val="Grandview"/>
      <family val="2"/>
    </font>
    <font>
      <b/>
      <sz val="10"/>
      <color theme="1"/>
      <name val="Grandview"/>
      <family val="2"/>
    </font>
    <font>
      <b/>
      <sz val="10"/>
      <color rgb="FFFF0000"/>
      <name val="Grandview"/>
      <family val="2"/>
    </font>
    <font>
      <sz val="10"/>
      <color rgb="FF000000"/>
      <name val="Grandview"/>
      <family val="2"/>
    </font>
    <font>
      <b/>
      <sz val="9"/>
      <color rgb="FFFFFFFF"/>
      <name val="Grandview"/>
      <family val="2"/>
    </font>
    <font>
      <b/>
      <sz val="16"/>
      <color rgb="FFFFFFFF"/>
      <name val="Grandview"/>
      <family val="2"/>
    </font>
    <font>
      <b/>
      <sz val="12"/>
      <color rgb="FFFFFFFF"/>
      <name val="Grandview"/>
      <family val="2"/>
    </font>
    <font>
      <sz val="9"/>
      <color rgb="FF333333"/>
      <name val="Grandview"/>
      <family val="2"/>
    </font>
    <font>
      <b/>
      <sz val="10"/>
      <color rgb="FF2D6A4F"/>
      <name val="Grandview"/>
      <family val="2"/>
    </font>
    <font>
      <b/>
      <sz val="10"/>
      <color rgb="FFC1121F"/>
      <name val="Grandview"/>
      <family val="2"/>
    </font>
    <font>
      <b/>
      <sz val="10"/>
      <color rgb="FFCC5803"/>
      <name val="Grandview"/>
      <family val="2"/>
    </font>
    <font>
      <u/>
      <sz val="9"/>
      <color rgb="FF2E5090"/>
      <name val="Aptos"/>
      <family val="2"/>
    </font>
    <font>
      <sz val="10"/>
      <color rgb="FF333333"/>
      <name val="Aptos"/>
      <family val="2"/>
    </font>
    <font>
      <strike/>
      <sz val="9"/>
      <color rgb="FF8C8C8C"/>
      <name val="Grandview"/>
      <family val="2"/>
    </font>
    <font>
      <sz val="9"/>
      <name val="Grandview"/>
      <family val="2"/>
    </font>
    <font>
      <sz val="9"/>
      <color indexed="81"/>
      <name val="Tahoma"/>
      <family val="2"/>
    </font>
    <font>
      <sz val="10"/>
      <name val="Grandview"/>
      <family val="2"/>
    </font>
    <font>
      <sz val="9"/>
      <color indexed="81"/>
      <name val="Tahoma"/>
    </font>
    <font>
      <sz val="9"/>
      <color indexed="81"/>
      <name val="Tahoma"/>
      <charset val="1"/>
    </font>
    <font>
      <b/>
      <sz val="9"/>
      <color rgb="FF333333"/>
      <name val="Grandview"/>
      <family val="2"/>
    </font>
  </fonts>
  <fills count="22">
    <fill>
      <patternFill patternType="none"/>
    </fill>
    <fill>
      <patternFill patternType="gray125"/>
    </fill>
    <fill>
      <patternFill patternType="solid">
        <fgColor rgb="FF1B2A4A"/>
        <bgColor rgb="FF333333"/>
      </patternFill>
    </fill>
    <fill>
      <patternFill patternType="solid">
        <fgColor rgb="FFEAF0F9"/>
        <bgColor rgb="FFE8EDF5"/>
      </patternFill>
    </fill>
    <fill>
      <patternFill patternType="solid">
        <fgColor rgb="FF2D6A4F"/>
        <bgColor rgb="FF1B6B2F"/>
      </patternFill>
    </fill>
    <fill>
      <patternFill patternType="solid">
        <fgColor rgb="FFCC5803"/>
        <bgColor rgb="FFB22222"/>
      </patternFill>
    </fill>
    <fill>
      <patternFill patternType="solid">
        <fgColor rgb="FFC1121F"/>
        <bgColor rgb="FFB22222"/>
      </patternFill>
    </fill>
    <fill>
      <patternFill patternType="solid">
        <fgColor rgb="FF3B7DD8"/>
        <bgColor rgb="FF0563C1"/>
      </patternFill>
    </fill>
    <fill>
      <patternFill patternType="solid">
        <fgColor rgb="FF2E5090"/>
        <bgColor rgb="FF2C5282"/>
      </patternFill>
    </fill>
    <fill>
      <patternFill patternType="solid">
        <fgColor rgb="FFE8EDF5"/>
        <bgColor rgb="FFEAF0F9"/>
      </patternFill>
    </fill>
    <fill>
      <patternFill patternType="solid">
        <fgColor rgb="FF6C3483"/>
        <bgColor rgb="FF8E44AD"/>
      </patternFill>
    </fill>
    <fill>
      <patternFill patternType="solid">
        <fgColor rgb="FFD6E4F0"/>
        <bgColor rgb="FFD9D9D9"/>
      </patternFill>
    </fill>
    <fill>
      <patternFill patternType="solid">
        <fgColor rgb="FF8E44AD"/>
        <bgColor rgb="FF6C3483"/>
      </patternFill>
    </fill>
    <fill>
      <patternFill patternType="solid">
        <fgColor rgb="FFEAF0F9"/>
        <bgColor indexed="64"/>
      </patternFill>
    </fill>
    <fill>
      <patternFill patternType="solid">
        <fgColor rgb="FF1B2A4A"/>
        <bgColor indexed="64"/>
      </patternFill>
    </fill>
    <fill>
      <patternFill patternType="solid">
        <fgColor rgb="FF2E5090"/>
        <bgColor indexed="64"/>
      </patternFill>
    </fill>
    <fill>
      <patternFill patternType="solid">
        <fgColor rgb="FF8B2E3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9D9D9"/>
        <bgColor rgb="FFE8EDF5"/>
      </patternFill>
    </fill>
    <fill>
      <patternFill patternType="solid">
        <fgColor rgb="FF2E5090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rgb="FFD0D0D0"/>
      </left>
      <right/>
      <top style="thin">
        <color rgb="FFD0D0D0"/>
      </top>
      <bottom style="thin">
        <color rgb="FFD0D0D0"/>
      </bottom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/>
      <right/>
      <top style="thin">
        <color rgb="FFD0D0D0"/>
      </top>
      <bottom style="thin">
        <color rgb="FFD0D0D0"/>
      </bottom>
      <diagonal/>
    </border>
    <border>
      <left/>
      <right/>
      <top/>
      <bottom style="medium">
        <color rgb="FF1B2A4A"/>
      </bottom>
      <diagonal/>
    </border>
    <border>
      <left/>
      <right/>
      <top/>
      <bottom style="medium">
        <color rgb="FF5A1E1E"/>
      </bottom>
      <diagonal/>
    </border>
    <border>
      <left style="thin">
        <color rgb="FFD0D0D0"/>
      </left>
      <right style="thin">
        <color rgb="FFD0D0D0"/>
      </right>
      <top/>
      <bottom style="thin">
        <color rgb="FFD0D0D0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D0D0D0"/>
      </right>
      <top style="thin">
        <color rgb="FFD0D0D0"/>
      </top>
      <bottom style="thin">
        <color rgb="FFD0D0D0"/>
      </bottom>
      <diagonal/>
    </border>
  </borders>
  <cellStyleXfs count="1">
    <xf numFmtId="0" fontId="0" fillId="0" borderId="0"/>
  </cellStyleXfs>
  <cellXfs count="115">
    <xf numFmtId="0" fontId="0" fillId="0" borderId="0" xfId="0"/>
    <xf numFmtId="0" fontId="2" fillId="0" borderId="0" xfId="0" applyFont="1" applyAlignment="1">
      <alignment horizontal="center" vertical="center"/>
    </xf>
    <xf numFmtId="0" fontId="5" fillId="0" borderId="2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10" fontId="6" fillId="0" borderId="2" xfId="0" applyNumberFormat="1" applyFont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7" fillId="9" borderId="2" xfId="0" applyFont="1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 wrapText="1"/>
    </xf>
    <xf numFmtId="9" fontId="7" fillId="9" borderId="2" xfId="0" applyNumberFormat="1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 wrapText="1"/>
    </xf>
    <xf numFmtId="9" fontId="6" fillId="3" borderId="2" xfId="0" applyNumberFormat="1" applyFont="1" applyFill="1" applyBorder="1" applyAlignment="1">
      <alignment horizontal="center" vertical="center" wrapText="1"/>
    </xf>
    <xf numFmtId="9" fontId="6" fillId="0" borderId="2" xfId="0" applyNumberFormat="1" applyFont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" fillId="0" borderId="0" xfId="0" applyFont="1"/>
    <xf numFmtId="0" fontId="8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11" borderId="2" xfId="0" applyFont="1" applyFill="1" applyBorder="1" applyAlignment="1">
      <alignment horizontal="center" vertical="center" wrapText="1"/>
    </xf>
    <xf numFmtId="14" fontId="6" fillId="0" borderId="2" xfId="0" applyNumberFormat="1" applyFont="1" applyBorder="1" applyAlignment="1">
      <alignment horizontal="center" vertical="center" wrapText="1"/>
    </xf>
    <xf numFmtId="0" fontId="1" fillId="12" borderId="2" xfId="0" applyFont="1" applyFill="1" applyBorder="1" applyAlignment="1">
      <alignment horizontal="left" vertical="center" wrapText="1"/>
    </xf>
    <xf numFmtId="0" fontId="9" fillId="0" borderId="0" xfId="0" applyFont="1"/>
    <xf numFmtId="0" fontId="10" fillId="0" borderId="2" xfId="0" applyFont="1" applyBorder="1" applyAlignment="1">
      <alignment horizontal="left" vertical="center" wrapText="1"/>
    </xf>
    <xf numFmtId="0" fontId="6" fillId="0" borderId="2" xfId="0" applyFont="1" applyBorder="1" applyAlignment="1">
      <alignment horizontal="left" vertical="center" wrapText="1"/>
    </xf>
    <xf numFmtId="0" fontId="11" fillId="0" borderId="2" xfId="0" applyFont="1" applyBorder="1" applyAlignment="1">
      <alignment horizontal="left" vertical="center" wrapText="1"/>
    </xf>
    <xf numFmtId="0" fontId="12" fillId="8" borderId="2" xfId="0" applyFont="1" applyFill="1" applyBorder="1" applyAlignment="1">
      <alignment horizontal="center" vertical="center" wrapText="1"/>
    </xf>
    <xf numFmtId="0" fontId="15" fillId="3" borderId="2" xfId="0" applyFont="1" applyFill="1" applyBorder="1" applyAlignment="1">
      <alignment horizontal="center" vertical="center" wrapText="1"/>
    </xf>
    <xf numFmtId="164" fontId="15" fillId="3" borderId="2" xfId="0" applyNumberFormat="1" applyFont="1" applyFill="1" applyBorder="1" applyAlignment="1">
      <alignment horizontal="center" vertical="center" wrapText="1"/>
    </xf>
    <xf numFmtId="14" fontId="15" fillId="3" borderId="2" xfId="0" applyNumberFormat="1" applyFont="1" applyFill="1" applyBorder="1" applyAlignment="1">
      <alignment horizontal="center" vertical="center" wrapText="1"/>
    </xf>
    <xf numFmtId="0" fontId="15" fillId="13" borderId="2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9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9" fontId="3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6" fontId="15" fillId="13" borderId="2" xfId="0" applyNumberFormat="1" applyFont="1" applyFill="1" applyBorder="1" applyAlignment="1">
      <alignment horizontal="center" vertical="center" wrapText="1"/>
    </xf>
    <xf numFmtId="0" fontId="19" fillId="0" borderId="0" xfId="0" applyFont="1"/>
    <xf numFmtId="0" fontId="20" fillId="0" borderId="0" xfId="0" applyFont="1"/>
    <xf numFmtId="0" fontId="12" fillId="15" borderId="4" xfId="0" applyFont="1" applyFill="1" applyBorder="1" applyAlignment="1">
      <alignment horizontal="center" vertical="center"/>
    </xf>
    <xf numFmtId="0" fontId="12" fillId="16" borderId="5" xfId="0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14" fontId="6" fillId="0" borderId="2" xfId="0" applyNumberFormat="1" applyFont="1" applyBorder="1" applyAlignment="1">
      <alignment horizontal="left" vertical="center" wrapText="1"/>
    </xf>
    <xf numFmtId="0" fontId="15" fillId="0" borderId="2" xfId="0" applyFont="1" applyBorder="1" applyAlignment="1">
      <alignment horizontal="center" vertical="center" wrapText="1"/>
    </xf>
    <xf numFmtId="164" fontId="15" fillId="0" borderId="2" xfId="0" applyNumberFormat="1" applyFont="1" applyBorder="1" applyAlignment="1">
      <alignment horizontal="center" vertical="center" wrapText="1"/>
    </xf>
    <xf numFmtId="14" fontId="2" fillId="17" borderId="0" xfId="0" applyNumberFormat="1" applyFont="1" applyFill="1" applyAlignment="1">
      <alignment horizontal="left" vertical="center"/>
    </xf>
    <xf numFmtId="0" fontId="2" fillId="17" borderId="0" xfId="0" applyFont="1" applyFill="1" applyAlignment="1">
      <alignment horizontal="left" vertical="center"/>
    </xf>
    <xf numFmtId="14" fontId="6" fillId="17" borderId="2" xfId="0" applyNumberFormat="1" applyFont="1" applyFill="1" applyBorder="1" applyAlignment="1">
      <alignment horizontal="left" vertical="center" wrapText="1"/>
    </xf>
    <xf numFmtId="0" fontId="6" fillId="17" borderId="2" xfId="0" applyFont="1" applyFill="1" applyBorder="1" applyAlignment="1">
      <alignment horizontal="left" vertical="center" wrapText="1"/>
    </xf>
    <xf numFmtId="0" fontId="20" fillId="13" borderId="2" xfId="0" applyFont="1" applyFill="1" applyBorder="1"/>
    <xf numFmtId="164" fontId="20" fillId="13" borderId="2" xfId="0" applyNumberFormat="1" applyFont="1" applyFill="1" applyBorder="1"/>
    <xf numFmtId="0" fontId="1" fillId="8" borderId="6" xfId="0" applyFont="1" applyFill="1" applyBorder="1" applyAlignment="1">
      <alignment horizontal="center" vertical="center" wrapText="1"/>
    </xf>
    <xf numFmtId="16" fontId="15" fillId="3" borderId="2" xfId="0" applyNumberFormat="1" applyFont="1" applyFill="1" applyBorder="1" applyAlignment="1">
      <alignment horizontal="center" vertical="center" wrapText="1"/>
    </xf>
    <xf numFmtId="0" fontId="21" fillId="18" borderId="2" xfId="0" applyFont="1" applyFill="1" applyBorder="1" applyAlignment="1">
      <alignment horizontal="center" vertical="center" wrapText="1"/>
    </xf>
    <xf numFmtId="164" fontId="21" fillId="18" borderId="2" xfId="0" applyNumberFormat="1" applyFont="1" applyFill="1" applyBorder="1" applyAlignment="1">
      <alignment horizontal="center" vertical="center" wrapText="1"/>
    </xf>
    <xf numFmtId="0" fontId="21" fillId="19" borderId="2" xfId="0" applyFont="1" applyFill="1" applyBorder="1" applyAlignment="1">
      <alignment horizontal="center" vertical="center" wrapText="1"/>
    </xf>
    <xf numFmtId="164" fontId="21" fillId="19" borderId="2" xfId="0" applyNumberFormat="1" applyFont="1" applyFill="1" applyBorder="1" applyAlignment="1">
      <alignment horizontal="center" vertical="center" wrapText="1"/>
    </xf>
    <xf numFmtId="14" fontId="15" fillId="0" borderId="2" xfId="0" applyNumberFormat="1" applyFont="1" applyBorder="1" applyAlignment="1">
      <alignment horizontal="center" vertical="center" wrapText="1"/>
    </xf>
    <xf numFmtId="14" fontId="21" fillId="18" borderId="2" xfId="0" applyNumberFormat="1" applyFont="1" applyFill="1" applyBorder="1" applyAlignment="1">
      <alignment horizontal="center" vertical="center" wrapText="1"/>
    </xf>
    <xf numFmtId="16" fontId="21" fillId="18" borderId="2" xfId="0" applyNumberFormat="1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9" fontId="3" fillId="0" borderId="0" xfId="0" applyNumberFormat="1" applyFont="1" applyAlignment="1">
      <alignment horizontal="center" vertical="center" wrapText="1"/>
    </xf>
    <xf numFmtId="0" fontId="7" fillId="9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164" fontId="22" fillId="18" borderId="2" xfId="0" applyNumberFormat="1" applyFont="1" applyFill="1" applyBorder="1" applyAlignment="1">
      <alignment horizontal="center" vertical="center" wrapText="1"/>
    </xf>
    <xf numFmtId="164" fontId="22" fillId="3" borderId="2" xfId="0" applyNumberFormat="1" applyFont="1" applyFill="1" applyBorder="1" applyAlignment="1">
      <alignment horizontal="center" vertical="center" wrapText="1"/>
    </xf>
    <xf numFmtId="164" fontId="22" fillId="0" borderId="2" xfId="0" applyNumberFormat="1" applyFont="1" applyBorder="1" applyAlignment="1">
      <alignment horizontal="center" vertical="center" wrapText="1"/>
    </xf>
    <xf numFmtId="0" fontId="24" fillId="0" borderId="2" xfId="0" applyFont="1" applyBorder="1" applyAlignment="1">
      <alignment horizontal="left" vertical="center" wrapText="1"/>
    </xf>
    <xf numFmtId="0" fontId="15" fillId="21" borderId="2" xfId="0" applyFont="1" applyFill="1" applyBorder="1" applyAlignment="1">
      <alignment horizontal="center" vertical="center" wrapText="1"/>
    </xf>
    <xf numFmtId="164" fontId="15" fillId="21" borderId="2" xfId="0" applyNumberFormat="1" applyFont="1" applyFill="1" applyBorder="1" applyAlignment="1">
      <alignment horizontal="center" vertical="center" wrapText="1"/>
    </xf>
    <xf numFmtId="0" fontId="12" fillId="20" borderId="2" xfId="0" applyFont="1" applyFill="1" applyBorder="1" applyAlignment="1">
      <alignment horizontal="center" vertical="center" wrapText="1"/>
    </xf>
    <xf numFmtId="0" fontId="20" fillId="0" borderId="2" xfId="0" applyFont="1" applyBorder="1"/>
    <xf numFmtId="164" fontId="20" fillId="0" borderId="2" xfId="0" applyNumberFormat="1" applyFont="1" applyBorder="1"/>
    <xf numFmtId="10" fontId="6" fillId="3" borderId="2" xfId="0" applyNumberFormat="1" applyFont="1" applyFill="1" applyBorder="1" applyAlignment="1">
      <alignment horizontal="center" vertical="center" wrapText="1"/>
    </xf>
    <xf numFmtId="0" fontId="27" fillId="3" borderId="2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6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1" fillId="4" borderId="1" xfId="0" applyFont="1" applyFill="1" applyBorder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13" fillId="2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7" fillId="9" borderId="1" xfId="0" applyFont="1" applyFill="1" applyBorder="1" applyAlignment="1">
      <alignment horizontal="center" vertical="center"/>
    </xf>
    <xf numFmtId="0" fontId="14" fillId="4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14" fillId="5" borderId="0" xfId="0" applyFont="1" applyFill="1" applyAlignment="1">
      <alignment horizontal="center" vertical="center" wrapText="1"/>
    </xf>
    <xf numFmtId="0" fontId="7" fillId="9" borderId="1" xfId="0" applyFont="1" applyFill="1" applyBorder="1" applyAlignment="1">
      <alignment horizontal="center" vertical="center" wrapText="1"/>
    </xf>
    <xf numFmtId="0" fontId="7" fillId="9" borderId="10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3" fillId="14" borderId="0" xfId="0" applyFont="1" applyFill="1" applyAlignment="1">
      <alignment horizontal="left" vertical="center" indent="1"/>
    </xf>
    <xf numFmtId="0" fontId="0" fillId="0" borderId="7" xfId="0" applyBorder="1" applyAlignment="1"/>
    <xf numFmtId="0" fontId="0" fillId="0" borderId="3" xfId="0" applyBorder="1" applyAlignment="1"/>
    <xf numFmtId="0" fontId="0" fillId="0" borderId="8" xfId="0" applyBorder="1" applyAlignment="1"/>
    <xf numFmtId="0" fontId="20" fillId="0" borderId="0" xfId="0" applyFont="1" applyAlignment="1"/>
  </cellXfs>
  <cellStyles count="1">
    <cellStyle name="Normal" xfId="0" builtinId="0"/>
  </cellStyles>
  <dxfs count="104"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1121F"/>
      <rgbColor rgb="FF00FF00"/>
      <rgbColor rgb="FF0000FF"/>
      <rgbColor rgb="FFFFFF00"/>
      <rgbColor rgb="FFFF00FF"/>
      <rgbColor rgb="FF00FFFF"/>
      <rgbColor rgb="FF8B0000"/>
      <rgbColor rgb="FF1B6B2F"/>
      <rgbColor rgb="FF000080"/>
      <rgbColor rgb="FF808000"/>
      <rgbColor rgb="FF800080"/>
      <rgbColor rgb="FF2D6A4F"/>
      <rgbColor rgb="FFD9D9D9"/>
      <rgbColor rgb="FF808080"/>
      <rgbColor rgb="FF9999FF"/>
      <rgbColor rgb="FF6C3483"/>
      <rgbColor rgb="FFFDE8E8"/>
      <rgbColor rgb="FFEAF0F9"/>
      <rgbColor rgb="FF660066"/>
      <rgbColor rgb="FFFF8080"/>
      <rgbColor rgb="FF0563C1"/>
      <rgbColor rgb="FFD0D0D0"/>
      <rgbColor rgb="FF000080"/>
      <rgbColor rgb="FFFF00FF"/>
      <rgbColor rgb="FFFFFF00"/>
      <rgbColor rgb="FF00FFFF"/>
      <rgbColor rgb="FF800080"/>
      <rgbColor rgb="FF800000"/>
      <rgbColor rgb="FF1155CC"/>
      <rgbColor rgb="FF0000FF"/>
      <rgbColor rgb="FF00CCFF"/>
      <rgbColor rgb="FFE8EDF5"/>
      <rgbColor rgb="FFD6E4F0"/>
      <rgbColor rgb="FFFFFF99"/>
      <rgbColor rgb="FF99CCFF"/>
      <rgbColor rgb="FFFF99CC"/>
      <rgbColor rgb="FFCC99FF"/>
      <rgbColor rgb="FFFFCC99"/>
      <rgbColor rgb="FF3B7DD8"/>
      <rgbColor rgb="FF33CCCC"/>
      <rgbColor rgb="FF99CC00"/>
      <rgbColor rgb="FFFFCC00"/>
      <rgbColor rgb="FFFF9900"/>
      <rgbColor rgb="FFCC5803"/>
      <rgbColor rgb="FF666666"/>
      <rgbColor rgb="FF8C8C8C"/>
      <rgbColor rgb="FF1B2A4A"/>
      <rgbColor rgb="FF339966"/>
      <rgbColor rgb="FF003300"/>
      <rgbColor rgb="FF2C5282"/>
      <rgbColor rgb="FFB22222"/>
      <rgbColor rgb="FF8E44AD"/>
      <rgbColor rgb="FF2E5090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B2A4A"/>
  </sheetPr>
  <dimension ref="A1:Q53"/>
  <sheetViews>
    <sheetView showGridLines="0" zoomScale="80" zoomScaleNormal="80" workbookViewId="0">
      <pane ySplit="6" topLeftCell="A7" activePane="bottomLeft" state="frozen"/>
      <selection pane="bottomLeft" activeCell="D24" sqref="D24"/>
      <selection activeCell="F16" sqref="F16"/>
    </sheetView>
  </sheetViews>
  <sheetFormatPr defaultColWidth="8.7109375" defaultRowHeight="12.75"/>
  <cols>
    <col min="1" max="1" width="4" style="1" customWidth="1"/>
    <col min="2" max="2" width="15" style="1" customWidth="1"/>
    <col min="3" max="16" width="12" style="1" customWidth="1"/>
    <col min="17" max="17" width="6" style="1" customWidth="1"/>
    <col min="18" max="19" width="8.7109375" style="1" customWidth="1"/>
    <col min="20" max="16384" width="8.7109375" style="1"/>
  </cols>
  <sheetData>
    <row r="1" spans="1:17" ht="24" customHeight="1" thickBot="1">
      <c r="A1" s="85" t="s">
        <v>0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</row>
    <row r="2" spans="1:17" ht="6" customHeight="1">
      <c r="A2" s="87"/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</row>
    <row r="3" spans="1:17" ht="15.75" customHeight="1">
      <c r="A3" s="90" t="s">
        <v>1</v>
      </c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</row>
    <row r="4" spans="1:17" ht="36.75" customHeight="1">
      <c r="B4" s="92" t="s">
        <v>2</v>
      </c>
      <c r="C4" s="112"/>
      <c r="D4" s="112"/>
      <c r="E4" s="92" t="s">
        <v>3</v>
      </c>
      <c r="F4" s="112"/>
      <c r="G4" s="112"/>
      <c r="H4" s="92" t="s">
        <v>4</v>
      </c>
      <c r="I4" s="112"/>
      <c r="J4" s="112"/>
      <c r="K4" s="92" t="s">
        <v>5</v>
      </c>
      <c r="L4" s="112"/>
      <c r="M4" s="112"/>
      <c r="N4" s="92" t="s">
        <v>6</v>
      </c>
      <c r="O4" s="112"/>
      <c r="P4" s="112"/>
    </row>
    <row r="5" spans="1:17" ht="6" customHeight="1">
      <c r="A5" s="87"/>
      <c r="B5" s="87"/>
      <c r="C5" s="87"/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</row>
    <row r="6" spans="1:17" ht="13.5" customHeight="1" thickBot="1"/>
    <row r="7" spans="1:17" ht="15.75" customHeight="1" thickBot="1">
      <c r="A7" s="85" t="s">
        <v>7</v>
      </c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11"/>
      <c r="P7" s="111"/>
      <c r="Q7" s="111"/>
    </row>
    <row r="8" spans="1:17" ht="15" customHeight="1">
      <c r="B8" s="86" t="s">
        <v>8</v>
      </c>
      <c r="C8" s="87"/>
      <c r="D8" s="87"/>
      <c r="E8" s="94" t="s">
        <v>9</v>
      </c>
      <c r="F8" s="87"/>
      <c r="G8" s="87"/>
      <c r="H8" s="93" t="s">
        <v>10</v>
      </c>
      <c r="I8" s="87"/>
      <c r="J8" s="87"/>
      <c r="K8" s="91" t="s">
        <v>11</v>
      </c>
      <c r="L8" s="87"/>
      <c r="M8" s="87"/>
      <c r="N8" s="89" t="s">
        <v>12</v>
      </c>
      <c r="O8" s="87"/>
      <c r="P8" s="87"/>
    </row>
    <row r="9" spans="1:17" ht="25.5" customHeight="1">
      <c r="B9" s="88">
        <f>SUM(January!D21,February!D33,March!D21,April!D23,May!D55,June!D55,July!D55,August!D55,September!D55,October!D55,November!D55,December!D55)</f>
        <v>53</v>
      </c>
      <c r="C9" s="87"/>
      <c r="D9" s="87"/>
      <c r="E9" s="88">
        <f>SUM(January!D75,February!D51,March!D38,April!D42,May!D109,June!D109,July!D109,August!D109,September!D109,October!D109,November!D109,December!D109)</f>
        <v>27</v>
      </c>
      <c r="F9" s="87"/>
      <c r="G9" s="87"/>
      <c r="H9" s="88">
        <f>SUM(January!S21,February!S33,March!S21,April!S23,May!S55,June!S55,July!S55,August!S55,September!S55,October!S55,November!S55,December!S55)</f>
        <v>12</v>
      </c>
      <c r="I9" s="87"/>
      <c r="J9" s="87"/>
      <c r="K9" s="88">
        <f>B9-H9</f>
        <v>41</v>
      </c>
      <c r="L9" s="87"/>
      <c r="M9" s="87"/>
      <c r="N9" s="88">
        <f>SUM(January!J21,February!J33,March!J21,April!J23,May!J55,June!J55,July!J55,August!J55,September!J55,October!J55,November!J55,December!J55)</f>
        <v>33</v>
      </c>
      <c r="O9" s="87"/>
      <c r="P9" s="87"/>
    </row>
    <row r="10" spans="1:17" ht="13.5" customHeight="1" thickBot="1"/>
    <row r="11" spans="1:17" ht="15.75" customHeight="1" thickBot="1">
      <c r="A11" s="85" t="s">
        <v>13</v>
      </c>
      <c r="B11" s="111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11"/>
      <c r="N11" s="111"/>
      <c r="O11" s="111"/>
      <c r="P11" s="111"/>
      <c r="Q11" s="111"/>
    </row>
    <row r="12" spans="1:17" ht="13.5" customHeight="1">
      <c r="B12" s="56" t="s">
        <v>14</v>
      </c>
      <c r="C12" s="56" t="s">
        <v>15</v>
      </c>
      <c r="D12" s="56" t="s">
        <v>16</v>
      </c>
      <c r="E12" s="56" t="s">
        <v>17</v>
      </c>
      <c r="F12" s="56" t="s">
        <v>18</v>
      </c>
      <c r="G12" s="56" t="s">
        <v>19</v>
      </c>
      <c r="H12" s="56" t="s">
        <v>20</v>
      </c>
      <c r="I12" s="56" t="s">
        <v>21</v>
      </c>
      <c r="J12" s="56" t="s">
        <v>22</v>
      </c>
    </row>
    <row r="13" spans="1:17" ht="13.5" customHeight="1">
      <c r="B13" s="2" t="s">
        <v>23</v>
      </c>
      <c r="C13" s="3">
        <f>January!D21</f>
        <v>13</v>
      </c>
      <c r="D13" s="3">
        <f>January!D75</f>
        <v>7</v>
      </c>
      <c r="E13" s="3">
        <f>January!S21</f>
        <v>4</v>
      </c>
      <c r="F13" s="3">
        <f t="shared" ref="F13:F24" si="0">C13-E13</f>
        <v>9</v>
      </c>
      <c r="G13" s="3">
        <f>C13</f>
        <v>13</v>
      </c>
      <c r="H13" s="3">
        <f>E13</f>
        <v>4</v>
      </c>
      <c r="I13" s="3">
        <f t="shared" ref="I13:I24" si="1">G13-H13</f>
        <v>9</v>
      </c>
      <c r="J13" s="4">
        <f t="array" ref="J13">IF(COUNTIF(January!S5:S20,"Active")=0,"",IF(SUMPRODUCT((January!S5:S20="Active")*(January!I5:R20&lt;&gt;"N/A")*(January!I5:R20&lt;&gt;""))=0,"",SUMPRODUCT((January!S5:S20="Active")*(January!I5:R20="Yes"))/SUMPRODUCT((January!S5:S20="Active")*(January!I5:R20&lt;&gt;"N/A")*(January!I5:R20&lt;&gt;""))))</f>
        <v>0.8</v>
      </c>
    </row>
    <row r="14" spans="1:17" ht="13.5" customHeight="1">
      <c r="B14" s="5" t="s">
        <v>24</v>
      </c>
      <c r="C14" s="6">
        <f>February!D33</f>
        <v>22</v>
      </c>
      <c r="D14" s="6">
        <f>February!D51</f>
        <v>8</v>
      </c>
      <c r="E14" s="6">
        <f>February!S33</f>
        <v>6</v>
      </c>
      <c r="F14" s="6">
        <f t="shared" si="0"/>
        <v>16</v>
      </c>
      <c r="G14" s="6">
        <f t="shared" ref="G14:G24" si="2">G13+C14</f>
        <v>35</v>
      </c>
      <c r="H14" s="6">
        <f t="shared" ref="H14:H24" si="3">H13+E14</f>
        <v>10</v>
      </c>
      <c r="I14" s="6">
        <f>G14-H14</f>
        <v>25</v>
      </c>
      <c r="J14" s="83">
        <f t="array" ref="J14">IF(COUNTIF(February!S5:S32,"Active")=0,"",IF(SUMPRODUCT((February!S5:S32="Active")*(February!I5:R32&lt;&gt;"N/A")*(February!I5:R32&lt;&gt;""))=0,"",SUMPRODUCT((February!S5:S32="Active")*(February!I5:R32="Yes"))/SUMPRODUCT((February!S5:S32="Active")*(February!I5:R32&lt;&gt;"N/A")*(February!I5:R32&lt;&gt;""))))</f>
        <v>0.63846153846153841</v>
      </c>
    </row>
    <row r="15" spans="1:17" ht="13.5" customHeight="1">
      <c r="B15" s="2" t="s">
        <v>25</v>
      </c>
      <c r="C15" s="3">
        <f>March!D21</f>
        <v>10</v>
      </c>
      <c r="D15" s="3">
        <f>March!D38</f>
        <v>9</v>
      </c>
      <c r="E15" s="3">
        <f>March!S21</f>
        <v>1</v>
      </c>
      <c r="F15" s="3">
        <f t="shared" si="0"/>
        <v>9</v>
      </c>
      <c r="G15" s="3">
        <f t="shared" si="2"/>
        <v>45</v>
      </c>
      <c r="H15" s="3">
        <f t="shared" si="3"/>
        <v>11</v>
      </c>
      <c r="I15" s="3">
        <f t="shared" si="1"/>
        <v>34</v>
      </c>
      <c r="J15" s="4">
        <f t="array" ref="J15">IF(COUNTIF(March!S5:S20,"Active")=0,"",IF(SUMPRODUCT((March!S5:S20="Active")*(March!I5:R20&lt;&gt;"N/A")*(March!I5:R20&lt;&gt;""))=0,"",SUMPRODUCT((March!S5:S20="Active")*(March!I5:R20="Yes"))/SUMPRODUCT((March!S5:S20="Active")*(March!I5:R20&lt;&gt;"N/A")*(March!I5:R20&lt;&gt;""))))</f>
        <v>0.26229508196721313</v>
      </c>
    </row>
    <row r="16" spans="1:17" ht="13.5" customHeight="1">
      <c r="B16" s="5" t="s">
        <v>26</v>
      </c>
      <c r="C16" s="6">
        <f>April!D23</f>
        <v>8</v>
      </c>
      <c r="D16" s="6">
        <f>April!D42</f>
        <v>3</v>
      </c>
      <c r="E16" s="6">
        <f>April!S23</f>
        <v>1</v>
      </c>
      <c r="F16" s="6">
        <f t="shared" si="0"/>
        <v>7</v>
      </c>
      <c r="G16" s="6">
        <f t="shared" si="2"/>
        <v>53</v>
      </c>
      <c r="H16" s="6">
        <f t="shared" si="3"/>
        <v>12</v>
      </c>
      <c r="I16" s="6">
        <f t="shared" si="1"/>
        <v>41</v>
      </c>
      <c r="J16" s="83"/>
    </row>
    <row r="17" spans="1:16" ht="13.5" customHeight="1">
      <c r="B17" s="2" t="s">
        <v>27</v>
      </c>
      <c r="C17" s="3">
        <f>May!D55</f>
        <v>0</v>
      </c>
      <c r="D17" s="3">
        <f>May!D109</f>
        <v>0</v>
      </c>
      <c r="E17" s="3">
        <f>May!S55</f>
        <v>0</v>
      </c>
      <c r="F17" s="3">
        <f t="shared" si="0"/>
        <v>0</v>
      </c>
      <c r="G17" s="3">
        <f t="shared" si="2"/>
        <v>53</v>
      </c>
      <c r="H17" s="3">
        <f t="shared" si="3"/>
        <v>12</v>
      </c>
      <c r="I17" s="3">
        <f t="shared" si="1"/>
        <v>41</v>
      </c>
      <c r="J17" s="4"/>
    </row>
    <row r="18" spans="1:16" ht="13.5" customHeight="1">
      <c r="B18" s="5" t="s">
        <v>28</v>
      </c>
      <c r="C18" s="6">
        <f>June!D55</f>
        <v>0</v>
      </c>
      <c r="D18" s="6">
        <f>June!D109</f>
        <v>0</v>
      </c>
      <c r="E18" s="6">
        <f>June!S55</f>
        <v>0</v>
      </c>
      <c r="F18" s="6">
        <f t="shared" si="0"/>
        <v>0</v>
      </c>
      <c r="G18" s="6">
        <f t="shared" si="2"/>
        <v>53</v>
      </c>
      <c r="H18" s="6">
        <f t="shared" si="3"/>
        <v>12</v>
      </c>
      <c r="I18" s="6">
        <f t="shared" si="1"/>
        <v>41</v>
      </c>
      <c r="J18" s="83"/>
    </row>
    <row r="19" spans="1:16" ht="13.5" customHeight="1">
      <c r="B19" s="2" t="s">
        <v>29</v>
      </c>
      <c r="C19" s="3">
        <f>July!D55</f>
        <v>0</v>
      </c>
      <c r="D19" s="3">
        <f>July!D109</f>
        <v>0</v>
      </c>
      <c r="E19" s="3">
        <f>July!S55</f>
        <v>0</v>
      </c>
      <c r="F19" s="3">
        <f t="shared" si="0"/>
        <v>0</v>
      </c>
      <c r="G19" s="3">
        <f t="shared" si="2"/>
        <v>53</v>
      </c>
      <c r="H19" s="3">
        <f t="shared" si="3"/>
        <v>12</v>
      </c>
      <c r="I19" s="3">
        <f t="shared" si="1"/>
        <v>41</v>
      </c>
      <c r="J19" s="4"/>
    </row>
    <row r="20" spans="1:16" ht="13.5" customHeight="1">
      <c r="B20" s="5" t="s">
        <v>30</v>
      </c>
      <c r="C20" s="6">
        <f>August!D55</f>
        <v>0</v>
      </c>
      <c r="D20" s="6">
        <f>August!D109</f>
        <v>0</v>
      </c>
      <c r="E20" s="6">
        <f>August!S55</f>
        <v>0</v>
      </c>
      <c r="F20" s="6">
        <f t="shared" si="0"/>
        <v>0</v>
      </c>
      <c r="G20" s="6">
        <f t="shared" si="2"/>
        <v>53</v>
      </c>
      <c r="H20" s="6">
        <f t="shared" si="3"/>
        <v>12</v>
      </c>
      <c r="I20" s="6">
        <f t="shared" si="1"/>
        <v>41</v>
      </c>
      <c r="J20" s="83"/>
    </row>
    <row r="21" spans="1:16" ht="13.5" customHeight="1">
      <c r="B21" s="2" t="s">
        <v>31</v>
      </c>
      <c r="C21" s="3">
        <f>September!D55</f>
        <v>0</v>
      </c>
      <c r="D21" s="3">
        <f>September!D109</f>
        <v>0</v>
      </c>
      <c r="E21" s="3">
        <f>September!S55</f>
        <v>0</v>
      </c>
      <c r="F21" s="3">
        <f t="shared" si="0"/>
        <v>0</v>
      </c>
      <c r="G21" s="3">
        <f t="shared" si="2"/>
        <v>53</v>
      </c>
      <c r="H21" s="3">
        <f t="shared" si="3"/>
        <v>12</v>
      </c>
      <c r="I21" s="3">
        <f t="shared" si="1"/>
        <v>41</v>
      </c>
      <c r="J21" s="4"/>
    </row>
    <row r="22" spans="1:16" ht="13.5" customHeight="1">
      <c r="B22" s="5" t="s">
        <v>32</v>
      </c>
      <c r="C22" s="6">
        <f>October!D55</f>
        <v>0</v>
      </c>
      <c r="D22" s="6">
        <f>October!D109</f>
        <v>0</v>
      </c>
      <c r="E22" s="6">
        <f>October!S55</f>
        <v>0</v>
      </c>
      <c r="F22" s="6">
        <f t="shared" si="0"/>
        <v>0</v>
      </c>
      <c r="G22" s="6">
        <f t="shared" si="2"/>
        <v>53</v>
      </c>
      <c r="H22" s="6">
        <f t="shared" si="3"/>
        <v>12</v>
      </c>
      <c r="I22" s="6">
        <f t="shared" si="1"/>
        <v>41</v>
      </c>
      <c r="J22" s="83"/>
    </row>
    <row r="23" spans="1:16" ht="13.5" customHeight="1">
      <c r="B23" s="2" t="s">
        <v>33</v>
      </c>
      <c r="C23" s="3">
        <f>November!D55</f>
        <v>0</v>
      </c>
      <c r="D23" s="3">
        <f>November!D109</f>
        <v>0</v>
      </c>
      <c r="E23" s="3">
        <f>November!S55</f>
        <v>0</v>
      </c>
      <c r="F23" s="3">
        <f t="shared" si="0"/>
        <v>0</v>
      </c>
      <c r="G23" s="3">
        <f t="shared" si="2"/>
        <v>53</v>
      </c>
      <c r="H23" s="3">
        <f t="shared" si="3"/>
        <v>12</v>
      </c>
      <c r="I23" s="3">
        <f t="shared" si="1"/>
        <v>41</v>
      </c>
      <c r="J23" s="4"/>
    </row>
    <row r="24" spans="1:16" ht="13.5" customHeight="1">
      <c r="B24" s="5" t="s">
        <v>34</v>
      </c>
      <c r="C24" s="6">
        <f>December!D55</f>
        <v>0</v>
      </c>
      <c r="D24" s="6">
        <f>December!D109</f>
        <v>0</v>
      </c>
      <c r="E24" s="6">
        <f>December!S55</f>
        <v>0</v>
      </c>
      <c r="F24" s="6">
        <f t="shared" si="0"/>
        <v>0</v>
      </c>
      <c r="G24" s="6">
        <f t="shared" si="2"/>
        <v>53</v>
      </c>
      <c r="H24" s="6">
        <f t="shared" si="3"/>
        <v>12</v>
      </c>
      <c r="I24" s="6">
        <f t="shared" si="1"/>
        <v>41</v>
      </c>
      <c r="J24" s="83"/>
    </row>
    <row r="25" spans="1:16" ht="13.5" customHeight="1">
      <c r="B25" s="7" t="s">
        <v>35</v>
      </c>
      <c r="C25" s="8">
        <f>SUM(C13:C24)</f>
        <v>53</v>
      </c>
      <c r="D25" s="8">
        <f>SUM(D13:D24)</f>
        <v>27</v>
      </c>
      <c r="E25" s="8">
        <f>SUM(E13:E24)</f>
        <v>12</v>
      </c>
      <c r="F25" s="8">
        <f>SUM(F13:F24)</f>
        <v>41</v>
      </c>
      <c r="G25" s="8">
        <f>G24</f>
        <v>53</v>
      </c>
      <c r="H25" s="8">
        <f>H24</f>
        <v>12</v>
      </c>
      <c r="I25" s="8">
        <f>I24</f>
        <v>41</v>
      </c>
      <c r="J25" s="9">
        <f>IF(C25&gt;0,AVERAGE(J13:J24),"")</f>
        <v>0.56691887347625058</v>
      </c>
    </row>
    <row r="26" spans="1:16" ht="13.5" customHeight="1" thickBot="1"/>
    <row r="27" spans="1:16" ht="15.75" customHeight="1" thickBot="1">
      <c r="A27" s="85" t="s">
        <v>36</v>
      </c>
      <c r="B27" s="111"/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111"/>
      <c r="N27" s="111"/>
      <c r="O27" s="111"/>
      <c r="P27" s="113"/>
    </row>
    <row r="28" spans="1:16" ht="13.5" customHeight="1">
      <c r="B28" s="56" t="s">
        <v>37</v>
      </c>
      <c r="C28" s="56" t="s">
        <v>38</v>
      </c>
      <c r="D28" s="56" t="s">
        <v>39</v>
      </c>
      <c r="E28" s="56" t="s">
        <v>40</v>
      </c>
      <c r="F28" s="56" t="s">
        <v>41</v>
      </c>
      <c r="G28" s="56" t="s">
        <v>27</v>
      </c>
      <c r="H28" s="56" t="s">
        <v>42</v>
      </c>
      <c r="I28" s="56" t="s">
        <v>43</v>
      </c>
      <c r="J28" s="56" t="s">
        <v>44</v>
      </c>
      <c r="K28" s="56" t="s">
        <v>45</v>
      </c>
      <c r="L28" s="56" t="s">
        <v>46</v>
      </c>
      <c r="M28" s="56" t="s">
        <v>47</v>
      </c>
      <c r="N28" s="56" t="s">
        <v>48</v>
      </c>
      <c r="O28" s="56" t="s">
        <v>49</v>
      </c>
    </row>
    <row r="29" spans="1:16" ht="13.5" customHeight="1">
      <c r="B29" s="10" t="s">
        <v>50</v>
      </c>
      <c r="C29" s="3">
        <f>COUNTIF(January!B5:B20,"Residential")</f>
        <v>9</v>
      </c>
      <c r="D29" s="3">
        <f>COUNTIF(February!B5:B32,"Residential")</f>
        <v>18</v>
      </c>
      <c r="E29" s="3">
        <f>COUNTIF(March!B5:B20,"Residential")</f>
        <v>7</v>
      </c>
      <c r="F29" s="3">
        <f>COUNTIF(April!B5:B22,"Residential")</f>
        <v>2</v>
      </c>
      <c r="G29" s="3">
        <f>COUNTIF(May!B5:B54,"Residential")</f>
        <v>0</v>
      </c>
      <c r="H29" s="3">
        <f>COUNTIF(June!B5:B54,"Residential")</f>
        <v>0</v>
      </c>
      <c r="I29" s="3">
        <f>COUNTIF(July!B5:B54,"Residential")</f>
        <v>0</v>
      </c>
      <c r="J29" s="3">
        <f>COUNTIF(August!B5:B54,"Residential")</f>
        <v>0</v>
      </c>
      <c r="K29" s="3">
        <f>COUNTIF(September!B5:B54,"Residential")</f>
        <v>0</v>
      </c>
      <c r="L29" s="3">
        <f>COUNTIF(October!B5:B54,"Residential")</f>
        <v>0</v>
      </c>
      <c r="M29" s="3">
        <f>COUNTIF(November!B5:B54,"Residential")</f>
        <v>0</v>
      </c>
      <c r="N29" s="3">
        <f>COUNTIF(December!B5:B54,"Residential")</f>
        <v>0</v>
      </c>
      <c r="O29" s="11">
        <f t="shared" ref="O29:O39" si="4">SUM(C29:N29)</f>
        <v>36</v>
      </c>
    </row>
    <row r="30" spans="1:16" ht="13.5" customHeight="1">
      <c r="B30" s="12" t="s">
        <v>51</v>
      </c>
      <c r="C30" s="6">
        <f>COUNTIF(January!B5:B20,"Administration")</f>
        <v>0</v>
      </c>
      <c r="D30" s="6">
        <f>COUNTIF(February!B5:B32,"Administration")</f>
        <v>1</v>
      </c>
      <c r="E30" s="6">
        <f>COUNTIF(March!B5:B20,"Administration")</f>
        <v>0</v>
      </c>
      <c r="F30" s="6">
        <f>COUNTIF(April!B5:B22,"Administration")</f>
        <v>1</v>
      </c>
      <c r="G30" s="6">
        <f>COUNTIF(May!B5:B54,"Administration")</f>
        <v>0</v>
      </c>
      <c r="H30" s="6">
        <f>COUNTIF(June!B5:B54,"Administration")</f>
        <v>0</v>
      </c>
      <c r="I30" s="6">
        <f>COUNTIF(July!B5:B54,"Administration")</f>
        <v>0</v>
      </c>
      <c r="J30" s="6">
        <f>COUNTIF(August!B5:B54,"Administration")</f>
        <v>0</v>
      </c>
      <c r="K30" s="6">
        <f>COUNTIF(September!B5:B54,"Administration")</f>
        <v>0</v>
      </c>
      <c r="L30" s="6">
        <f>COUNTIF(October!B5:B54,"Administration")</f>
        <v>0</v>
      </c>
      <c r="M30" s="6">
        <f>COUNTIF(November!B5:B54,"Administration")</f>
        <v>0</v>
      </c>
      <c r="N30" s="6">
        <f>COUNTIF(December!B5:B54,"Administration")</f>
        <v>0</v>
      </c>
      <c r="O30" s="13">
        <f t="shared" si="4"/>
        <v>2</v>
      </c>
    </row>
    <row r="31" spans="1:16" ht="13.5" customHeight="1">
      <c r="B31" s="10" t="s">
        <v>52</v>
      </c>
      <c r="C31" s="3">
        <f>COUNTIF(January!B5:B20,"Finance")</f>
        <v>0</v>
      </c>
      <c r="D31" s="3">
        <f>COUNTIF(February!B5:B32,"Finance")</f>
        <v>1</v>
      </c>
      <c r="E31" s="3">
        <f>COUNTIF(March!B5:B20,"Finance")</f>
        <v>0</v>
      </c>
      <c r="F31" s="3">
        <f>COUNTIF(April!B5:B22,"Finance")</f>
        <v>0</v>
      </c>
      <c r="G31" s="3">
        <f>COUNTIF(May!B5:B54,"Finance")</f>
        <v>0</v>
      </c>
      <c r="H31" s="3">
        <f>COUNTIF(June!B5:B54,"Finance")</f>
        <v>0</v>
      </c>
      <c r="I31" s="3">
        <f>COUNTIF(July!B5:B54,"Finance")</f>
        <v>0</v>
      </c>
      <c r="J31" s="3">
        <f>COUNTIF(August!B5:B54,"Finance")</f>
        <v>0</v>
      </c>
      <c r="K31" s="3">
        <f>COUNTIF(September!B5:B54,"Finance")</f>
        <v>0</v>
      </c>
      <c r="L31" s="3">
        <f>COUNTIF(October!B5:B54,"Finance")</f>
        <v>0</v>
      </c>
      <c r="M31" s="3">
        <f>COUNTIF(November!B5:B54,"Finance")</f>
        <v>0</v>
      </c>
      <c r="N31" s="3">
        <f>COUNTIF(December!B5:B54,"Finance")</f>
        <v>0</v>
      </c>
      <c r="O31" s="11">
        <f t="shared" si="4"/>
        <v>1</v>
      </c>
    </row>
    <row r="32" spans="1:16" ht="13.5" customHeight="1">
      <c r="B32" s="12" t="s">
        <v>53</v>
      </c>
      <c r="C32" s="6">
        <f>COUNTIF(January!B5:B20,"Facilities")</f>
        <v>0</v>
      </c>
      <c r="D32" s="6">
        <f>COUNTIF(February!B5:B32,"Facilities")</f>
        <v>0</v>
      </c>
      <c r="E32" s="6">
        <f>COUNTIF(March!B5:B20,"Facilities")</f>
        <v>0</v>
      </c>
      <c r="F32" s="6">
        <f>COUNTIF(April!B5:B22,"Facilities")</f>
        <v>0</v>
      </c>
      <c r="G32" s="6">
        <f>COUNTIF(May!B5:B54,"Facilities")</f>
        <v>0</v>
      </c>
      <c r="H32" s="6">
        <f>COUNTIF(June!B5:B54,"Facilities")</f>
        <v>0</v>
      </c>
      <c r="I32" s="6">
        <f>COUNTIF(July!B5:B54,"Facilities")</f>
        <v>0</v>
      </c>
      <c r="J32" s="6">
        <f>COUNTIF(August!B5:B54,"Facilities")</f>
        <v>0</v>
      </c>
      <c r="K32" s="6">
        <f>COUNTIF(September!B5:B54,"Facilities")</f>
        <v>0</v>
      </c>
      <c r="L32" s="6">
        <f>COUNTIF(October!B5:B54,"Facilities")</f>
        <v>0</v>
      </c>
      <c r="M32" s="6">
        <f>COUNTIF(November!B5:B54,"Facilities")</f>
        <v>0</v>
      </c>
      <c r="N32" s="6">
        <f>COUNTIF(December!B5:B54,"Facilities")</f>
        <v>0</v>
      </c>
      <c r="O32" s="13">
        <f t="shared" si="4"/>
        <v>0</v>
      </c>
    </row>
    <row r="33" spans="1:16" ht="13.5" customHeight="1">
      <c r="B33" s="10" t="s">
        <v>54</v>
      </c>
      <c r="C33" s="3">
        <f>COUNTIF(January!B5:B20,"HR")</f>
        <v>1</v>
      </c>
      <c r="D33" s="3">
        <f>COUNTIF(February!B5:B32,"HR")</f>
        <v>0</v>
      </c>
      <c r="E33" s="3">
        <f>COUNTIF(March!B5:B20,"HR")</f>
        <v>0</v>
      </c>
      <c r="F33" s="3">
        <f>COUNTIF(April!B5:B22,"HR")</f>
        <v>0</v>
      </c>
      <c r="G33" s="3">
        <f>COUNTIF(May!B5:B54,"HR")</f>
        <v>0</v>
      </c>
      <c r="H33" s="3">
        <f>COUNTIF(June!B5:B54,"HR")</f>
        <v>0</v>
      </c>
      <c r="I33" s="3">
        <f>COUNTIF(July!B5:B54,"HR")</f>
        <v>0</v>
      </c>
      <c r="J33" s="3">
        <f>COUNTIF(August!B5:B54,"HR")</f>
        <v>0</v>
      </c>
      <c r="K33" s="3">
        <f>COUNTIF(September!B5:B54,"HR")</f>
        <v>0</v>
      </c>
      <c r="L33" s="3">
        <f>COUNTIF(October!B5:B54,"HR")</f>
        <v>0</v>
      </c>
      <c r="M33" s="3">
        <f>COUNTIF(November!B5:B54,"HR")</f>
        <v>0</v>
      </c>
      <c r="N33" s="3">
        <f>COUNTIF(December!B5:B54,"HR")</f>
        <v>0</v>
      </c>
      <c r="O33" s="11">
        <f t="shared" si="4"/>
        <v>1</v>
      </c>
    </row>
    <row r="34" spans="1:16" ht="13.5" customHeight="1">
      <c r="B34" s="12" t="s">
        <v>55</v>
      </c>
      <c r="C34" s="6">
        <f>COUNTIF(January!B5:B20,"ELC")</f>
        <v>1</v>
      </c>
      <c r="D34" s="6">
        <f>COUNTIF(February!B5:B32,"ELC")</f>
        <v>0</v>
      </c>
      <c r="E34" s="6">
        <f>COUNTIF(March!B5:B20,"ELC")</f>
        <v>1</v>
      </c>
      <c r="F34" s="6">
        <f>COUNTIF(April!B5:B22,"ELC")</f>
        <v>0</v>
      </c>
      <c r="G34" s="6">
        <f>COUNTIF(May!B5:B54,"ELC")</f>
        <v>0</v>
      </c>
      <c r="H34" s="6">
        <f>COUNTIF(June!B5:B54,"ELC")</f>
        <v>0</v>
      </c>
      <c r="I34" s="6">
        <f>COUNTIF(July!B5:B54,"ELC")</f>
        <v>0</v>
      </c>
      <c r="J34" s="6">
        <f>COUNTIF(August!B5:B54,"ELC")</f>
        <v>0</v>
      </c>
      <c r="K34" s="6">
        <f>COUNTIF(September!B5:B54,"ELC")</f>
        <v>0</v>
      </c>
      <c r="L34" s="6">
        <f>COUNTIF(October!B5:B54,"ELC")</f>
        <v>0</v>
      </c>
      <c r="M34" s="6">
        <f>COUNTIF(November!B5:B54,"ELC")</f>
        <v>0</v>
      </c>
      <c r="N34" s="6">
        <f>COUNTIF(December!B5:B54,"ELC")</f>
        <v>0</v>
      </c>
      <c r="O34" s="13">
        <f t="shared" si="4"/>
        <v>2</v>
      </c>
    </row>
    <row r="35" spans="1:16" ht="13.5" customHeight="1">
      <c r="B35" s="10" t="s">
        <v>56</v>
      </c>
      <c r="C35" s="3">
        <f>COUNTIF(January!B5:B20,"LLL")</f>
        <v>1</v>
      </c>
      <c r="D35" s="3">
        <f>COUNTIF(February!B5:B32,"LLL")</f>
        <v>0</v>
      </c>
      <c r="E35" s="3">
        <f>COUNTIF(March!B5:B20,"LLL")</f>
        <v>0</v>
      </c>
      <c r="F35" s="3">
        <f>COUNTIF(April!B5:B22,"LLL")</f>
        <v>1</v>
      </c>
      <c r="G35" s="3">
        <f>COUNTIF(May!B5:B54,"LLL")</f>
        <v>0</v>
      </c>
      <c r="H35" s="3">
        <f>COUNTIF(June!B5:B54,"LLL")</f>
        <v>0</v>
      </c>
      <c r="I35" s="3">
        <f>COUNTIF(July!B5:B54,"LLL")</f>
        <v>0</v>
      </c>
      <c r="J35" s="3">
        <f>COUNTIF(August!B5:B54,"LLL")</f>
        <v>0</v>
      </c>
      <c r="K35" s="3">
        <f>COUNTIF(September!B5:B54,"LLL")</f>
        <v>0</v>
      </c>
      <c r="L35" s="3">
        <f>COUNTIF(October!B5:B54,"LLL")</f>
        <v>0</v>
      </c>
      <c r="M35" s="3">
        <f>COUNTIF(November!B5:B54,"LLL")</f>
        <v>0</v>
      </c>
      <c r="N35" s="3">
        <f>COUNTIF(December!B5:B54,"LLL")</f>
        <v>0</v>
      </c>
      <c r="O35" s="11">
        <f t="shared" si="4"/>
        <v>2</v>
      </c>
    </row>
    <row r="36" spans="1:16" ht="13.5" customHeight="1">
      <c r="B36" s="12" t="s">
        <v>57</v>
      </c>
      <c r="C36" s="6">
        <f>COUNTIF(January!B5:B20,"Prof. Services")</f>
        <v>0</v>
      </c>
      <c r="D36" s="6">
        <f>COUNTIF(February!B5:B32,"Prof. Services")</f>
        <v>1</v>
      </c>
      <c r="E36" s="6">
        <f>COUNTIF(March!B5:B20,"Prof. Services")</f>
        <v>0</v>
      </c>
      <c r="F36" s="6">
        <f>COUNTIF(April!B5:B22,"Prof. Services")</f>
        <v>1</v>
      </c>
      <c r="G36" s="6">
        <f>COUNTIF(May!B5:B54,"Prof. Services")</f>
        <v>0</v>
      </c>
      <c r="H36" s="6">
        <f>COUNTIF(June!B5:B54,"Prof. Services")</f>
        <v>0</v>
      </c>
      <c r="I36" s="6">
        <f>COUNTIF(July!B5:B54,"Prof. Services")</f>
        <v>0</v>
      </c>
      <c r="J36" s="6">
        <f>COUNTIF(August!B5:B54,"Prof. Services")</f>
        <v>0</v>
      </c>
      <c r="K36" s="6">
        <f>COUNTIF(September!B5:B54,"Prof. Services")</f>
        <v>0</v>
      </c>
      <c r="L36" s="6">
        <f>COUNTIF(October!B5:B54,"Prof. Services")</f>
        <v>0</v>
      </c>
      <c r="M36" s="6">
        <f>COUNTIF(November!B5:B54,"Prof. Services")</f>
        <v>0</v>
      </c>
      <c r="N36" s="6">
        <f>COUNTIF(December!B5:B54,"Prof. Services")</f>
        <v>0</v>
      </c>
      <c r="O36" s="13">
        <f t="shared" si="4"/>
        <v>2</v>
      </c>
    </row>
    <row r="37" spans="1:16" ht="13.5" customHeight="1">
      <c r="B37" s="10" t="s">
        <v>58</v>
      </c>
      <c r="C37" s="3">
        <f>COUNTIF(January!B5:B20,"Behavioral")</f>
        <v>1</v>
      </c>
      <c r="D37" s="3">
        <f>COUNTIF(February!B5:B32,"Behavioral")</f>
        <v>0</v>
      </c>
      <c r="E37" s="3">
        <f>COUNTIF(March!B5:B20,"Behavioral")</f>
        <v>0</v>
      </c>
      <c r="F37" s="3">
        <f>COUNTIF(April!B5:B22,"Behavioral")</f>
        <v>2</v>
      </c>
      <c r="G37" s="3">
        <f>COUNTIF(May!B5:B54,"Behavioral")</f>
        <v>0</v>
      </c>
      <c r="H37" s="3">
        <f>COUNTIF(June!B5:B54,"Behavioral")</f>
        <v>0</v>
      </c>
      <c r="I37" s="3">
        <f>COUNTIF(July!B5:B54,"Behavioral")</f>
        <v>0</v>
      </c>
      <c r="J37" s="3">
        <f>COUNTIF(August!B5:B54,"Behavioral")</f>
        <v>0</v>
      </c>
      <c r="K37" s="3">
        <f>COUNTIF(September!B5:B54,"Behavioral")</f>
        <v>0</v>
      </c>
      <c r="L37" s="3">
        <f>COUNTIF(October!B5:B54,"Behavioral")</f>
        <v>0</v>
      </c>
      <c r="M37" s="3">
        <f>COUNTIF(November!B5:B54,"Behavioral")</f>
        <v>0</v>
      </c>
      <c r="N37" s="3">
        <f>COUNTIF(December!B5:B54,"Behavioral")</f>
        <v>0</v>
      </c>
      <c r="O37" s="11">
        <f t="shared" si="4"/>
        <v>3</v>
      </c>
    </row>
    <row r="38" spans="1:16" ht="13.5" customHeight="1">
      <c r="B38" s="12" t="s">
        <v>59</v>
      </c>
      <c r="C38" s="6">
        <f>COUNTIF(January!B5:B20,"IT")</f>
        <v>0</v>
      </c>
      <c r="D38" s="6">
        <f>COUNTIF(February!B5:B32,"IT")</f>
        <v>0</v>
      </c>
      <c r="E38" s="6">
        <f>COUNTIF(March!B5:B20,"IT")</f>
        <v>0</v>
      </c>
      <c r="F38" s="6">
        <f>COUNTIF(April!B5:B22,"IT")</f>
        <v>0</v>
      </c>
      <c r="G38" s="6">
        <f>COUNTIF(May!B5:B54,"IT")</f>
        <v>0</v>
      </c>
      <c r="H38" s="6">
        <f>COUNTIF(June!B5:B54,"IT")</f>
        <v>0</v>
      </c>
      <c r="I38" s="6">
        <f>COUNTIF(July!B5:B54,"IT")</f>
        <v>0</v>
      </c>
      <c r="J38" s="6">
        <f>COUNTIF(August!B5:B54,"IT")</f>
        <v>0</v>
      </c>
      <c r="K38" s="6">
        <f>COUNTIF(September!B5:B54,"IT")</f>
        <v>0</v>
      </c>
      <c r="L38" s="6">
        <f>COUNTIF(October!B5:B54,"IT")</f>
        <v>0</v>
      </c>
      <c r="M38" s="6">
        <f>COUNTIF(November!B5:B54,"IT")</f>
        <v>0</v>
      </c>
      <c r="N38" s="6">
        <f>COUNTIF(December!B5:B54,"IT")</f>
        <v>0</v>
      </c>
      <c r="O38" s="13">
        <f t="shared" si="4"/>
        <v>0</v>
      </c>
    </row>
    <row r="39" spans="1:16" ht="13.5" customHeight="1">
      <c r="B39" s="10" t="s">
        <v>60</v>
      </c>
      <c r="C39" s="3">
        <f>COUNTIF(January!B5:B20,"Other")</f>
        <v>0</v>
      </c>
      <c r="D39" s="3">
        <f>COUNTIF(February!B5:B32,"Other")</f>
        <v>0</v>
      </c>
      <c r="E39" s="3">
        <f>COUNTIF(March!B5:B20,"Other")</f>
        <v>2</v>
      </c>
      <c r="F39" s="3">
        <f>COUNTIF(April!B5:B22,"Other")</f>
        <v>0</v>
      </c>
      <c r="G39" s="3">
        <f>COUNTIF(May!B5:B54,"Other")</f>
        <v>0</v>
      </c>
      <c r="H39" s="3">
        <f>COUNTIF(June!B5:B54,"Other")</f>
        <v>0</v>
      </c>
      <c r="I39" s="3">
        <f>COUNTIF(July!B5:B54,"Other")</f>
        <v>0</v>
      </c>
      <c r="J39" s="3">
        <f>COUNTIF(August!B5:B54,"Other")</f>
        <v>0</v>
      </c>
      <c r="K39" s="3">
        <f>COUNTIF(September!B5:B54,"Other")</f>
        <v>0</v>
      </c>
      <c r="L39" s="3">
        <f>COUNTIF(October!B5:B54,"Other")</f>
        <v>0</v>
      </c>
      <c r="M39" s="3">
        <f>COUNTIF(November!B5:B54,"Other")</f>
        <v>0</v>
      </c>
      <c r="N39" s="3">
        <f>COUNTIF(December!B5:B54,"Other")</f>
        <v>0</v>
      </c>
      <c r="O39" s="11">
        <f t="shared" si="4"/>
        <v>2</v>
      </c>
    </row>
    <row r="40" spans="1:16" ht="13.5" customHeight="1">
      <c r="B40" s="7" t="s">
        <v>61</v>
      </c>
      <c r="C40" s="8">
        <f t="shared" ref="C40:O40" si="5">SUM(C29:C39)</f>
        <v>13</v>
      </c>
      <c r="D40" s="8">
        <f t="shared" si="5"/>
        <v>21</v>
      </c>
      <c r="E40" s="8">
        <f t="shared" si="5"/>
        <v>10</v>
      </c>
      <c r="F40" s="8">
        <f t="shared" si="5"/>
        <v>7</v>
      </c>
      <c r="G40" s="8">
        <f t="shared" si="5"/>
        <v>0</v>
      </c>
      <c r="H40" s="8">
        <f t="shared" si="5"/>
        <v>0</v>
      </c>
      <c r="I40" s="8">
        <f t="shared" si="5"/>
        <v>0</v>
      </c>
      <c r="J40" s="8">
        <f t="shared" si="5"/>
        <v>0</v>
      </c>
      <c r="K40" s="8">
        <f t="shared" si="5"/>
        <v>0</v>
      </c>
      <c r="L40" s="8">
        <f t="shared" si="5"/>
        <v>0</v>
      </c>
      <c r="M40" s="8">
        <f t="shared" si="5"/>
        <v>0</v>
      </c>
      <c r="N40" s="8">
        <f t="shared" si="5"/>
        <v>0</v>
      </c>
      <c r="O40" s="8">
        <f t="shared" si="5"/>
        <v>51</v>
      </c>
    </row>
    <row r="41" spans="1:16" ht="13.5" customHeight="1" thickBot="1"/>
    <row r="42" spans="1:16" ht="15.75" customHeight="1" thickBot="1">
      <c r="A42" s="85" t="s">
        <v>62</v>
      </c>
      <c r="B42" s="111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113"/>
    </row>
    <row r="43" spans="1:16" ht="24" customHeight="1">
      <c r="B43" s="56" t="s">
        <v>63</v>
      </c>
      <c r="C43" s="56" t="s">
        <v>64</v>
      </c>
      <c r="D43" s="56" t="s">
        <v>65</v>
      </c>
      <c r="E43" s="56" t="s">
        <v>66</v>
      </c>
      <c r="F43" s="56" t="s">
        <v>67</v>
      </c>
    </row>
    <row r="44" spans="1:16" ht="13.5" customHeight="1">
      <c r="B44" s="12" t="s">
        <v>68</v>
      </c>
      <c r="C44" s="6">
        <f>SUMPRODUCT((January!S5:S20="Active")*(January!I5:I20&lt;&gt;"N/A"))+SUMPRODUCT((February!S5:S32="Active")*(February!I5:I32&lt;&gt;"N/A"))+SUMPRODUCT((March!S5:S20="Active")*(March!I5:I20&lt;&gt;"N/A"))+SUMPRODUCT((April!S5:S22="Active")*(April!I5:I22&lt;&gt;"N/A"))+SUMPRODUCT((May!S5:S54="Active")*(May!I5:I54&lt;&gt;"N/A"))+SUMPRODUCT((June!S5:S54="Active")*(June!I5:I54&lt;&gt;"N/A"))+SUMPRODUCT((July!S5:S54="Active")*(July!I5:I54&lt;&gt;"N/A"))+SUMPRODUCT((August!S5:S54="Active")*(August!I5:I54&lt;&gt;"N/A"))+SUMPRODUCT((September!S5:S54="Active")*(September!I5:I54&lt;&gt;"N/A"))+SUMPRODUCT((October!S5:S54="Active")*(October!I5:I54&lt;&gt;"N/A"))+SUMPRODUCT((November!S5:S54="Active")*(November!I5:I54&lt;&gt;"N/A"))+SUMPRODUCT((December!S5:S54="Active")*(December!I5:I54&lt;&gt;"N/A"))</f>
        <v>33</v>
      </c>
      <c r="D44" s="6">
        <f>SUMPRODUCT((January!S5:S20="Active")*(January!I5:I20="Yes"))+SUMPRODUCT((February!S5:S32="Active")*(February!I5:I32="Yes"))+SUMPRODUCT((March!S5:S20="Active")*(March!I5:I20="Yes"))+SUMPRODUCT((April!S5:S22="Active")*(April!I5:I22="Yes"))+SUMPRODUCT((May!S5:S54="Active")*(May!I5:I54="Yes"))+SUMPRODUCT((June!S5:S54="Active")*(June!I5:I54="Yes"))+SUMPRODUCT((July!S5:S54="Active")*(July!I5:I54="Yes"))+SUMPRODUCT((August!S5:S54="Active")*(August!I5:I54="Yes"))+SUMPRODUCT((September!S5:S54="Active")*(September!I5:I54="Yes"))+SUMPRODUCT((October!S5:S54="Active")*(October!I5:I54="Yes"))+SUMPRODUCT((November!S5:S54="Active")*(November!I5:I54="Yes"))+SUMPRODUCT((December!S5:S54="Active")*(December!I5:I54="Yes"))</f>
        <v>32</v>
      </c>
      <c r="E44" s="6">
        <f t="shared" ref="E44:E53" si="6">C44-D44</f>
        <v>1</v>
      </c>
      <c r="F44" s="14">
        <f t="shared" ref="F44:F53" si="7">IF(C44&gt;0,D44/C44,"")</f>
        <v>0.96969696969696972</v>
      </c>
    </row>
    <row r="45" spans="1:16" ht="13.5" customHeight="1">
      <c r="B45" s="10" t="s">
        <v>69</v>
      </c>
      <c r="C45" s="3">
        <f>SUMPRODUCT((January!S5:S20="Active")*(January!J5:J20&lt;&gt;"N/A"))+SUMPRODUCT((February!S5:S32="Active")*(February!J5:J32&lt;&gt;"N/A"))+SUMPRODUCT((March!S5:S20="Active")*(March!J5:J20&lt;&gt;"N/A"))+SUMPRODUCT((April!S5:S22="Active")*(April!J5:J22&lt;&gt;"N/A"))+SUMPRODUCT((May!S5:S54="Active")*(May!J5:J54&lt;&gt;"N/A"))+SUMPRODUCT((June!S5:S54="Active")*(June!J5:J54&lt;&gt;"N/A"))+SUMPRODUCT((July!S5:S54="Active")*(July!J5:J54&lt;&gt;"N/A"))+SUMPRODUCT((August!S5:S54="Active")*(August!J5:J54&lt;&gt;"N/A"))+SUMPRODUCT((September!S5:S54="Active")*(September!J5:J54&lt;&gt;"N/A"))+SUMPRODUCT((October!S5:S54="Active")*(October!J5:J54&lt;&gt;"N/A"))+SUMPRODUCT((November!S5:S54="Active")*(November!J5:J54&lt;&gt;"N/A"))+SUMPRODUCT((December!S5:S54="Active")*(December!J5:J54&lt;&gt;"N/A"))</f>
        <v>33</v>
      </c>
      <c r="D45" s="3">
        <f>SUMPRODUCT((January!S5:S20="Active")*(January!J5:J20="Yes"))+SUMPRODUCT((February!S5:S32="Active")*(February!J5:J32="Yes"))+SUMPRODUCT((March!S5:S20="Active")*(March!J5:J20="Yes"))+SUMPRODUCT((April!S5:S22="Active")*(April!J5:J22="Yes"))+SUMPRODUCT((May!S5:S54="Active")*(May!J5:J54="Yes"))+SUMPRODUCT((June!S5:S54="Active")*(June!J5:J54="Yes"))+SUMPRODUCT((July!S5:S54="Active")*(July!J5:J54="Yes"))+SUMPRODUCT((August!S5:S54="Active")*(August!J5:J54="Yes"))+SUMPRODUCT((September!S5:S54="Active")*(September!J5:J54="Yes"))+SUMPRODUCT((October!S5:S54="Active")*(October!J5:J54="Yes"))+SUMPRODUCT((November!S5:S54="Active")*(November!J5:J54="Yes"))+SUMPRODUCT((December!S5:S54="Active")*(December!J5:J54="Yes"))</f>
        <v>9</v>
      </c>
      <c r="E45" s="3">
        <f t="shared" si="6"/>
        <v>24</v>
      </c>
      <c r="F45" s="15">
        <f t="shared" si="7"/>
        <v>0.27272727272727271</v>
      </c>
    </row>
    <row r="46" spans="1:16" ht="13.5" customHeight="1">
      <c r="B46" s="12" t="s">
        <v>70</v>
      </c>
      <c r="C46" s="6">
        <f>SUMPRODUCT((January!S5:S20="Active")*(January!K5:K20&lt;&gt;"N/A"))+SUMPRODUCT((February!S5:S32="Active")*(February!K5:K32&lt;&gt;"N/A"))+SUMPRODUCT((March!S5:S20="Active")*(March!K5:K20&lt;&gt;"N/A"))+SUMPRODUCT((April!S5:S22="Active")*(April!K5:K22&lt;&gt;"N/A"))+SUMPRODUCT((May!S5:S54="Active")*(May!K5:K54&lt;&gt;"N/A"))+SUMPRODUCT((June!S5:S54="Active")*(June!K5:K54&lt;&gt;"N/A"))+SUMPRODUCT((July!S5:S54="Active")*(July!K5:K54&lt;&gt;"N/A"))+SUMPRODUCT((August!S5:S54="Active")*(August!K5:K54&lt;&gt;"N/A"))+SUMPRODUCT((September!S5:S54="Active")*(September!K5:K54&lt;&gt;"N/A"))+SUMPRODUCT((October!S5:S54="Active")*(October!K5:K54&lt;&gt;"N/A"))+SUMPRODUCT((November!S5:S54="Active")*(November!K5:K54&lt;&gt;"N/A"))+SUMPRODUCT((December!S5:S54="Active")*(December!K5:K54&lt;&gt;"N/A"))</f>
        <v>33</v>
      </c>
      <c r="D46" s="6">
        <f>SUMPRODUCT((January!S5:S20="Active")*(January!K5:K20="Yes"))+SUMPRODUCT((February!S5:S32="Active")*(February!K5:K32="Yes"))+SUMPRODUCT((March!S5:S20="Active")*(March!K5:K20="Yes"))+SUMPRODUCT((April!S5:S22="Active")*(April!K5:K22="Yes"))+SUMPRODUCT((May!S5:S54="Active")*(May!K5:K54="Yes"))+SUMPRODUCT((June!S5:S54="Active")*(June!K5:K54="Yes"))+SUMPRODUCT((July!S5:S54="Active")*(July!K5:K54="Yes"))+SUMPRODUCT((August!S5:S54="Active")*(August!K5:K54="Yes"))+SUMPRODUCT((September!S5:S54="Active")*(September!K5:K54="Yes"))+SUMPRODUCT((October!S5:S54="Active")*(October!K5:K54="Yes"))+SUMPRODUCT((November!S5:S54="Active")*(November!K5:K54="Yes"))+SUMPRODUCT((December!S5:S54="Active")*(December!K5:K54="Yes"))</f>
        <v>25</v>
      </c>
      <c r="E46" s="6">
        <f t="shared" si="6"/>
        <v>8</v>
      </c>
      <c r="F46" s="14">
        <f t="shared" si="7"/>
        <v>0.75757575757575757</v>
      </c>
    </row>
    <row r="47" spans="1:16" ht="13.5" customHeight="1">
      <c r="B47" s="10" t="s">
        <v>71</v>
      </c>
      <c r="C47" s="3">
        <f>SUMPRODUCT((January!S5:S20="Active")*(January!L5:L20&lt;&gt;"N/A"))+SUMPRODUCT((February!S5:S32="Active")*(February!L5:L32&lt;&gt;"N/A"))+SUMPRODUCT((March!S5:S20="Active")*(March!L5:L20&lt;&gt;"N/A"))+SUMPRODUCT((April!S5:S22="Active")*(April!L5:L22&lt;&gt;"N/A"))+SUMPRODUCT((May!S5:S54="Active")*(May!L5:L54&lt;&gt;"N/A"))+SUMPRODUCT((June!S5:S54="Active")*(June!L5:L54&lt;&gt;"N/A"))+SUMPRODUCT((July!S5:S54="Active")*(July!L5:L54&lt;&gt;"N/A"))+SUMPRODUCT((August!S5:S54="Active")*(August!L5:L54&lt;&gt;"N/A"))+SUMPRODUCT((September!S5:S54="Active")*(September!L5:L54&lt;&gt;"N/A"))+SUMPRODUCT((October!S5:S54="Active")*(October!L5:L54&lt;&gt;"N/A"))+SUMPRODUCT((November!S5:S54="Active")*(November!L5:L54&lt;&gt;"N/A"))+SUMPRODUCT((December!S5:S54="Active")*(December!L5:L54&lt;&gt;"N/A"))</f>
        <v>33</v>
      </c>
      <c r="D47" s="3">
        <f>SUMPRODUCT((January!S5:S20="Active")*(January!L5:L20="Yes"))+SUMPRODUCT((February!S5:S32="Active")*(February!L5:L32="Yes"))+SUMPRODUCT((March!S5:S20="Active")*(March!L5:L20="Yes"))+SUMPRODUCT((April!S5:S22="Active")*(April!L5:L22="Yes"))+SUMPRODUCT((May!S5:S54="Active")*(May!L5:L54="Yes"))+SUMPRODUCT((June!S5:S54="Active")*(June!L5:L54="Yes"))+SUMPRODUCT((July!S5:S54="Active")*(July!L5:L54="Yes"))+SUMPRODUCT((August!S5:S54="Active")*(August!L5:L54="Yes"))+SUMPRODUCT((September!S5:S54="Active")*(September!L5:L54="Yes"))+SUMPRODUCT((October!S5:S54="Active")*(October!L5:L54="Yes"))+SUMPRODUCT((November!S5:S54="Active")*(November!L5:L54="Yes"))+SUMPRODUCT((December!S5:S54="Active")*(December!L5:L54="Yes"))</f>
        <v>28</v>
      </c>
      <c r="E47" s="3">
        <f t="shared" si="6"/>
        <v>5</v>
      </c>
      <c r="F47" s="15">
        <f t="shared" si="7"/>
        <v>0.84848484848484851</v>
      </c>
    </row>
    <row r="48" spans="1:16" ht="13.5" customHeight="1">
      <c r="B48" s="12" t="s">
        <v>72</v>
      </c>
      <c r="C48" s="6">
        <f>SUMPRODUCT((January!S5:S20="Active")*(January!M5:M20&lt;&gt;"N/A"))+SUMPRODUCT((February!S5:S32="Active")*(February!M5:M32&lt;&gt;"N/A"))+SUMPRODUCT((March!S5:S20="Active")*(March!M5:M20&lt;&gt;"N/A"))+SUMPRODUCT((April!S5:S22="Active")*(April!M5:M22&lt;&gt;"N/A"))+SUMPRODUCT((May!S5:S54="Active")*(May!M5:M54&lt;&gt;"N/A"))+SUMPRODUCT((June!S5:S54="Active")*(June!M5:M54&lt;&gt;"N/A"))+SUMPRODUCT((July!S5:S54="Active")*(July!M5:M54&lt;&gt;"N/A"))+SUMPRODUCT((August!S5:S54="Active")*(August!M5:M54&lt;&gt;"N/A"))+SUMPRODUCT((September!S5:S54="Active")*(September!M5:M54&lt;&gt;"N/A"))+SUMPRODUCT((October!S5:S54="Active")*(October!M5:M54&lt;&gt;"N/A"))+SUMPRODUCT((November!S5:S54="Active")*(November!M5:M54&lt;&gt;"N/A"))+SUMPRODUCT((December!S5:S54="Active")*(December!M5:M54&lt;&gt;"N/A"))</f>
        <v>26</v>
      </c>
      <c r="D48" s="6">
        <f>SUMPRODUCT((January!S5:S20="Active")*(January!M5:M20="Yes"))+SUMPRODUCT((February!S5:S32="Active")*(February!M5:M32="Yes"))+SUMPRODUCT((March!S5:S20="Active")*(March!M5:M20="Yes"))+SUMPRODUCT((April!S5:S22="Active")*(April!M5:M22="Yes"))+SUMPRODUCT((May!S5:S54="Active")*(May!M5:M54="Yes"))+SUMPRODUCT((June!S5:S54="Active")*(June!M5:M54="Yes"))+SUMPRODUCT((July!S5:S54="Active")*(July!M5:M54="Yes"))+SUMPRODUCT((August!S5:S54="Active")*(August!M5:M54="Yes"))+SUMPRODUCT((September!S5:S54="Active")*(September!M5:M54="Yes"))+SUMPRODUCT((October!S5:S54="Active")*(October!M5:M54="Yes"))+SUMPRODUCT((November!S5:S54="Active")*(November!M5:M54="Yes"))+SUMPRODUCT((December!S5:S54="Active")*(December!M5:M54="Yes"))</f>
        <v>4</v>
      </c>
      <c r="E48" s="6">
        <f t="shared" si="6"/>
        <v>22</v>
      </c>
      <c r="F48" s="14">
        <f t="shared" si="7"/>
        <v>0.15384615384615385</v>
      </c>
    </row>
    <row r="49" spans="2:6" ht="13.5" customHeight="1">
      <c r="B49" s="10" t="s">
        <v>73</v>
      </c>
      <c r="C49" s="3">
        <f>SUMPRODUCT((January!S5:S20="Active")*(January!N5:N20&lt;&gt;"N/A"))+SUMPRODUCT((February!S5:S32="Active")*(February!N5:N32&lt;&gt;"N/A"))+SUMPRODUCT((March!S5:S20="Active")*(March!N5:N20&lt;&gt;"N/A"))+SUMPRODUCT((April!S5:S22="Active")*(April!N5:N22&lt;&gt;"N/A"))+SUMPRODUCT((May!S5:S54="Active")*(May!N5:N54&lt;&gt;"N/A"))+SUMPRODUCT((June!S5:S54="Active")*(June!N5:N54&lt;&gt;"N/A"))+SUMPRODUCT((July!S5:S54="Active")*(July!N5:N54&lt;&gt;"N/A"))+SUMPRODUCT((August!S5:S54="Active")*(August!N5:N54&lt;&gt;"N/A"))+SUMPRODUCT((September!S5:S54="Active")*(September!N5:N54&lt;&gt;"N/A"))+SUMPRODUCT((October!S5:S54="Active")*(October!N5:N54&lt;&gt;"N/A"))+SUMPRODUCT((November!S5:S54="Active")*(November!N5:N54&lt;&gt;"N/A"))+SUMPRODUCT((December!S5:S54="Active")*(December!N5:N54&lt;&gt;"N/A"))</f>
        <v>29</v>
      </c>
      <c r="D49" s="3">
        <f>SUMPRODUCT((January!S5:S20="Active")*(January!N5:N20="Yes"))+SUMPRODUCT((February!S5:S32="Active")*(February!N5:N32="Yes"))+SUMPRODUCT((March!S5:S20="Active")*(March!N5:N20="Yes"))+SUMPRODUCT((April!S5:S22="Active")*(April!N5:N22="Yes"))+SUMPRODUCT((May!S5:S54="Active")*(May!N5:N54="Yes"))+SUMPRODUCT((June!S5:S54="Active")*(June!N5:N54="Yes"))+SUMPRODUCT((July!S5:S54="Active")*(July!N5:N54="Yes"))+SUMPRODUCT((August!S5:S54="Active")*(August!N5:N54="Yes"))+SUMPRODUCT((September!S5:S54="Active")*(September!N5:N54="Yes"))+SUMPRODUCT((October!S5:S54="Active")*(October!N5:N54="Yes"))+SUMPRODUCT((November!S5:S54="Active")*(November!N5:N54="Yes"))+SUMPRODUCT((December!S5:S54="Active")*(December!N5:N54="Yes"))</f>
        <v>18</v>
      </c>
      <c r="E49" s="3">
        <f t="shared" si="6"/>
        <v>11</v>
      </c>
      <c r="F49" s="15">
        <f t="shared" si="7"/>
        <v>0.62068965517241381</v>
      </c>
    </row>
    <row r="50" spans="2:6" ht="13.5" customHeight="1">
      <c r="B50" s="12" t="s">
        <v>74</v>
      </c>
      <c r="C50" s="6">
        <f>SUMPRODUCT((January!S5:S20="Active")*(January!O5:O20&lt;&gt;"N/A"))+SUMPRODUCT((February!S5:S32="Active")*(February!O5:O32&lt;&gt;"N/A"))+SUMPRODUCT((March!S5:S20="Active")*(March!O5:O20&lt;&gt;"N/A"))+SUMPRODUCT((April!S5:S22="Active")*(April!O5:O22&lt;&gt;"N/A"))+SUMPRODUCT((May!S5:S54="Active")*(May!O5:O54&lt;&gt;"N/A"))+SUMPRODUCT((June!S5:S54="Active")*(June!O5:O54&lt;&gt;"N/A"))+SUMPRODUCT((July!S5:S54="Active")*(July!O5:O54&lt;&gt;"N/A"))+SUMPRODUCT((August!S5:S54="Active")*(August!O5:O54&lt;&gt;"N/A"))+SUMPRODUCT((September!S5:S54="Active")*(September!O5:O54&lt;&gt;"N/A"))+SUMPRODUCT((October!S5:S54="Active")*(October!O5:O54&lt;&gt;"N/A"))+SUMPRODUCT((November!S5:S54="Active")*(November!O5:O54&lt;&gt;"N/A"))+SUMPRODUCT((December!S5:S54="Active")*(December!O5:O54&lt;&gt;"N/A"))</f>
        <v>27</v>
      </c>
      <c r="D50" s="6">
        <f>SUMPRODUCT((January!S5:S20="Active")*(January!O5:O20="Yes"))+SUMPRODUCT((February!S5:S32="Active")*(February!O5:O32="Yes"))+SUMPRODUCT((March!S5:S20="Active")*(March!O5:O20="Yes"))+SUMPRODUCT((April!S5:S22="Active")*(April!O5:O22="Yes"))+SUMPRODUCT((May!S5:S54="Active")*(May!O5:O54="Yes"))+SUMPRODUCT((June!S5:S54="Active")*(June!O5:O54="Yes"))+SUMPRODUCT((July!S5:S54="Active")*(July!O5:O54="Yes"))+SUMPRODUCT((August!S5:S54="Active")*(August!O5:O54="Yes"))+SUMPRODUCT((September!S5:S54="Active")*(September!O5:O54="Yes"))+SUMPRODUCT((October!S5:S54="Active")*(October!O5:O54="Yes"))+SUMPRODUCT((November!S5:S54="Active")*(November!O5:O54="Yes"))+SUMPRODUCT((December!S5:S54="Active")*(December!O5:O54="Yes"))</f>
        <v>13</v>
      </c>
      <c r="E50" s="6">
        <f t="shared" si="6"/>
        <v>14</v>
      </c>
      <c r="F50" s="14">
        <f t="shared" si="7"/>
        <v>0.48148148148148145</v>
      </c>
    </row>
    <row r="51" spans="2:6" ht="13.5" customHeight="1">
      <c r="B51" s="10" t="s">
        <v>75</v>
      </c>
      <c r="C51" s="3">
        <f>SUMPRODUCT((January!S5:S20="Active")*(January!P5:P20&lt;&gt;"N/A"))+SUMPRODUCT((February!S5:S32="Active")*(February!P5:P32&lt;&gt;"N/A"))+SUMPRODUCT((March!S5:S20="Active")*(March!P5:P20&lt;&gt;"N/A"))+SUMPRODUCT((April!S5:S22="Active")*(April!P5:P22&lt;&gt;"N/A"))+SUMPRODUCT((May!S5:S54="Active")*(May!P5:P54&lt;&gt;"N/A"))+SUMPRODUCT((June!S5:S54="Active")*(June!P5:P54&lt;&gt;"N/A"))+SUMPRODUCT((July!S5:S54="Active")*(July!P5:P54&lt;&gt;"N/A"))+SUMPRODUCT((August!S5:S54="Active")*(August!P5:P54&lt;&gt;"N/A"))+SUMPRODUCT((September!S5:S54="Active")*(September!P5:P54&lt;&gt;"N/A"))+SUMPRODUCT((October!S5:S54="Active")*(October!P5:P54&lt;&gt;"N/A"))+SUMPRODUCT((November!S5:S54="Active")*(November!P5:P54&lt;&gt;"N/A"))+SUMPRODUCT((December!S5:S54="Active")*(December!P5:P54&lt;&gt;"N/A"))</f>
        <v>20</v>
      </c>
      <c r="D51" s="3">
        <f>SUMPRODUCT((January!S5:S20="Active")*(January!P5:P20="Yes"))+SUMPRODUCT((February!S5:S32="Active")*(February!P5:P32="Yes"))+SUMPRODUCT((March!S5:S20="Active")*(March!P5:P20="Yes"))+SUMPRODUCT((April!S5:S22="Active")*(April!P5:P22="Yes"))+SUMPRODUCT((May!S5:S54="Active")*(May!P5:P54="Yes"))+SUMPRODUCT((June!S5:S54="Active")*(June!P5:P54="Yes"))+SUMPRODUCT((July!S5:S54="Active")*(July!P5:P54="Yes"))+SUMPRODUCT((August!S5:S54="Active")*(August!P5:P54="Yes"))+SUMPRODUCT((September!S5:S54="Active")*(September!P5:P54="Yes"))+SUMPRODUCT((October!S5:S54="Active")*(October!P5:P54="Yes"))+SUMPRODUCT((November!S5:S54="Active")*(November!P5:P54="Yes"))+SUMPRODUCT((December!S5:S54="Active")*(December!P5:P54="Yes"))</f>
        <v>7</v>
      </c>
      <c r="E51" s="3">
        <f t="shared" si="6"/>
        <v>13</v>
      </c>
      <c r="F51" s="15">
        <f t="shared" si="7"/>
        <v>0.35</v>
      </c>
    </row>
    <row r="52" spans="2:6" ht="13.5" customHeight="1">
      <c r="B52" s="12" t="s">
        <v>76</v>
      </c>
      <c r="C52" s="6">
        <f>SUMPRODUCT((January!S5:S20="Active")*(January!Q5:Q20&lt;&gt;"N/A"))+SUMPRODUCT((February!S5:S32="Active")*(February!Q5:Q32&lt;&gt;"N/A"))+SUMPRODUCT((March!S5:S20="Active")*(March!Q5:Q20&lt;&gt;"N/A"))+SUMPRODUCT((April!S5:S22="Active")*(April!Q5:Q22&lt;&gt;"N/A"))+SUMPRODUCT((May!S5:S54="Active")*(May!Q5:Q54&lt;&gt;"N/A"))+SUMPRODUCT((June!S5:S54="Active")*(June!Q5:Q54&lt;&gt;"N/A"))+SUMPRODUCT((July!S5:S54="Active")*(July!Q5:Q54&lt;&gt;"N/A"))+SUMPRODUCT((August!S5:S54="Active")*(August!Q5:Q54&lt;&gt;"N/A"))+SUMPRODUCT((September!S5:S54="Active")*(September!Q5:Q54&lt;&gt;"N/A"))+SUMPRODUCT((October!S5:S54="Active")*(October!Q5:Q54&lt;&gt;"N/A"))+SUMPRODUCT((November!S5:S54="Active")*(November!Q5:Q54&lt;&gt;"N/A"))+SUMPRODUCT((December!S5:S54="Active")*(December!Q5:Q54&lt;&gt;"N/A"))</f>
        <v>26</v>
      </c>
      <c r="D52" s="6">
        <f>SUMPRODUCT((January!S5:S20="Active")*(January!Q5:Q20="Yes"))+SUMPRODUCT((February!S5:S32="Active")*(February!Q5:Q32="Yes"))+SUMPRODUCT((March!S5:S20="Active")*(March!Q5:Q20="Yes"))+SUMPRODUCT((April!S5:S22="Active")*(April!Q5:Q22="Yes"))+SUMPRODUCT((May!S5:S54="Active")*(May!Q5:Q54="Yes"))+SUMPRODUCT((June!S5:S54="Active")*(June!Q5:Q54="Yes"))+SUMPRODUCT((July!S5:S54="Active")*(July!Q5:Q54="Yes"))+SUMPRODUCT((August!S5:S54="Active")*(August!Q5:Q54="Yes"))+SUMPRODUCT((September!S5:S54="Active")*(September!Q5:Q54="Yes"))+SUMPRODUCT((October!S5:S54="Active")*(October!Q5:Q54="Yes"))+SUMPRODUCT((November!S5:S54="Active")*(November!Q5:Q54="Yes"))+SUMPRODUCT((December!S5:S54="Active")*(December!Q5:Q54="Yes"))</f>
        <v>14</v>
      </c>
      <c r="E52" s="6">
        <f t="shared" si="6"/>
        <v>12</v>
      </c>
      <c r="F52" s="14">
        <f t="shared" si="7"/>
        <v>0.53846153846153844</v>
      </c>
    </row>
    <row r="53" spans="2:6">
      <c r="B53" s="10" t="s">
        <v>77</v>
      </c>
      <c r="C53" s="3">
        <f>SUMPRODUCT((January!S5:S20="Active")*(January!R5:R20&lt;&gt;"N/A"))+SUMPRODUCT((February!S5:S32="Active")*(February!R5:R32&lt;&gt;"N/A"))+SUMPRODUCT((March!S5:S20="Active")*(March!R5:R20&lt;&gt;"N/A"))+SUMPRODUCT((April!S5:S22="Active")*(April!R5:R22&lt;&gt;"N/A"))+SUMPRODUCT((May!S5:S54="Active")*(May!R5:R54&lt;&gt;"N/A"))+SUMPRODUCT((June!S5:S54="Active")*(June!R5:R54&lt;&gt;"N/A"))+SUMPRODUCT((July!S5:S54="Active")*(July!R5:R54&lt;&gt;"N/A"))+SUMPRODUCT((August!S5:S54="Active")*(August!R5:R54&lt;&gt;"N/A"))+SUMPRODUCT((September!S5:S54="Active")*(September!R5:R54&lt;&gt;"N/A"))+SUMPRODUCT((October!S5:S54="Active")*(October!R5:R54&lt;&gt;"N/A"))+SUMPRODUCT((November!S5:S54="Active")*(November!R5:R54&lt;&gt;"N/A"))+SUMPRODUCT((December!S5:S54="Active")*(December!R5:R54&lt;&gt;"N/A"))</f>
        <v>14</v>
      </c>
      <c r="D53" s="3">
        <f>SUMPRODUCT((January!S5:S20="Active")*(January!R5:R20="Yes"))+SUMPRODUCT((February!S5:S32="Active")*(February!R5:R32="Yes"))+SUMPRODUCT((March!S5:S20="Active")*(March!R5:R20="Yes"))+SUMPRODUCT((April!S5:S22="Active")*(April!R5:R22="Yes"))+SUMPRODUCT((May!S5:S54="Active")*(May!R5:R54="Yes"))+SUMPRODUCT((June!S5:S54="Active")*(June!R5:R54="Yes"))+SUMPRODUCT((July!S5:S54="Active")*(July!R5:R54="Yes"))+SUMPRODUCT((August!S5:S54="Active")*(August!R5:R54="Yes"))+SUMPRODUCT((September!S5:S54="Active")*(September!R5:R54="Yes"))+SUMPRODUCT((October!S5:S54="Active")*(October!R5:R54="Yes"))+SUMPRODUCT((November!S5:S54="Active")*(November!R5:R54="Yes"))+SUMPRODUCT((December!S5:S54="Active")*(December!R5:R54="Yes"))</f>
        <v>1</v>
      </c>
      <c r="E53" s="3">
        <f t="shared" si="6"/>
        <v>13</v>
      </c>
      <c r="F53" s="15">
        <f t="shared" si="7"/>
        <v>7.1428571428571425E-2</v>
      </c>
    </row>
  </sheetData>
  <mergeCells count="23">
    <mergeCell ref="A1:Q1"/>
    <mergeCell ref="H9:J9"/>
    <mergeCell ref="A3:Q3"/>
    <mergeCell ref="K8:M8"/>
    <mergeCell ref="A2:Q2"/>
    <mergeCell ref="B9:D9"/>
    <mergeCell ref="N9:P9"/>
    <mergeCell ref="A5:Q5"/>
    <mergeCell ref="K4:M4"/>
    <mergeCell ref="B4:D4"/>
    <mergeCell ref="H8:J8"/>
    <mergeCell ref="N4:P4"/>
    <mergeCell ref="K9:M9"/>
    <mergeCell ref="E8:G8"/>
    <mergeCell ref="H4:J4"/>
    <mergeCell ref="E4:G4"/>
    <mergeCell ref="A42:P42"/>
    <mergeCell ref="A7:Q7"/>
    <mergeCell ref="B8:D8"/>
    <mergeCell ref="E9:G9"/>
    <mergeCell ref="N8:P8"/>
    <mergeCell ref="A11:Q11"/>
    <mergeCell ref="A27:P27"/>
  </mergeCells>
  <hyperlinks>
    <hyperlink ref="H4" location="'Onboarding Report'!A1" display="📋 Onboarding Report" xr:uid="{00000000-0004-0000-0000-000000000000}"/>
    <hyperlink ref="K4" location="'Termination Report'!A1" display="📊 Termination Report" xr:uid="{00000000-0004-0000-0000-000001000000}"/>
    <hyperlink ref="B13" location="'January'!A1" display="January" xr:uid="{00000000-0004-0000-0000-000002000000}"/>
    <hyperlink ref="B14" location="'February'!A1" display="February" xr:uid="{00000000-0004-0000-0000-000003000000}"/>
    <hyperlink ref="B15" location="'March'!A1" display="March" xr:uid="{00000000-0004-0000-0000-000004000000}"/>
    <hyperlink ref="B16" location="'April'!A1" display="April" xr:uid="{00000000-0004-0000-0000-000005000000}"/>
    <hyperlink ref="B17" location="'May'!A1" display="May" xr:uid="{00000000-0004-0000-0000-000006000000}"/>
    <hyperlink ref="B18" location="'June'!A1" display="June" xr:uid="{00000000-0004-0000-0000-000007000000}"/>
    <hyperlink ref="B19" location="'July'!A1" display="July" xr:uid="{00000000-0004-0000-0000-000008000000}"/>
    <hyperlink ref="B20" location="'August'!A1" display="August" xr:uid="{00000000-0004-0000-0000-000009000000}"/>
    <hyperlink ref="B21" location="'September'!A1" display="September" xr:uid="{00000000-0004-0000-0000-00000A000000}"/>
    <hyperlink ref="B22" location="'October'!A1" display="October" xr:uid="{00000000-0004-0000-0000-00000B000000}"/>
    <hyperlink ref="B23" location="'November'!A1" display="November" xr:uid="{00000000-0004-0000-0000-00000C000000}"/>
    <hyperlink ref="B24" location="'December'!A1" display="December" xr:uid="{00000000-0004-0000-0000-00000D000000}"/>
  </hyperlinks>
  <pageMargins left="0.75" right="0.75" top="1" bottom="1" header="0.511811023622047" footer="0.511811023622047"/>
  <pageSetup paperSize="9" fitToHeight="0" orientation="landscape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6C3483"/>
  </sheetPr>
  <dimension ref="A1:G494"/>
  <sheetViews>
    <sheetView zoomScale="80" zoomScaleNormal="80" workbookViewId="0">
      <pane ySplit="8" topLeftCell="A430" activePane="bottomLeft" state="frozen"/>
      <selection pane="bottomLeft" activeCell="K412" sqref="K412"/>
      <selection activeCell="F16" sqref="F16"/>
    </sheetView>
  </sheetViews>
  <sheetFormatPr defaultColWidth="8.7109375" defaultRowHeight="12.75"/>
  <cols>
    <col min="1" max="1" width="16" style="16" customWidth="1"/>
    <col min="2" max="2" width="13" style="16" customWidth="1"/>
    <col min="3" max="3" width="18" style="16" customWidth="1"/>
    <col min="4" max="4" width="32" style="16" customWidth="1"/>
    <col min="5" max="5" width="18" style="16" customWidth="1"/>
    <col min="6" max="6" width="12" style="16" customWidth="1"/>
    <col min="7" max="7" width="8.7109375" style="17" hidden="1" customWidth="1"/>
    <col min="8" max="8" width="8.7109375" style="17" customWidth="1"/>
    <col min="9" max="16384" width="8.7109375" style="17"/>
  </cols>
  <sheetData>
    <row r="1" spans="1:7" ht="13.5" customHeight="1">
      <c r="A1" s="98" t="s">
        <v>78</v>
      </c>
      <c r="B1" s="96"/>
      <c r="C1" s="96"/>
      <c r="D1" s="96"/>
      <c r="E1" s="96"/>
      <c r="F1" s="96"/>
    </row>
    <row r="2" spans="1:7" ht="13.5" customHeight="1">
      <c r="A2" s="18" t="s">
        <v>79</v>
      </c>
      <c r="B2" s="19"/>
      <c r="C2" s="19"/>
      <c r="D2" s="19"/>
      <c r="E2" s="19"/>
      <c r="F2" s="19"/>
    </row>
    <row r="3" spans="1:7" ht="13.5" customHeight="1">
      <c r="A3" s="95" t="s">
        <v>80</v>
      </c>
      <c r="B3" s="96"/>
      <c r="C3" s="96"/>
      <c r="D3" s="96"/>
      <c r="E3" s="96"/>
      <c r="F3" s="96"/>
    </row>
    <row r="4" spans="1:7" ht="27" customHeight="1">
      <c r="A4" s="20" t="s">
        <v>81</v>
      </c>
      <c r="B4" s="20" t="s">
        <v>82</v>
      </c>
      <c r="C4" s="20" t="s">
        <v>83</v>
      </c>
      <c r="D4" s="20" t="s">
        <v>84</v>
      </c>
      <c r="E4" s="19"/>
      <c r="F4" s="19"/>
    </row>
    <row r="5" spans="1:7" ht="13.5" customHeight="1">
      <c r="A5" s="3"/>
      <c r="B5" s="3"/>
      <c r="C5" s="3"/>
      <c r="D5" s="21"/>
      <c r="E5" s="97" t="s">
        <v>85</v>
      </c>
      <c r="F5" s="112"/>
    </row>
    <row r="6" spans="1:7">
      <c r="A6" s="19"/>
      <c r="B6" s="19" t="s">
        <v>86</v>
      </c>
      <c r="C6" s="19"/>
      <c r="D6" s="19"/>
      <c r="E6" s="19"/>
      <c r="F6" s="19"/>
    </row>
    <row r="7" spans="1:7" ht="13.5" customHeight="1">
      <c r="A7" s="98" t="s">
        <v>87</v>
      </c>
      <c r="B7" s="96"/>
      <c r="C7" s="96"/>
      <c r="D7" s="96"/>
      <c r="E7" s="96"/>
      <c r="F7" s="96"/>
    </row>
    <row r="8" spans="1:7" ht="13.5" customHeight="1">
      <c r="A8" s="22" t="s">
        <v>88</v>
      </c>
      <c r="B8" s="22" t="s">
        <v>89</v>
      </c>
      <c r="C8" s="22" t="s">
        <v>81</v>
      </c>
      <c r="D8" s="22" t="s">
        <v>83</v>
      </c>
      <c r="E8" s="22" t="s">
        <v>84</v>
      </c>
      <c r="F8" s="22" t="s">
        <v>90</v>
      </c>
      <c r="G8" s="23" t="s">
        <v>91</v>
      </c>
    </row>
    <row r="9" spans="1:7" ht="39" customHeight="1">
      <c r="A9" s="45">
        <v>45966</v>
      </c>
      <c r="B9" s="46" t="s">
        <v>92</v>
      </c>
      <c r="C9" s="46" t="s">
        <v>93</v>
      </c>
      <c r="D9" s="46" t="s">
        <v>94</v>
      </c>
      <c r="E9" s="45">
        <v>45905</v>
      </c>
      <c r="F9" s="25"/>
      <c r="G9" s="17" t="s">
        <v>95</v>
      </c>
    </row>
    <row r="10" spans="1:7" ht="39" customHeight="1">
      <c r="A10" s="45">
        <v>45995</v>
      </c>
      <c r="B10" s="46" t="s">
        <v>92</v>
      </c>
      <c r="C10" s="46" t="s">
        <v>96</v>
      </c>
      <c r="D10" s="46" t="s">
        <v>97</v>
      </c>
      <c r="E10" s="45">
        <v>45934</v>
      </c>
      <c r="F10" s="24" t="s">
        <v>98</v>
      </c>
      <c r="G10" s="17" t="s">
        <v>99</v>
      </c>
    </row>
    <row r="11" spans="1:7" ht="39" customHeight="1">
      <c r="A11" s="45">
        <v>45966</v>
      </c>
      <c r="B11" s="46" t="s">
        <v>92</v>
      </c>
      <c r="C11" s="46" t="s">
        <v>93</v>
      </c>
      <c r="D11" s="46" t="s">
        <v>100</v>
      </c>
      <c r="E11" s="45">
        <v>45935</v>
      </c>
      <c r="F11" s="25"/>
      <c r="G11" s="17" t="s">
        <v>95</v>
      </c>
    </row>
    <row r="12" spans="1:7" ht="39" customHeight="1">
      <c r="A12" s="45">
        <v>46002</v>
      </c>
      <c r="B12" s="46" t="s">
        <v>92</v>
      </c>
      <c r="C12" s="46" t="s">
        <v>96</v>
      </c>
      <c r="D12" s="46" t="s">
        <v>101</v>
      </c>
      <c r="E12" s="45">
        <v>45941</v>
      </c>
      <c r="F12" s="24" t="s">
        <v>98</v>
      </c>
      <c r="G12" s="17" t="s">
        <v>102</v>
      </c>
    </row>
    <row r="13" spans="1:7" ht="39" customHeight="1">
      <c r="A13" s="45">
        <v>45965</v>
      </c>
      <c r="B13" s="46" t="s">
        <v>92</v>
      </c>
      <c r="C13" s="46" t="s">
        <v>60</v>
      </c>
      <c r="D13" s="46" t="s">
        <v>103</v>
      </c>
      <c r="E13" s="45">
        <v>45965</v>
      </c>
      <c r="F13" s="25"/>
      <c r="G13" s="17" t="s">
        <v>95</v>
      </c>
    </row>
    <row r="14" spans="1:7" ht="39" customHeight="1">
      <c r="A14" s="45">
        <v>45966</v>
      </c>
      <c r="B14" s="46" t="s">
        <v>92</v>
      </c>
      <c r="C14" s="46" t="s">
        <v>93</v>
      </c>
      <c r="D14" s="46" t="s">
        <v>104</v>
      </c>
      <c r="E14" s="45">
        <v>45965</v>
      </c>
      <c r="F14" s="25"/>
      <c r="G14" s="17" t="s">
        <v>95</v>
      </c>
    </row>
    <row r="15" spans="1:7" ht="39" customHeight="1">
      <c r="A15" s="45">
        <v>45966</v>
      </c>
      <c r="B15" s="46" t="s">
        <v>92</v>
      </c>
      <c r="C15" s="46" t="s">
        <v>93</v>
      </c>
      <c r="D15" s="46" t="s">
        <v>105</v>
      </c>
      <c r="E15" s="45">
        <v>45966</v>
      </c>
      <c r="F15" s="25"/>
      <c r="G15" s="17" t="s">
        <v>95</v>
      </c>
    </row>
    <row r="16" spans="1:7" ht="39" customHeight="1">
      <c r="A16" s="45">
        <v>45966</v>
      </c>
      <c r="B16" s="46" t="s">
        <v>92</v>
      </c>
      <c r="C16" s="46" t="s">
        <v>93</v>
      </c>
      <c r="D16" s="46" t="s">
        <v>106</v>
      </c>
      <c r="E16" s="45">
        <v>45966</v>
      </c>
      <c r="F16" s="25"/>
      <c r="G16" s="17" t="s">
        <v>95</v>
      </c>
    </row>
    <row r="17" spans="1:7" ht="39" customHeight="1">
      <c r="A17" s="45">
        <v>45966</v>
      </c>
      <c r="B17" s="46" t="s">
        <v>92</v>
      </c>
      <c r="C17" s="46" t="s">
        <v>93</v>
      </c>
      <c r="D17" s="46" t="s">
        <v>107</v>
      </c>
      <c r="E17" s="45">
        <v>45966</v>
      </c>
      <c r="F17" s="25"/>
      <c r="G17" s="17" t="s">
        <v>95</v>
      </c>
    </row>
    <row r="18" spans="1:7" ht="39" customHeight="1">
      <c r="A18" s="45">
        <v>45966</v>
      </c>
      <c r="B18" s="46" t="s">
        <v>92</v>
      </c>
      <c r="C18" s="46" t="s">
        <v>93</v>
      </c>
      <c r="D18" s="46" t="s">
        <v>108</v>
      </c>
      <c r="E18" s="45">
        <v>45966</v>
      </c>
      <c r="F18" s="25"/>
      <c r="G18" s="17" t="s">
        <v>95</v>
      </c>
    </row>
    <row r="19" spans="1:7" ht="39" customHeight="1">
      <c r="A19" s="45">
        <v>45966</v>
      </c>
      <c r="B19" s="46" t="s">
        <v>92</v>
      </c>
      <c r="C19" s="46" t="s">
        <v>93</v>
      </c>
      <c r="D19" s="46" t="s">
        <v>109</v>
      </c>
      <c r="E19" s="45">
        <v>45966</v>
      </c>
      <c r="F19" s="25"/>
      <c r="G19" s="17" t="s">
        <v>95</v>
      </c>
    </row>
    <row r="20" spans="1:7" ht="39" customHeight="1">
      <c r="A20" s="45">
        <v>45966</v>
      </c>
      <c r="B20" s="46" t="s">
        <v>92</v>
      </c>
      <c r="C20" s="46" t="s">
        <v>93</v>
      </c>
      <c r="D20" s="46" t="s">
        <v>110</v>
      </c>
      <c r="E20" s="45">
        <v>45966</v>
      </c>
      <c r="F20" s="25"/>
      <c r="G20" s="17" t="s">
        <v>95</v>
      </c>
    </row>
    <row r="21" spans="1:7" ht="39" customHeight="1">
      <c r="A21" s="45">
        <v>45966</v>
      </c>
      <c r="B21" s="46" t="s">
        <v>92</v>
      </c>
      <c r="C21" s="46" t="s">
        <v>93</v>
      </c>
      <c r="D21" s="46" t="s">
        <v>111</v>
      </c>
      <c r="E21" s="45">
        <v>45966</v>
      </c>
      <c r="F21" s="25"/>
      <c r="G21" s="17" t="s">
        <v>95</v>
      </c>
    </row>
    <row r="22" spans="1:7" ht="39" customHeight="1">
      <c r="A22" s="45">
        <v>45966</v>
      </c>
      <c r="B22" s="46" t="s">
        <v>92</v>
      </c>
      <c r="C22" s="46" t="s">
        <v>93</v>
      </c>
      <c r="D22" s="46" t="s">
        <v>112</v>
      </c>
      <c r="E22" s="45">
        <v>45966</v>
      </c>
      <c r="F22" s="25"/>
      <c r="G22" s="17" t="s">
        <v>95</v>
      </c>
    </row>
    <row r="23" spans="1:7" ht="39" customHeight="1">
      <c r="A23" s="45">
        <v>45966</v>
      </c>
      <c r="B23" s="46" t="s">
        <v>92</v>
      </c>
      <c r="C23" s="46" t="s">
        <v>93</v>
      </c>
      <c r="D23" s="46" t="s">
        <v>113</v>
      </c>
      <c r="E23" s="45">
        <v>45966</v>
      </c>
      <c r="F23" s="25"/>
      <c r="G23" s="17" t="s">
        <v>95</v>
      </c>
    </row>
    <row r="24" spans="1:7" ht="39" customHeight="1">
      <c r="A24" s="45">
        <v>45966</v>
      </c>
      <c r="B24" s="46" t="s">
        <v>92</v>
      </c>
      <c r="C24" s="46" t="s">
        <v>60</v>
      </c>
      <c r="D24" s="46" t="s">
        <v>114</v>
      </c>
      <c r="E24" s="45">
        <v>45966</v>
      </c>
      <c r="F24" s="25"/>
      <c r="G24" s="17" t="s">
        <v>95</v>
      </c>
    </row>
    <row r="25" spans="1:7" ht="39" customHeight="1">
      <c r="A25" s="45">
        <v>45967</v>
      </c>
      <c r="B25" s="46" t="s">
        <v>92</v>
      </c>
      <c r="C25" s="46" t="s">
        <v>93</v>
      </c>
      <c r="D25" s="46" t="s">
        <v>109</v>
      </c>
      <c r="E25" s="45">
        <v>45966</v>
      </c>
      <c r="F25" s="25"/>
      <c r="G25" s="17" t="s">
        <v>95</v>
      </c>
    </row>
    <row r="26" spans="1:7" ht="39" customHeight="1">
      <c r="A26" s="45">
        <v>45967</v>
      </c>
      <c r="B26" s="46" t="s">
        <v>92</v>
      </c>
      <c r="C26" s="46" t="s">
        <v>93</v>
      </c>
      <c r="D26" s="46" t="s">
        <v>105</v>
      </c>
      <c r="E26" s="45">
        <v>45967</v>
      </c>
      <c r="F26" s="25"/>
      <c r="G26" s="17" t="s">
        <v>95</v>
      </c>
    </row>
    <row r="27" spans="1:7" ht="39" customHeight="1">
      <c r="A27" s="45">
        <v>45967</v>
      </c>
      <c r="B27" s="46" t="s">
        <v>92</v>
      </c>
      <c r="C27" s="46" t="s">
        <v>93</v>
      </c>
      <c r="D27" s="46" t="s">
        <v>109</v>
      </c>
      <c r="E27" s="45">
        <v>45967</v>
      </c>
      <c r="F27" s="25"/>
      <c r="G27" s="17" t="s">
        <v>95</v>
      </c>
    </row>
    <row r="28" spans="1:7" ht="39" customHeight="1">
      <c r="A28" s="45">
        <v>45967</v>
      </c>
      <c r="B28" s="46" t="s">
        <v>92</v>
      </c>
      <c r="C28" s="46" t="s">
        <v>93</v>
      </c>
      <c r="D28" s="46" t="s">
        <v>113</v>
      </c>
      <c r="E28" s="45">
        <v>45967</v>
      </c>
      <c r="F28" s="25"/>
      <c r="G28" s="17" t="s">
        <v>95</v>
      </c>
    </row>
    <row r="29" spans="1:7" ht="39" customHeight="1">
      <c r="A29" s="45">
        <v>45967</v>
      </c>
      <c r="B29" s="46" t="s">
        <v>92</v>
      </c>
      <c r="C29" s="46" t="s">
        <v>93</v>
      </c>
      <c r="D29" s="46" t="s">
        <v>110</v>
      </c>
      <c r="E29" s="45">
        <v>45967</v>
      </c>
      <c r="F29" s="25"/>
      <c r="G29" s="17" t="s">
        <v>95</v>
      </c>
    </row>
    <row r="30" spans="1:7" ht="39" customHeight="1">
      <c r="A30" s="45">
        <v>45967</v>
      </c>
      <c r="B30" s="46" t="s">
        <v>92</v>
      </c>
      <c r="C30" s="46" t="s">
        <v>93</v>
      </c>
      <c r="D30" s="46" t="s">
        <v>106</v>
      </c>
      <c r="E30" s="45">
        <v>45967</v>
      </c>
      <c r="F30" s="25"/>
      <c r="G30" s="17" t="s">
        <v>95</v>
      </c>
    </row>
    <row r="31" spans="1:7" ht="39" customHeight="1">
      <c r="A31" s="45">
        <v>45967</v>
      </c>
      <c r="B31" s="46" t="s">
        <v>92</v>
      </c>
      <c r="C31" s="46" t="s">
        <v>93</v>
      </c>
      <c r="D31" s="46" t="s">
        <v>115</v>
      </c>
      <c r="E31" s="45">
        <v>45967</v>
      </c>
      <c r="F31" s="24"/>
      <c r="G31" s="17" t="s">
        <v>95</v>
      </c>
    </row>
    <row r="32" spans="1:7" ht="39" customHeight="1">
      <c r="A32" s="45">
        <v>45971</v>
      </c>
      <c r="B32" s="46" t="s">
        <v>92</v>
      </c>
      <c r="C32" s="46" t="s">
        <v>73</v>
      </c>
      <c r="D32" s="46" t="s">
        <v>116</v>
      </c>
      <c r="E32" s="45">
        <v>45971</v>
      </c>
      <c r="F32" s="24" t="s">
        <v>98</v>
      </c>
      <c r="G32" s="17" t="s">
        <v>117</v>
      </c>
    </row>
    <row r="33" spans="1:7" ht="39" customHeight="1">
      <c r="A33" s="45">
        <v>45971</v>
      </c>
      <c r="B33" s="46" t="s">
        <v>92</v>
      </c>
      <c r="C33" s="46" t="s">
        <v>73</v>
      </c>
      <c r="D33" s="46" t="s">
        <v>118</v>
      </c>
      <c r="E33" s="45">
        <v>45971</v>
      </c>
      <c r="F33" s="24" t="s">
        <v>98</v>
      </c>
      <c r="G33" s="17" t="s">
        <v>119</v>
      </c>
    </row>
    <row r="34" spans="1:7" ht="39" customHeight="1">
      <c r="A34" s="45">
        <v>45971</v>
      </c>
      <c r="B34" s="46" t="s">
        <v>92</v>
      </c>
      <c r="C34" s="46" t="s">
        <v>120</v>
      </c>
      <c r="D34" s="46" t="s">
        <v>121</v>
      </c>
      <c r="E34" s="45">
        <v>45971</v>
      </c>
      <c r="F34" s="24"/>
      <c r="G34" s="17" t="s">
        <v>95</v>
      </c>
    </row>
    <row r="35" spans="1:7" ht="39" customHeight="1">
      <c r="A35" s="45">
        <v>45971</v>
      </c>
      <c r="B35" s="46" t="s">
        <v>92</v>
      </c>
      <c r="C35" s="46" t="s">
        <v>73</v>
      </c>
      <c r="D35" s="46" t="s">
        <v>114</v>
      </c>
      <c r="E35" s="45">
        <v>45971</v>
      </c>
      <c r="F35" s="24" t="s">
        <v>98</v>
      </c>
      <c r="G35" s="17" t="s">
        <v>122</v>
      </c>
    </row>
    <row r="36" spans="1:7" ht="39" customHeight="1">
      <c r="A36" s="45">
        <v>45971</v>
      </c>
      <c r="B36" s="46" t="s">
        <v>92</v>
      </c>
      <c r="C36" s="46" t="s">
        <v>73</v>
      </c>
      <c r="D36" s="46" t="s">
        <v>123</v>
      </c>
      <c r="E36" s="45">
        <v>45971</v>
      </c>
      <c r="F36" s="24" t="s">
        <v>98</v>
      </c>
      <c r="G36" s="17" t="s">
        <v>124</v>
      </c>
    </row>
    <row r="37" spans="1:7" ht="39" customHeight="1">
      <c r="A37" s="45">
        <v>45971</v>
      </c>
      <c r="B37" s="46" t="s">
        <v>92</v>
      </c>
      <c r="C37" s="46" t="s">
        <v>73</v>
      </c>
      <c r="D37" s="46" t="s">
        <v>125</v>
      </c>
      <c r="E37" s="45">
        <v>45971</v>
      </c>
      <c r="F37" s="24" t="s">
        <v>98</v>
      </c>
      <c r="G37" s="17" t="s">
        <v>126</v>
      </c>
    </row>
    <row r="38" spans="1:7" ht="39" customHeight="1">
      <c r="A38" s="45">
        <v>45972</v>
      </c>
      <c r="B38" s="46" t="s">
        <v>92</v>
      </c>
      <c r="C38" s="46" t="s">
        <v>120</v>
      </c>
      <c r="D38" s="46" t="s">
        <v>127</v>
      </c>
      <c r="E38" s="45">
        <v>45972</v>
      </c>
      <c r="F38" s="25"/>
      <c r="G38" s="17" t="s">
        <v>95</v>
      </c>
    </row>
    <row r="39" spans="1:7" ht="39" customHeight="1">
      <c r="A39" s="45">
        <v>45972</v>
      </c>
      <c r="B39" s="46" t="s">
        <v>92</v>
      </c>
      <c r="C39" s="46" t="s">
        <v>120</v>
      </c>
      <c r="D39" s="46" t="s">
        <v>128</v>
      </c>
      <c r="E39" s="45">
        <v>45972</v>
      </c>
      <c r="F39" s="24"/>
      <c r="G39" s="17" t="s">
        <v>95</v>
      </c>
    </row>
    <row r="40" spans="1:7" ht="39" customHeight="1">
      <c r="A40" s="45">
        <v>45972</v>
      </c>
      <c r="B40" s="46" t="s">
        <v>92</v>
      </c>
      <c r="C40" s="46" t="s">
        <v>120</v>
      </c>
      <c r="D40" s="46" t="s">
        <v>129</v>
      </c>
      <c r="E40" s="45">
        <v>45972</v>
      </c>
      <c r="F40" s="24"/>
      <c r="G40" s="17" t="s">
        <v>95</v>
      </c>
    </row>
    <row r="41" spans="1:7" ht="39" customHeight="1">
      <c r="A41" s="45">
        <v>45972</v>
      </c>
      <c r="B41" s="46" t="s">
        <v>92</v>
      </c>
      <c r="C41" s="46" t="s">
        <v>120</v>
      </c>
      <c r="D41" s="46" t="s">
        <v>130</v>
      </c>
      <c r="E41" s="45">
        <v>45972</v>
      </c>
      <c r="F41" s="24"/>
      <c r="G41" s="17" t="s">
        <v>95</v>
      </c>
    </row>
    <row r="42" spans="1:7" ht="39" customHeight="1">
      <c r="A42" s="45">
        <v>45972</v>
      </c>
      <c r="B42" s="46" t="s">
        <v>92</v>
      </c>
      <c r="C42" s="46" t="s">
        <v>120</v>
      </c>
      <c r="D42" s="46" t="s">
        <v>121</v>
      </c>
      <c r="E42" s="45">
        <v>45972</v>
      </c>
      <c r="F42" s="24"/>
      <c r="G42" s="17" t="s">
        <v>95</v>
      </c>
    </row>
    <row r="43" spans="1:7" ht="39" customHeight="1">
      <c r="A43" s="45">
        <v>45972</v>
      </c>
      <c r="B43" s="46" t="s">
        <v>92</v>
      </c>
      <c r="C43" s="46" t="s">
        <v>120</v>
      </c>
      <c r="D43" s="46" t="s">
        <v>131</v>
      </c>
      <c r="E43" s="45">
        <v>45972</v>
      </c>
      <c r="F43" s="25"/>
      <c r="G43" s="17" t="s">
        <v>95</v>
      </c>
    </row>
    <row r="44" spans="1:7" ht="39" customHeight="1">
      <c r="A44" s="45">
        <v>45972</v>
      </c>
      <c r="B44" s="46" t="s">
        <v>92</v>
      </c>
      <c r="C44" s="46" t="s">
        <v>120</v>
      </c>
      <c r="D44" s="46" t="s">
        <v>132</v>
      </c>
      <c r="E44" s="45">
        <v>45972</v>
      </c>
      <c r="F44" s="25"/>
      <c r="G44" s="17" t="s">
        <v>95</v>
      </c>
    </row>
    <row r="45" spans="1:7" ht="39" customHeight="1">
      <c r="A45" s="45">
        <v>45972</v>
      </c>
      <c r="B45" s="46" t="s">
        <v>92</v>
      </c>
      <c r="C45" s="46" t="s">
        <v>120</v>
      </c>
      <c r="D45" s="46" t="s">
        <v>133</v>
      </c>
      <c r="E45" s="45">
        <v>45972</v>
      </c>
      <c r="F45" s="25"/>
      <c r="G45" s="17" t="s">
        <v>95</v>
      </c>
    </row>
    <row r="46" spans="1:7" ht="39" customHeight="1">
      <c r="A46" s="45">
        <v>45965</v>
      </c>
      <c r="B46" s="46" t="s">
        <v>92</v>
      </c>
      <c r="C46" s="46" t="s">
        <v>60</v>
      </c>
      <c r="D46" s="46" t="s">
        <v>134</v>
      </c>
      <c r="E46" s="45">
        <v>45973</v>
      </c>
      <c r="F46" s="25"/>
      <c r="G46" s="17" t="s">
        <v>95</v>
      </c>
    </row>
    <row r="47" spans="1:7" ht="39" customHeight="1">
      <c r="A47" s="45">
        <v>45973</v>
      </c>
      <c r="B47" s="46" t="s">
        <v>92</v>
      </c>
      <c r="C47" s="46" t="s">
        <v>120</v>
      </c>
      <c r="D47" s="46" t="s">
        <v>128</v>
      </c>
      <c r="E47" s="45">
        <v>45973</v>
      </c>
      <c r="F47" s="25"/>
      <c r="G47" s="17" t="s">
        <v>95</v>
      </c>
    </row>
    <row r="48" spans="1:7" ht="39" customHeight="1">
      <c r="A48" s="45">
        <v>45973</v>
      </c>
      <c r="B48" s="46" t="s">
        <v>92</v>
      </c>
      <c r="C48" s="46" t="s">
        <v>120</v>
      </c>
      <c r="D48" s="46" t="s">
        <v>130</v>
      </c>
      <c r="E48" s="45">
        <v>45973</v>
      </c>
      <c r="F48" s="25"/>
      <c r="G48" s="17" t="s">
        <v>95</v>
      </c>
    </row>
    <row r="49" spans="1:7" ht="39" customHeight="1">
      <c r="A49" s="45">
        <v>45973</v>
      </c>
      <c r="B49" s="46" t="s">
        <v>92</v>
      </c>
      <c r="C49" s="46" t="s">
        <v>120</v>
      </c>
      <c r="D49" s="46" t="s">
        <v>127</v>
      </c>
      <c r="E49" s="45">
        <v>45973</v>
      </c>
      <c r="F49" s="25"/>
      <c r="G49" s="17" t="s">
        <v>95</v>
      </c>
    </row>
    <row r="50" spans="1:7" ht="39" customHeight="1">
      <c r="A50" s="45">
        <v>45973</v>
      </c>
      <c r="B50" s="46" t="s">
        <v>92</v>
      </c>
      <c r="C50" s="46" t="s">
        <v>120</v>
      </c>
      <c r="D50" s="46" t="s">
        <v>131</v>
      </c>
      <c r="E50" s="45">
        <v>45973</v>
      </c>
      <c r="F50" s="25"/>
      <c r="G50" s="17" t="s">
        <v>95</v>
      </c>
    </row>
    <row r="51" spans="1:7" ht="39" customHeight="1">
      <c r="A51" s="45">
        <v>45973</v>
      </c>
      <c r="B51" s="46" t="s">
        <v>92</v>
      </c>
      <c r="C51" s="46" t="s">
        <v>120</v>
      </c>
      <c r="D51" s="46" t="s">
        <v>121</v>
      </c>
      <c r="E51" s="45">
        <v>45973</v>
      </c>
      <c r="F51" s="25"/>
      <c r="G51" s="17" t="s">
        <v>95</v>
      </c>
    </row>
    <row r="52" spans="1:7" ht="39" customHeight="1">
      <c r="A52" s="45">
        <v>45973</v>
      </c>
      <c r="B52" s="46" t="s">
        <v>92</v>
      </c>
      <c r="C52" s="46" t="s">
        <v>120</v>
      </c>
      <c r="D52" s="46" t="s">
        <v>129</v>
      </c>
      <c r="E52" s="45">
        <v>45973</v>
      </c>
      <c r="F52" s="25"/>
      <c r="G52" s="17" t="s">
        <v>95</v>
      </c>
    </row>
    <row r="53" spans="1:7" ht="39" customHeight="1">
      <c r="A53" s="45">
        <v>45974</v>
      </c>
      <c r="B53" s="46" t="s">
        <v>92</v>
      </c>
      <c r="C53" s="46" t="s">
        <v>135</v>
      </c>
      <c r="D53" s="46" t="s">
        <v>136</v>
      </c>
      <c r="E53" s="45">
        <v>45974</v>
      </c>
      <c r="F53" s="25"/>
      <c r="G53" s="17" t="s">
        <v>95</v>
      </c>
    </row>
    <row r="54" spans="1:7" ht="39" customHeight="1">
      <c r="A54" s="45">
        <v>45974</v>
      </c>
      <c r="B54" s="46" t="s">
        <v>92</v>
      </c>
      <c r="C54" s="46" t="s">
        <v>135</v>
      </c>
      <c r="D54" s="46" t="s">
        <v>137</v>
      </c>
      <c r="E54" s="45">
        <v>45974</v>
      </c>
      <c r="F54" s="25"/>
      <c r="G54" s="17" t="s">
        <v>95</v>
      </c>
    </row>
    <row r="55" spans="1:7" ht="39" customHeight="1">
      <c r="A55" s="45">
        <v>45974</v>
      </c>
      <c r="B55" s="46" t="s">
        <v>92</v>
      </c>
      <c r="C55" s="46" t="s">
        <v>135</v>
      </c>
      <c r="D55" s="46" t="s">
        <v>138</v>
      </c>
      <c r="E55" s="45">
        <v>45974</v>
      </c>
      <c r="F55" s="25"/>
      <c r="G55" s="17" t="s">
        <v>95</v>
      </c>
    </row>
    <row r="56" spans="1:7" ht="39" customHeight="1">
      <c r="A56" s="45">
        <v>45974</v>
      </c>
      <c r="B56" s="46" t="s">
        <v>92</v>
      </c>
      <c r="C56" s="46" t="s">
        <v>135</v>
      </c>
      <c r="D56" s="46" t="s">
        <v>139</v>
      </c>
      <c r="E56" s="45">
        <v>45974</v>
      </c>
      <c r="F56" s="25"/>
      <c r="G56" s="17" t="s">
        <v>95</v>
      </c>
    </row>
    <row r="57" spans="1:7" ht="39" customHeight="1">
      <c r="A57" s="45">
        <v>45974</v>
      </c>
      <c r="B57" s="46" t="s">
        <v>92</v>
      </c>
      <c r="C57" s="46" t="s">
        <v>135</v>
      </c>
      <c r="D57" s="46" t="s">
        <v>140</v>
      </c>
      <c r="E57" s="45">
        <v>45974</v>
      </c>
      <c r="F57" s="25"/>
      <c r="G57" s="17" t="s">
        <v>95</v>
      </c>
    </row>
    <row r="58" spans="1:7" ht="39" customHeight="1">
      <c r="A58" s="45">
        <v>45974</v>
      </c>
      <c r="B58" s="46" t="s">
        <v>92</v>
      </c>
      <c r="C58" s="46" t="s">
        <v>135</v>
      </c>
      <c r="D58" s="46" t="s">
        <v>141</v>
      </c>
      <c r="E58" s="45">
        <v>45974</v>
      </c>
      <c r="F58" s="25"/>
      <c r="G58" s="17" t="s">
        <v>95</v>
      </c>
    </row>
    <row r="59" spans="1:7" ht="39" customHeight="1">
      <c r="A59" s="45">
        <v>45974</v>
      </c>
      <c r="B59" s="46" t="s">
        <v>92</v>
      </c>
      <c r="C59" s="46" t="s">
        <v>135</v>
      </c>
      <c r="D59" s="46" t="s">
        <v>142</v>
      </c>
      <c r="E59" s="45">
        <v>45974</v>
      </c>
      <c r="F59" s="24"/>
      <c r="G59" s="17" t="s">
        <v>95</v>
      </c>
    </row>
    <row r="60" spans="1:7" ht="39" customHeight="1">
      <c r="A60" s="45">
        <v>45974</v>
      </c>
      <c r="B60" s="46" t="s">
        <v>92</v>
      </c>
      <c r="C60" s="46" t="s">
        <v>135</v>
      </c>
      <c r="D60" s="46" t="s">
        <v>143</v>
      </c>
      <c r="E60" s="45">
        <v>45974</v>
      </c>
      <c r="F60" s="25"/>
      <c r="G60" s="17" t="s">
        <v>95</v>
      </c>
    </row>
    <row r="61" spans="1:7" ht="39" customHeight="1">
      <c r="A61" s="45">
        <v>45974</v>
      </c>
      <c r="B61" s="46" t="s">
        <v>92</v>
      </c>
      <c r="C61" s="46" t="s">
        <v>135</v>
      </c>
      <c r="D61" s="46" t="s">
        <v>144</v>
      </c>
      <c r="E61" s="45">
        <v>45974</v>
      </c>
      <c r="F61" s="25"/>
      <c r="G61" s="17" t="s">
        <v>95</v>
      </c>
    </row>
    <row r="62" spans="1:7" ht="39" customHeight="1">
      <c r="A62" s="45">
        <v>45974</v>
      </c>
      <c r="B62" s="46" t="s">
        <v>92</v>
      </c>
      <c r="C62" s="46" t="s">
        <v>135</v>
      </c>
      <c r="D62" s="46" t="s">
        <v>145</v>
      </c>
      <c r="E62" s="45">
        <v>45974</v>
      </c>
      <c r="F62" s="25"/>
      <c r="G62" s="17" t="s">
        <v>95</v>
      </c>
    </row>
    <row r="63" spans="1:7" ht="39" customHeight="1">
      <c r="A63" s="45">
        <v>45974</v>
      </c>
      <c r="B63" s="46" t="s">
        <v>92</v>
      </c>
      <c r="C63" s="46" t="s">
        <v>135</v>
      </c>
      <c r="D63" s="46" t="s">
        <v>146</v>
      </c>
      <c r="E63" s="45">
        <v>45974</v>
      </c>
      <c r="F63" s="25"/>
      <c r="G63" s="17" t="s">
        <v>95</v>
      </c>
    </row>
    <row r="64" spans="1:7" ht="39" customHeight="1">
      <c r="A64" s="45">
        <v>45974</v>
      </c>
      <c r="B64" s="46" t="s">
        <v>92</v>
      </c>
      <c r="C64" s="46" t="s">
        <v>135</v>
      </c>
      <c r="D64" s="46" t="s">
        <v>147</v>
      </c>
      <c r="E64" s="45">
        <v>45974</v>
      </c>
      <c r="F64" s="25"/>
      <c r="G64" s="17" t="s">
        <v>95</v>
      </c>
    </row>
    <row r="65" spans="1:7" ht="39" customHeight="1">
      <c r="A65" s="45">
        <v>45974</v>
      </c>
      <c r="B65" s="46" t="s">
        <v>92</v>
      </c>
      <c r="C65" s="46" t="s">
        <v>135</v>
      </c>
      <c r="D65" s="46" t="s">
        <v>148</v>
      </c>
      <c r="E65" s="45">
        <v>45974</v>
      </c>
      <c r="F65" s="25"/>
      <c r="G65" s="17" t="s">
        <v>95</v>
      </c>
    </row>
    <row r="66" spans="1:7" ht="39" customHeight="1">
      <c r="A66" s="45">
        <v>45974</v>
      </c>
      <c r="B66" s="46" t="s">
        <v>92</v>
      </c>
      <c r="C66" s="46" t="s">
        <v>135</v>
      </c>
      <c r="D66" s="46" t="s">
        <v>149</v>
      </c>
      <c r="E66" s="45">
        <v>45974</v>
      </c>
      <c r="F66" s="25"/>
      <c r="G66" s="17" t="s">
        <v>95</v>
      </c>
    </row>
    <row r="67" spans="1:7" ht="39" customHeight="1">
      <c r="A67" s="45">
        <v>45974</v>
      </c>
      <c r="B67" s="46" t="s">
        <v>92</v>
      </c>
      <c r="C67" s="46" t="s">
        <v>135</v>
      </c>
      <c r="D67" s="46" t="s">
        <v>150</v>
      </c>
      <c r="E67" s="45">
        <v>45974</v>
      </c>
      <c r="F67" s="25"/>
      <c r="G67" s="17" t="s">
        <v>95</v>
      </c>
    </row>
    <row r="68" spans="1:7" ht="39" customHeight="1">
      <c r="A68" s="45">
        <v>45974</v>
      </c>
      <c r="B68" s="46" t="s">
        <v>92</v>
      </c>
      <c r="C68" s="46" t="s">
        <v>151</v>
      </c>
      <c r="D68" s="46" t="s">
        <v>142</v>
      </c>
      <c r="E68" s="45">
        <v>45974</v>
      </c>
      <c r="F68" s="25"/>
      <c r="G68" s="17" t="s">
        <v>95</v>
      </c>
    </row>
    <row r="69" spans="1:7" ht="39" customHeight="1">
      <c r="A69" s="45">
        <v>45974</v>
      </c>
      <c r="B69" s="46" t="s">
        <v>92</v>
      </c>
      <c r="C69" s="46" t="s">
        <v>135</v>
      </c>
      <c r="D69" s="46" t="s">
        <v>116</v>
      </c>
      <c r="E69" s="45">
        <v>45974</v>
      </c>
      <c r="F69" s="24"/>
      <c r="G69" s="17" t="s">
        <v>95</v>
      </c>
    </row>
    <row r="70" spans="1:7" ht="39" customHeight="1">
      <c r="A70" s="45">
        <v>45974</v>
      </c>
      <c r="B70" s="46" t="s">
        <v>92</v>
      </c>
      <c r="C70" s="46" t="s">
        <v>151</v>
      </c>
      <c r="D70" s="46" t="s">
        <v>142</v>
      </c>
      <c r="E70" s="45">
        <v>45974</v>
      </c>
      <c r="F70" s="25"/>
      <c r="G70" s="17" t="s">
        <v>95</v>
      </c>
    </row>
    <row r="71" spans="1:7" ht="39" customHeight="1">
      <c r="A71" s="45">
        <v>45975</v>
      </c>
      <c r="B71" s="46" t="s">
        <v>92</v>
      </c>
      <c r="C71" s="46" t="s">
        <v>73</v>
      </c>
      <c r="D71" s="46" t="s">
        <v>127</v>
      </c>
      <c r="E71" s="45">
        <v>45975</v>
      </c>
      <c r="F71" s="24" t="s">
        <v>98</v>
      </c>
      <c r="G71" s="17" t="s">
        <v>152</v>
      </c>
    </row>
    <row r="72" spans="1:7" ht="39" customHeight="1">
      <c r="A72" s="45">
        <v>45975</v>
      </c>
      <c r="B72" s="46" t="s">
        <v>92</v>
      </c>
      <c r="C72" s="46" t="s">
        <v>73</v>
      </c>
      <c r="D72" s="46" t="s">
        <v>153</v>
      </c>
      <c r="E72" s="45">
        <v>45975</v>
      </c>
      <c r="F72" s="24" t="s">
        <v>98</v>
      </c>
      <c r="G72" s="17" t="s">
        <v>154</v>
      </c>
    </row>
    <row r="73" spans="1:7" ht="39" customHeight="1">
      <c r="A73" s="45">
        <v>45975</v>
      </c>
      <c r="B73" s="46" t="s">
        <v>92</v>
      </c>
      <c r="C73" s="46" t="s">
        <v>73</v>
      </c>
      <c r="D73" s="46" t="s">
        <v>128</v>
      </c>
      <c r="E73" s="45">
        <v>45975</v>
      </c>
      <c r="F73" s="24" t="s">
        <v>98</v>
      </c>
      <c r="G73" s="17" t="s">
        <v>155</v>
      </c>
    </row>
    <row r="74" spans="1:7" ht="39" customHeight="1">
      <c r="A74" s="45">
        <v>45975</v>
      </c>
      <c r="B74" s="46" t="s">
        <v>92</v>
      </c>
      <c r="C74" s="46" t="s">
        <v>73</v>
      </c>
      <c r="D74" s="46" t="s">
        <v>156</v>
      </c>
      <c r="E74" s="45">
        <v>45975</v>
      </c>
      <c r="F74" s="24" t="s">
        <v>98</v>
      </c>
      <c r="G74" s="17" t="s">
        <v>157</v>
      </c>
    </row>
    <row r="75" spans="1:7" ht="39" customHeight="1">
      <c r="A75" s="45">
        <v>45975</v>
      </c>
      <c r="B75" s="46" t="s">
        <v>92</v>
      </c>
      <c r="C75" s="46" t="s">
        <v>73</v>
      </c>
      <c r="D75" s="46" t="s">
        <v>138</v>
      </c>
      <c r="E75" s="45">
        <v>45975</v>
      </c>
      <c r="F75" s="24" t="s">
        <v>98</v>
      </c>
      <c r="G75" s="17" t="s">
        <v>158</v>
      </c>
    </row>
    <row r="76" spans="1:7" ht="39" customHeight="1">
      <c r="A76" s="45">
        <v>45975</v>
      </c>
      <c r="B76" s="46" t="s">
        <v>92</v>
      </c>
      <c r="C76" s="46" t="s">
        <v>73</v>
      </c>
      <c r="D76" s="46" t="s">
        <v>159</v>
      </c>
      <c r="E76" s="45">
        <v>45975</v>
      </c>
      <c r="F76" s="24" t="s">
        <v>98</v>
      </c>
      <c r="G76" s="17" t="s">
        <v>160</v>
      </c>
    </row>
    <row r="77" spans="1:7" ht="39" customHeight="1">
      <c r="A77" s="45">
        <v>45975</v>
      </c>
      <c r="B77" s="46" t="s">
        <v>92</v>
      </c>
      <c r="C77" s="46" t="s">
        <v>73</v>
      </c>
      <c r="D77" s="46" t="s">
        <v>161</v>
      </c>
      <c r="E77" s="45">
        <v>45975</v>
      </c>
      <c r="F77" s="24" t="s">
        <v>98</v>
      </c>
      <c r="G77" s="17" t="s">
        <v>162</v>
      </c>
    </row>
    <row r="78" spans="1:7" ht="39" customHeight="1">
      <c r="A78" s="45">
        <v>45975</v>
      </c>
      <c r="B78" s="46" t="s">
        <v>92</v>
      </c>
      <c r="C78" s="46" t="s">
        <v>73</v>
      </c>
      <c r="D78" s="46" t="s">
        <v>163</v>
      </c>
      <c r="E78" s="45">
        <v>45975</v>
      </c>
      <c r="F78" s="24" t="s">
        <v>98</v>
      </c>
      <c r="G78" s="17" t="s">
        <v>164</v>
      </c>
    </row>
    <row r="79" spans="1:7" ht="39" customHeight="1">
      <c r="A79" s="45">
        <v>45975</v>
      </c>
      <c r="B79" s="46" t="s">
        <v>92</v>
      </c>
      <c r="C79" s="46" t="s">
        <v>73</v>
      </c>
      <c r="D79" s="46" t="s">
        <v>130</v>
      </c>
      <c r="E79" s="45">
        <v>45975</v>
      </c>
      <c r="F79" s="24" t="s">
        <v>98</v>
      </c>
      <c r="G79" s="17" t="s">
        <v>165</v>
      </c>
    </row>
    <row r="80" spans="1:7" ht="39" customHeight="1">
      <c r="A80" s="45">
        <v>45975</v>
      </c>
      <c r="B80" s="46" t="s">
        <v>92</v>
      </c>
      <c r="C80" s="46" t="s">
        <v>73</v>
      </c>
      <c r="D80" s="46" t="s">
        <v>131</v>
      </c>
      <c r="E80" s="45">
        <v>45975</v>
      </c>
      <c r="F80" s="24" t="s">
        <v>98</v>
      </c>
      <c r="G80" s="17" t="s">
        <v>166</v>
      </c>
    </row>
    <row r="81" spans="1:7" ht="39" customHeight="1">
      <c r="A81" s="45">
        <v>45975</v>
      </c>
      <c r="B81" s="46" t="s">
        <v>92</v>
      </c>
      <c r="C81" s="46" t="s">
        <v>73</v>
      </c>
      <c r="D81" s="46" t="s">
        <v>167</v>
      </c>
      <c r="E81" s="45">
        <v>45975</v>
      </c>
      <c r="F81" s="24" t="s">
        <v>98</v>
      </c>
      <c r="G81" s="17" t="s">
        <v>168</v>
      </c>
    </row>
    <row r="82" spans="1:7" ht="39" customHeight="1">
      <c r="A82" s="45">
        <v>45975</v>
      </c>
      <c r="B82" s="46" t="s">
        <v>92</v>
      </c>
      <c r="C82" s="46" t="s">
        <v>73</v>
      </c>
      <c r="D82" s="46" t="s">
        <v>133</v>
      </c>
      <c r="E82" s="45">
        <v>45975</v>
      </c>
      <c r="F82" s="24" t="s">
        <v>98</v>
      </c>
      <c r="G82" s="17" t="s">
        <v>169</v>
      </c>
    </row>
    <row r="83" spans="1:7" ht="39" customHeight="1">
      <c r="A83" s="45">
        <v>45980</v>
      </c>
      <c r="B83" s="46" t="s">
        <v>92</v>
      </c>
      <c r="C83" s="46" t="s">
        <v>74</v>
      </c>
      <c r="D83" s="46" t="s">
        <v>170</v>
      </c>
      <c r="E83" s="45">
        <v>45980</v>
      </c>
      <c r="F83" s="24" t="s">
        <v>98</v>
      </c>
      <c r="G83" s="17" t="s">
        <v>95</v>
      </c>
    </row>
    <row r="84" spans="1:7" ht="39" customHeight="1">
      <c r="A84" s="45">
        <v>45980</v>
      </c>
      <c r="B84" s="46" t="s">
        <v>92</v>
      </c>
      <c r="C84" s="46" t="s">
        <v>74</v>
      </c>
      <c r="D84" s="46" t="s">
        <v>171</v>
      </c>
      <c r="E84" s="45">
        <v>45980</v>
      </c>
      <c r="F84" s="24" t="s">
        <v>98</v>
      </c>
      <c r="G84" s="17" t="s">
        <v>95</v>
      </c>
    </row>
    <row r="85" spans="1:7" ht="39" customHeight="1">
      <c r="A85" s="45">
        <v>45980</v>
      </c>
      <c r="B85" s="46" t="s">
        <v>92</v>
      </c>
      <c r="C85" s="46" t="s">
        <v>74</v>
      </c>
      <c r="D85" s="46" t="s">
        <v>111</v>
      </c>
      <c r="E85" s="45">
        <v>45980</v>
      </c>
      <c r="F85" s="24" t="s">
        <v>98</v>
      </c>
      <c r="G85" s="17" t="s">
        <v>95</v>
      </c>
    </row>
    <row r="86" spans="1:7" ht="39" customHeight="1">
      <c r="A86" s="45">
        <v>45980</v>
      </c>
      <c r="B86" s="46" t="s">
        <v>92</v>
      </c>
      <c r="C86" s="46" t="s">
        <v>74</v>
      </c>
      <c r="D86" s="46" t="s">
        <v>129</v>
      </c>
      <c r="E86" s="45">
        <v>45980</v>
      </c>
      <c r="F86" s="24" t="s">
        <v>98</v>
      </c>
      <c r="G86" s="17" t="s">
        <v>95</v>
      </c>
    </row>
    <row r="87" spans="1:7" ht="39" customHeight="1">
      <c r="A87" s="45">
        <v>45980</v>
      </c>
      <c r="B87" s="46" t="s">
        <v>92</v>
      </c>
      <c r="C87" s="46" t="s">
        <v>74</v>
      </c>
      <c r="D87" s="46" t="s">
        <v>172</v>
      </c>
      <c r="E87" s="45">
        <v>45980</v>
      </c>
      <c r="F87" s="24" t="s">
        <v>98</v>
      </c>
      <c r="G87" s="17" t="s">
        <v>95</v>
      </c>
    </row>
    <row r="88" spans="1:7" ht="39" customHeight="1">
      <c r="A88" s="45">
        <v>45980</v>
      </c>
      <c r="B88" s="46" t="s">
        <v>92</v>
      </c>
      <c r="C88" s="46" t="s">
        <v>74</v>
      </c>
      <c r="D88" s="46" t="s">
        <v>128</v>
      </c>
      <c r="E88" s="45">
        <v>45980</v>
      </c>
      <c r="F88" s="24" t="s">
        <v>98</v>
      </c>
      <c r="G88" s="17" t="s">
        <v>95</v>
      </c>
    </row>
    <row r="89" spans="1:7" ht="39" customHeight="1">
      <c r="A89" s="45">
        <v>45980</v>
      </c>
      <c r="B89" s="46" t="s">
        <v>92</v>
      </c>
      <c r="C89" s="46" t="s">
        <v>74</v>
      </c>
      <c r="D89" s="46" t="s">
        <v>173</v>
      </c>
      <c r="E89" s="45">
        <v>45980</v>
      </c>
      <c r="F89" s="24" t="s">
        <v>98</v>
      </c>
      <c r="G89" s="17" t="s">
        <v>95</v>
      </c>
    </row>
    <row r="90" spans="1:7" ht="39" customHeight="1">
      <c r="A90" s="50">
        <v>45980</v>
      </c>
      <c r="B90" s="51" t="s">
        <v>92</v>
      </c>
      <c r="C90" s="51" t="s">
        <v>74</v>
      </c>
      <c r="D90" s="51" t="s">
        <v>174</v>
      </c>
      <c r="E90" s="50">
        <v>45980</v>
      </c>
      <c r="F90" s="24" t="s">
        <v>175</v>
      </c>
      <c r="G90" s="17" t="s">
        <v>95</v>
      </c>
    </row>
    <row r="91" spans="1:7" ht="39" customHeight="1">
      <c r="A91" s="45">
        <v>45980</v>
      </c>
      <c r="B91" s="46" t="s">
        <v>92</v>
      </c>
      <c r="C91" s="46" t="s">
        <v>74</v>
      </c>
      <c r="D91" s="46" t="s">
        <v>176</v>
      </c>
      <c r="E91" s="45">
        <v>45980</v>
      </c>
      <c r="F91" s="24" t="s">
        <v>98</v>
      </c>
      <c r="G91" s="17" t="s">
        <v>95</v>
      </c>
    </row>
    <row r="92" spans="1:7" ht="39" customHeight="1">
      <c r="A92" s="45">
        <v>45980</v>
      </c>
      <c r="B92" s="46" t="s">
        <v>92</v>
      </c>
      <c r="C92" s="46" t="s">
        <v>74</v>
      </c>
      <c r="D92" s="46" t="s">
        <v>177</v>
      </c>
      <c r="E92" s="45">
        <v>45980</v>
      </c>
      <c r="F92" s="24" t="s">
        <v>98</v>
      </c>
      <c r="G92" s="17" t="s">
        <v>95</v>
      </c>
    </row>
    <row r="93" spans="1:7" ht="39" customHeight="1">
      <c r="A93" s="45">
        <v>45980</v>
      </c>
      <c r="B93" s="46" t="s">
        <v>92</v>
      </c>
      <c r="C93" s="46" t="s">
        <v>74</v>
      </c>
      <c r="D93" s="46" t="s">
        <v>131</v>
      </c>
      <c r="E93" s="45">
        <v>45980</v>
      </c>
      <c r="F93" s="24" t="s">
        <v>98</v>
      </c>
      <c r="G93" s="17" t="s">
        <v>95</v>
      </c>
    </row>
    <row r="94" spans="1:7" ht="39" customHeight="1">
      <c r="A94" s="45">
        <v>45980</v>
      </c>
      <c r="B94" s="46" t="s">
        <v>92</v>
      </c>
      <c r="C94" s="46" t="s">
        <v>74</v>
      </c>
      <c r="D94" s="46" t="s">
        <v>178</v>
      </c>
      <c r="E94" s="45">
        <v>45980</v>
      </c>
      <c r="F94" s="24" t="s">
        <v>98</v>
      </c>
      <c r="G94" s="17" t="s">
        <v>95</v>
      </c>
    </row>
    <row r="95" spans="1:7" ht="39" customHeight="1">
      <c r="A95" s="50">
        <v>45980</v>
      </c>
      <c r="B95" s="51" t="s">
        <v>92</v>
      </c>
      <c r="C95" s="51" t="s">
        <v>74</v>
      </c>
      <c r="D95" s="51" t="s">
        <v>174</v>
      </c>
      <c r="E95" s="50">
        <v>45980</v>
      </c>
      <c r="F95" s="24" t="s">
        <v>175</v>
      </c>
      <c r="G95" s="17" t="s">
        <v>95</v>
      </c>
    </row>
    <row r="96" spans="1:7" ht="39" customHeight="1">
      <c r="A96" s="45">
        <v>45980</v>
      </c>
      <c r="B96" s="46" t="s">
        <v>92</v>
      </c>
      <c r="C96" s="46" t="s">
        <v>74</v>
      </c>
      <c r="D96" s="46" t="s">
        <v>179</v>
      </c>
      <c r="E96" s="45">
        <v>45980</v>
      </c>
      <c r="F96" s="24" t="s">
        <v>98</v>
      </c>
      <c r="G96" s="17" t="s">
        <v>95</v>
      </c>
    </row>
    <row r="97" spans="1:7" ht="39" customHeight="1">
      <c r="A97" s="45">
        <v>45986</v>
      </c>
      <c r="B97" s="46" t="s">
        <v>92</v>
      </c>
      <c r="C97" s="46" t="s">
        <v>120</v>
      </c>
      <c r="D97" s="46" t="s">
        <v>180</v>
      </c>
      <c r="E97" s="45">
        <v>45986</v>
      </c>
      <c r="F97" s="24"/>
      <c r="G97" s="17" t="s">
        <v>95</v>
      </c>
    </row>
    <row r="98" spans="1:7" ht="39" customHeight="1">
      <c r="A98" s="45">
        <v>45986</v>
      </c>
      <c r="B98" s="46" t="s">
        <v>92</v>
      </c>
      <c r="C98" s="46" t="s">
        <v>120</v>
      </c>
      <c r="D98" s="46" t="s">
        <v>181</v>
      </c>
      <c r="E98" s="45">
        <v>45986</v>
      </c>
      <c r="F98" s="25"/>
      <c r="G98" s="17" t="s">
        <v>95</v>
      </c>
    </row>
    <row r="99" spans="1:7" ht="39" customHeight="1">
      <c r="A99" s="45">
        <v>45986</v>
      </c>
      <c r="B99" s="46" t="s">
        <v>92</v>
      </c>
      <c r="C99" s="46" t="s">
        <v>120</v>
      </c>
      <c r="D99" s="46" t="s">
        <v>182</v>
      </c>
      <c r="E99" s="45">
        <v>45986</v>
      </c>
      <c r="F99" s="24"/>
      <c r="G99" s="17" t="s">
        <v>95</v>
      </c>
    </row>
    <row r="100" spans="1:7" ht="39" customHeight="1">
      <c r="A100" s="45">
        <v>45986</v>
      </c>
      <c r="B100" s="46" t="s">
        <v>92</v>
      </c>
      <c r="C100" s="46" t="s">
        <v>120</v>
      </c>
      <c r="D100" s="46" t="s">
        <v>183</v>
      </c>
      <c r="E100" s="45">
        <v>45986</v>
      </c>
      <c r="F100" s="24"/>
      <c r="G100" s="17" t="s">
        <v>95</v>
      </c>
    </row>
    <row r="101" spans="1:7" ht="39" customHeight="1">
      <c r="A101" s="45">
        <v>45986</v>
      </c>
      <c r="B101" s="46" t="s">
        <v>92</v>
      </c>
      <c r="C101" s="46" t="s">
        <v>120</v>
      </c>
      <c r="D101" s="46" t="s">
        <v>184</v>
      </c>
      <c r="E101" s="45">
        <v>45986</v>
      </c>
      <c r="F101" s="25"/>
      <c r="G101" s="17" t="s">
        <v>95</v>
      </c>
    </row>
    <row r="102" spans="1:7" ht="39" customHeight="1">
      <c r="A102" s="45">
        <v>45986</v>
      </c>
      <c r="B102" s="46" t="s">
        <v>92</v>
      </c>
      <c r="C102" s="46" t="s">
        <v>120</v>
      </c>
      <c r="D102" s="46" t="s">
        <v>185</v>
      </c>
      <c r="E102" s="45">
        <v>45986</v>
      </c>
      <c r="F102" s="25"/>
      <c r="G102" s="17" t="s">
        <v>95</v>
      </c>
    </row>
    <row r="103" spans="1:7" ht="39" customHeight="1">
      <c r="A103" s="45">
        <v>45986</v>
      </c>
      <c r="B103" s="46" t="s">
        <v>92</v>
      </c>
      <c r="C103" s="46" t="s">
        <v>120</v>
      </c>
      <c r="D103" s="46" t="s">
        <v>186</v>
      </c>
      <c r="E103" s="45">
        <v>45986</v>
      </c>
      <c r="F103" s="24"/>
      <c r="G103" s="17" t="s">
        <v>95</v>
      </c>
    </row>
    <row r="104" spans="1:7" ht="39" customHeight="1">
      <c r="A104" s="45">
        <v>45986</v>
      </c>
      <c r="B104" s="46" t="s">
        <v>92</v>
      </c>
      <c r="C104" s="46" t="s">
        <v>120</v>
      </c>
      <c r="D104" s="46" t="s">
        <v>173</v>
      </c>
      <c r="E104" s="45">
        <v>45986</v>
      </c>
      <c r="F104" s="24"/>
      <c r="G104" s="17" t="s">
        <v>95</v>
      </c>
    </row>
    <row r="105" spans="1:7" ht="39" customHeight="1">
      <c r="A105" s="45">
        <v>45986</v>
      </c>
      <c r="B105" s="46" t="s">
        <v>92</v>
      </c>
      <c r="C105" s="46" t="s">
        <v>120</v>
      </c>
      <c r="D105" s="46" t="s">
        <v>187</v>
      </c>
      <c r="E105" s="45">
        <v>45986</v>
      </c>
      <c r="F105" s="24"/>
      <c r="G105" s="17" t="s">
        <v>95</v>
      </c>
    </row>
    <row r="106" spans="1:7" ht="39" customHeight="1">
      <c r="A106" s="45">
        <v>45987</v>
      </c>
      <c r="B106" s="46" t="s">
        <v>92</v>
      </c>
      <c r="C106" s="46" t="s">
        <v>120</v>
      </c>
      <c r="D106" s="46" t="s">
        <v>182</v>
      </c>
      <c r="E106" s="45">
        <v>45987</v>
      </c>
      <c r="F106" s="24"/>
      <c r="G106" s="17" t="s">
        <v>95</v>
      </c>
    </row>
    <row r="107" spans="1:7" ht="39" customHeight="1">
      <c r="A107" s="45">
        <v>45987</v>
      </c>
      <c r="B107" s="46" t="s">
        <v>92</v>
      </c>
      <c r="C107" s="46" t="s">
        <v>120</v>
      </c>
      <c r="D107" s="46" t="s">
        <v>173</v>
      </c>
      <c r="E107" s="45">
        <v>45987</v>
      </c>
      <c r="F107" s="24"/>
      <c r="G107" s="17" t="s">
        <v>95</v>
      </c>
    </row>
    <row r="108" spans="1:7" ht="39" customHeight="1">
      <c r="A108" s="45">
        <v>45987</v>
      </c>
      <c r="B108" s="46" t="s">
        <v>92</v>
      </c>
      <c r="C108" s="46" t="s">
        <v>120</v>
      </c>
      <c r="D108" s="46" t="s">
        <v>180</v>
      </c>
      <c r="E108" s="45">
        <v>45987</v>
      </c>
      <c r="F108" s="24"/>
      <c r="G108" s="17" t="s">
        <v>95</v>
      </c>
    </row>
    <row r="109" spans="1:7" ht="39" customHeight="1">
      <c r="A109" s="45">
        <v>45987</v>
      </c>
      <c r="B109" s="46" t="s">
        <v>92</v>
      </c>
      <c r="C109" s="46" t="s">
        <v>120</v>
      </c>
      <c r="D109" s="46" t="s">
        <v>184</v>
      </c>
      <c r="E109" s="45">
        <v>45987</v>
      </c>
      <c r="F109" s="24"/>
      <c r="G109" s="17" t="s">
        <v>95</v>
      </c>
    </row>
    <row r="110" spans="1:7" ht="39" customHeight="1">
      <c r="A110" s="45">
        <v>45987</v>
      </c>
      <c r="B110" s="46" t="s">
        <v>92</v>
      </c>
      <c r="C110" s="46" t="s">
        <v>120</v>
      </c>
      <c r="D110" s="46" t="s">
        <v>183</v>
      </c>
      <c r="E110" s="45">
        <v>45987</v>
      </c>
      <c r="F110" s="24"/>
      <c r="G110" s="17" t="s">
        <v>95</v>
      </c>
    </row>
    <row r="111" spans="1:7" ht="39" customHeight="1">
      <c r="A111" s="45">
        <v>45987</v>
      </c>
      <c r="B111" s="46" t="s">
        <v>92</v>
      </c>
      <c r="C111" s="46" t="s">
        <v>120</v>
      </c>
      <c r="D111" s="46" t="s">
        <v>182</v>
      </c>
      <c r="E111" s="45">
        <v>45987</v>
      </c>
      <c r="F111" s="24"/>
      <c r="G111" s="17" t="s">
        <v>95</v>
      </c>
    </row>
    <row r="112" spans="1:7" ht="39" customHeight="1">
      <c r="A112" s="45">
        <v>45987</v>
      </c>
      <c r="B112" s="46" t="s">
        <v>92</v>
      </c>
      <c r="C112" s="46" t="s">
        <v>120</v>
      </c>
      <c r="D112" s="46" t="s">
        <v>188</v>
      </c>
      <c r="E112" s="45">
        <v>45987</v>
      </c>
      <c r="F112" s="25"/>
      <c r="G112" s="17" t="s">
        <v>95</v>
      </c>
    </row>
    <row r="113" spans="1:7" ht="39" customHeight="1">
      <c r="A113" s="45">
        <v>45995</v>
      </c>
      <c r="B113" s="46" t="s">
        <v>92</v>
      </c>
      <c r="C113" s="46" t="s">
        <v>96</v>
      </c>
      <c r="D113" s="46" t="s">
        <v>189</v>
      </c>
      <c r="E113" s="45">
        <v>45995</v>
      </c>
      <c r="F113" s="24" t="s">
        <v>98</v>
      </c>
      <c r="G113" s="17" t="s">
        <v>190</v>
      </c>
    </row>
    <row r="114" spans="1:7" ht="39" customHeight="1">
      <c r="A114" s="45">
        <v>45995</v>
      </c>
      <c r="B114" s="46" t="s">
        <v>92</v>
      </c>
      <c r="C114" s="46" t="s">
        <v>96</v>
      </c>
      <c r="D114" s="46" t="s">
        <v>186</v>
      </c>
      <c r="E114" s="45">
        <v>45995</v>
      </c>
      <c r="F114" s="24" t="s">
        <v>98</v>
      </c>
      <c r="G114" s="17" t="s">
        <v>191</v>
      </c>
    </row>
    <row r="115" spans="1:7" ht="39" customHeight="1">
      <c r="A115" s="45">
        <v>45995</v>
      </c>
      <c r="B115" s="46" t="s">
        <v>92</v>
      </c>
      <c r="C115" s="46" t="s">
        <v>96</v>
      </c>
      <c r="D115" s="46" t="s">
        <v>184</v>
      </c>
      <c r="E115" s="45">
        <v>45995</v>
      </c>
      <c r="F115" s="24" t="s">
        <v>98</v>
      </c>
      <c r="G115" s="17" t="s">
        <v>192</v>
      </c>
    </row>
    <row r="116" spans="1:7" ht="39" customHeight="1">
      <c r="A116" s="45">
        <v>45995</v>
      </c>
      <c r="B116" s="46" t="s">
        <v>92</v>
      </c>
      <c r="C116" s="46" t="s">
        <v>96</v>
      </c>
      <c r="D116" s="46" t="s">
        <v>181</v>
      </c>
      <c r="E116" s="45">
        <v>45995</v>
      </c>
      <c r="F116" s="24" t="s">
        <v>98</v>
      </c>
      <c r="G116" s="17" t="s">
        <v>193</v>
      </c>
    </row>
    <row r="117" spans="1:7" ht="39" customHeight="1">
      <c r="A117" s="45">
        <v>45995</v>
      </c>
      <c r="B117" s="46" t="s">
        <v>92</v>
      </c>
      <c r="C117" s="46" t="s">
        <v>96</v>
      </c>
      <c r="D117" s="46" t="s">
        <v>180</v>
      </c>
      <c r="E117" s="45">
        <v>45995</v>
      </c>
      <c r="F117" s="24" t="s">
        <v>98</v>
      </c>
      <c r="G117" s="17" t="s">
        <v>194</v>
      </c>
    </row>
    <row r="118" spans="1:7" ht="39" customHeight="1">
      <c r="A118" s="45">
        <v>45995</v>
      </c>
      <c r="B118" s="46" t="s">
        <v>92</v>
      </c>
      <c r="C118" s="46" t="s">
        <v>96</v>
      </c>
      <c r="D118" s="46" t="s">
        <v>195</v>
      </c>
      <c r="E118" s="45">
        <v>45995</v>
      </c>
      <c r="F118" s="24" t="s">
        <v>98</v>
      </c>
      <c r="G118" s="17" t="s">
        <v>196</v>
      </c>
    </row>
    <row r="119" spans="1:7" ht="39" customHeight="1">
      <c r="A119" s="45">
        <v>45995</v>
      </c>
      <c r="B119" s="46" t="s">
        <v>92</v>
      </c>
      <c r="C119" s="46" t="s">
        <v>96</v>
      </c>
      <c r="D119" s="46" t="s">
        <v>197</v>
      </c>
      <c r="E119" s="45">
        <v>45995</v>
      </c>
      <c r="F119" s="24" t="s">
        <v>98</v>
      </c>
      <c r="G119" s="17" t="s">
        <v>198</v>
      </c>
    </row>
    <row r="120" spans="1:7" ht="39" customHeight="1">
      <c r="A120" s="45">
        <v>45995</v>
      </c>
      <c r="B120" s="46" t="s">
        <v>92</v>
      </c>
      <c r="C120" s="46" t="s">
        <v>96</v>
      </c>
      <c r="D120" s="46" t="s">
        <v>182</v>
      </c>
      <c r="E120" s="45">
        <v>45995</v>
      </c>
      <c r="F120" s="24" t="s">
        <v>98</v>
      </c>
      <c r="G120" s="17" t="s">
        <v>199</v>
      </c>
    </row>
    <row r="121" spans="1:7" ht="39" customHeight="1">
      <c r="A121" s="45">
        <v>46000</v>
      </c>
      <c r="B121" s="46" t="s">
        <v>92</v>
      </c>
      <c r="C121" s="46" t="s">
        <v>120</v>
      </c>
      <c r="D121" s="46" t="s">
        <v>97</v>
      </c>
      <c r="E121" s="45">
        <v>46000</v>
      </c>
      <c r="F121" s="25"/>
      <c r="G121" s="17" t="s">
        <v>95</v>
      </c>
    </row>
    <row r="122" spans="1:7" ht="39" customHeight="1">
      <c r="A122" s="45">
        <v>46000</v>
      </c>
      <c r="B122" s="46" t="s">
        <v>92</v>
      </c>
      <c r="C122" s="46" t="s">
        <v>120</v>
      </c>
      <c r="D122" s="46" t="s">
        <v>200</v>
      </c>
      <c r="E122" s="45">
        <v>46000</v>
      </c>
      <c r="F122" s="25"/>
      <c r="G122" s="17" t="s">
        <v>95</v>
      </c>
    </row>
    <row r="123" spans="1:7" ht="39" customHeight="1">
      <c r="A123" s="45">
        <v>46000</v>
      </c>
      <c r="B123" s="46" t="s">
        <v>92</v>
      </c>
      <c r="C123" s="46" t="s">
        <v>120</v>
      </c>
      <c r="D123" s="46" t="s">
        <v>189</v>
      </c>
      <c r="E123" s="45">
        <v>46000</v>
      </c>
      <c r="F123" s="25"/>
      <c r="G123" s="17" t="s">
        <v>95</v>
      </c>
    </row>
    <row r="124" spans="1:7" ht="39" customHeight="1">
      <c r="A124" s="45">
        <v>46001</v>
      </c>
      <c r="B124" s="46" t="s">
        <v>92</v>
      </c>
      <c r="C124" s="46" t="s">
        <v>120</v>
      </c>
      <c r="D124" s="46" t="s">
        <v>181</v>
      </c>
      <c r="E124" s="45">
        <v>46001</v>
      </c>
      <c r="F124" s="25"/>
      <c r="G124" s="17" t="s">
        <v>95</v>
      </c>
    </row>
    <row r="125" spans="1:7" ht="39" customHeight="1">
      <c r="A125" s="45">
        <v>46001</v>
      </c>
      <c r="B125" s="46" t="s">
        <v>92</v>
      </c>
      <c r="C125" s="46" t="s">
        <v>120</v>
      </c>
      <c r="D125" s="46" t="s">
        <v>97</v>
      </c>
      <c r="E125" s="45">
        <v>46001</v>
      </c>
      <c r="F125" s="25"/>
      <c r="G125" s="17" t="s">
        <v>95</v>
      </c>
    </row>
    <row r="126" spans="1:7" ht="39" customHeight="1">
      <c r="A126" s="45">
        <v>46001</v>
      </c>
      <c r="B126" s="46" t="s">
        <v>92</v>
      </c>
      <c r="C126" s="46" t="s">
        <v>120</v>
      </c>
      <c r="D126" s="46" t="s">
        <v>189</v>
      </c>
      <c r="E126" s="45">
        <v>46001</v>
      </c>
      <c r="F126" s="25"/>
      <c r="G126" s="17" t="s">
        <v>95</v>
      </c>
    </row>
    <row r="127" spans="1:7" ht="39" customHeight="1">
      <c r="A127" s="50">
        <v>46003</v>
      </c>
      <c r="B127" s="51" t="s">
        <v>92</v>
      </c>
      <c r="C127" s="51" t="s">
        <v>73</v>
      </c>
      <c r="D127" s="51" t="s">
        <v>97</v>
      </c>
      <c r="E127" s="50">
        <v>46003</v>
      </c>
      <c r="F127" s="24" t="s">
        <v>175</v>
      </c>
      <c r="G127" s="17" t="s">
        <v>201</v>
      </c>
    </row>
    <row r="128" spans="1:7" ht="39" customHeight="1">
      <c r="A128" s="45">
        <v>46003</v>
      </c>
      <c r="B128" s="46" t="s">
        <v>92</v>
      </c>
      <c r="C128" s="46" t="s">
        <v>120</v>
      </c>
      <c r="D128" s="46" t="s">
        <v>189</v>
      </c>
      <c r="E128" s="45">
        <v>46003</v>
      </c>
      <c r="F128" s="25"/>
      <c r="G128" s="17" t="s">
        <v>95</v>
      </c>
    </row>
    <row r="129" spans="1:7" ht="39" customHeight="1">
      <c r="A129" s="45">
        <v>46003</v>
      </c>
      <c r="B129" s="46" t="s">
        <v>92</v>
      </c>
      <c r="C129" s="46" t="s">
        <v>73</v>
      </c>
      <c r="D129" s="46" t="s">
        <v>181</v>
      </c>
      <c r="E129" s="45">
        <v>46003</v>
      </c>
      <c r="F129" s="24" t="s">
        <v>98</v>
      </c>
      <c r="G129" s="17" t="s">
        <v>202</v>
      </c>
    </row>
    <row r="130" spans="1:7" ht="39" customHeight="1">
      <c r="A130" s="45">
        <v>46003</v>
      </c>
      <c r="B130" s="46" t="s">
        <v>92</v>
      </c>
      <c r="C130" s="46" t="s">
        <v>73</v>
      </c>
      <c r="D130" s="46" t="s">
        <v>203</v>
      </c>
      <c r="E130" s="45">
        <v>46003</v>
      </c>
      <c r="F130" s="24" t="s">
        <v>98</v>
      </c>
      <c r="G130" s="17" t="s">
        <v>204</v>
      </c>
    </row>
    <row r="131" spans="1:7" ht="39" customHeight="1">
      <c r="A131" s="45">
        <v>46003</v>
      </c>
      <c r="B131" s="46" t="s">
        <v>92</v>
      </c>
      <c r="C131" s="46" t="s">
        <v>73</v>
      </c>
      <c r="D131" s="46" t="s">
        <v>180</v>
      </c>
      <c r="E131" s="45">
        <v>46003</v>
      </c>
      <c r="F131" s="24" t="s">
        <v>98</v>
      </c>
      <c r="G131" s="17" t="s">
        <v>205</v>
      </c>
    </row>
    <row r="132" spans="1:7" ht="39" customHeight="1">
      <c r="A132" s="45">
        <v>46003</v>
      </c>
      <c r="B132" s="46" t="s">
        <v>92</v>
      </c>
      <c r="C132" s="46" t="s">
        <v>73</v>
      </c>
      <c r="D132" s="46" t="s">
        <v>184</v>
      </c>
      <c r="E132" s="45">
        <v>46003</v>
      </c>
      <c r="F132" s="24" t="s">
        <v>98</v>
      </c>
      <c r="G132" s="17" t="s">
        <v>206</v>
      </c>
    </row>
    <row r="133" spans="1:7" ht="39" customHeight="1">
      <c r="A133" s="45">
        <v>46006</v>
      </c>
      <c r="B133" s="46" t="s">
        <v>92</v>
      </c>
      <c r="C133" s="46" t="s">
        <v>151</v>
      </c>
      <c r="D133" s="46" t="s">
        <v>207</v>
      </c>
      <c r="E133" s="45">
        <v>46006</v>
      </c>
      <c r="F133" s="24"/>
      <c r="G133" s="17" t="s">
        <v>95</v>
      </c>
    </row>
    <row r="134" spans="1:7" ht="39" customHeight="1">
      <c r="A134" s="45">
        <v>46006</v>
      </c>
      <c r="B134" s="46" t="s">
        <v>92</v>
      </c>
      <c r="C134" s="46" t="s">
        <v>151</v>
      </c>
      <c r="D134" s="46" t="s">
        <v>208</v>
      </c>
      <c r="E134" s="45">
        <v>46006</v>
      </c>
      <c r="F134" s="24"/>
      <c r="G134" s="17" t="s">
        <v>95</v>
      </c>
    </row>
    <row r="135" spans="1:7" ht="39" customHeight="1">
      <c r="A135" s="45">
        <v>46006</v>
      </c>
      <c r="B135" s="46" t="s">
        <v>92</v>
      </c>
      <c r="C135" s="46" t="s">
        <v>151</v>
      </c>
      <c r="D135" s="46" t="s">
        <v>209</v>
      </c>
      <c r="E135" s="45">
        <v>46006</v>
      </c>
      <c r="F135" s="24"/>
      <c r="G135" s="17" t="s">
        <v>95</v>
      </c>
    </row>
    <row r="136" spans="1:7" ht="39" customHeight="1">
      <c r="A136" s="45">
        <v>46006</v>
      </c>
      <c r="B136" s="46" t="s">
        <v>92</v>
      </c>
      <c r="C136" s="46" t="s">
        <v>151</v>
      </c>
      <c r="D136" s="46" t="s">
        <v>128</v>
      </c>
      <c r="E136" s="45">
        <v>46006</v>
      </c>
      <c r="F136" s="24"/>
      <c r="G136" s="17" t="s">
        <v>95</v>
      </c>
    </row>
    <row r="137" spans="1:7" ht="39" customHeight="1">
      <c r="A137" s="45">
        <v>46006</v>
      </c>
      <c r="B137" s="46" t="s">
        <v>92</v>
      </c>
      <c r="C137" s="46" t="s">
        <v>151</v>
      </c>
      <c r="D137" s="46" t="s">
        <v>210</v>
      </c>
      <c r="E137" s="45">
        <v>46006</v>
      </c>
      <c r="F137" s="24"/>
      <c r="G137" s="17" t="s">
        <v>95</v>
      </c>
    </row>
    <row r="138" spans="1:7" ht="39" customHeight="1">
      <c r="A138" s="45">
        <v>46006</v>
      </c>
      <c r="B138" s="46" t="s">
        <v>92</v>
      </c>
      <c r="C138" s="46" t="s">
        <v>151</v>
      </c>
      <c r="D138" s="46" t="s">
        <v>211</v>
      </c>
      <c r="E138" s="45">
        <v>46006</v>
      </c>
      <c r="F138" s="24"/>
      <c r="G138" s="17" t="s">
        <v>95</v>
      </c>
    </row>
    <row r="139" spans="1:7" ht="39" customHeight="1">
      <c r="A139" s="45">
        <v>46007</v>
      </c>
      <c r="B139" s="46" t="s">
        <v>92</v>
      </c>
      <c r="C139" s="46" t="s">
        <v>151</v>
      </c>
      <c r="D139" s="46" t="s">
        <v>209</v>
      </c>
      <c r="E139" s="45">
        <v>46007</v>
      </c>
      <c r="F139" s="25"/>
      <c r="G139" s="17" t="s">
        <v>95</v>
      </c>
    </row>
    <row r="140" spans="1:7" ht="39" customHeight="1">
      <c r="A140" s="45">
        <v>46007</v>
      </c>
      <c r="B140" s="46" t="s">
        <v>92</v>
      </c>
      <c r="C140" s="46" t="s">
        <v>151</v>
      </c>
      <c r="D140" s="46" t="s">
        <v>207</v>
      </c>
      <c r="E140" s="45">
        <v>46007</v>
      </c>
      <c r="F140" s="25"/>
      <c r="G140" s="17" t="s">
        <v>95</v>
      </c>
    </row>
    <row r="141" spans="1:7" ht="39" customHeight="1">
      <c r="A141" s="45">
        <v>46007</v>
      </c>
      <c r="B141" s="46" t="s">
        <v>92</v>
      </c>
      <c r="C141" s="46" t="s">
        <v>151</v>
      </c>
      <c r="D141" s="46" t="s">
        <v>208</v>
      </c>
      <c r="E141" s="45">
        <v>46007</v>
      </c>
      <c r="F141" s="25"/>
      <c r="G141" s="17" t="s">
        <v>95</v>
      </c>
    </row>
    <row r="142" spans="1:7" ht="39" customHeight="1">
      <c r="A142" s="45">
        <v>46007</v>
      </c>
      <c r="B142" s="46" t="s">
        <v>92</v>
      </c>
      <c r="C142" s="46" t="s">
        <v>151</v>
      </c>
      <c r="D142" s="46" t="s">
        <v>211</v>
      </c>
      <c r="E142" s="45">
        <v>46007</v>
      </c>
      <c r="F142" s="25"/>
      <c r="G142" s="17" t="s">
        <v>95</v>
      </c>
    </row>
    <row r="143" spans="1:7" ht="39" customHeight="1">
      <c r="A143" s="45">
        <v>46008</v>
      </c>
      <c r="B143" s="46" t="s">
        <v>92</v>
      </c>
      <c r="C143" s="46" t="s">
        <v>151</v>
      </c>
      <c r="D143" s="46" t="s">
        <v>209</v>
      </c>
      <c r="E143" s="45">
        <v>46008</v>
      </c>
      <c r="F143" s="25"/>
      <c r="G143" s="17" t="s">
        <v>95</v>
      </c>
    </row>
    <row r="144" spans="1:7" ht="39" customHeight="1">
      <c r="A144" s="45">
        <v>46008</v>
      </c>
      <c r="B144" s="46" t="s">
        <v>92</v>
      </c>
      <c r="C144" s="46" t="s">
        <v>151</v>
      </c>
      <c r="D144" s="46" t="s">
        <v>207</v>
      </c>
      <c r="E144" s="45">
        <v>46008</v>
      </c>
      <c r="F144" s="25"/>
      <c r="G144" s="17" t="s">
        <v>95</v>
      </c>
    </row>
    <row r="145" spans="1:7" ht="39" customHeight="1">
      <c r="A145" s="45">
        <v>46008</v>
      </c>
      <c r="B145" s="46" t="s">
        <v>92</v>
      </c>
      <c r="C145" s="46" t="s">
        <v>151</v>
      </c>
      <c r="D145" s="46" t="s">
        <v>208</v>
      </c>
      <c r="E145" s="45">
        <v>46008</v>
      </c>
      <c r="F145" s="25"/>
      <c r="G145" s="17" t="s">
        <v>95</v>
      </c>
    </row>
    <row r="146" spans="1:7" ht="39" customHeight="1">
      <c r="A146" s="45">
        <v>46008</v>
      </c>
      <c r="B146" s="46" t="s">
        <v>92</v>
      </c>
      <c r="C146" s="46" t="s">
        <v>151</v>
      </c>
      <c r="D146" s="46" t="s">
        <v>211</v>
      </c>
      <c r="E146" s="45">
        <v>46008</v>
      </c>
      <c r="F146" s="25"/>
      <c r="G146" s="17" t="s">
        <v>95</v>
      </c>
    </row>
    <row r="147" spans="1:7" ht="39" customHeight="1">
      <c r="A147" s="45">
        <v>46009</v>
      </c>
      <c r="B147" s="46" t="s">
        <v>92</v>
      </c>
      <c r="C147" s="46" t="s">
        <v>151</v>
      </c>
      <c r="D147" s="46" t="s">
        <v>209</v>
      </c>
      <c r="E147" s="45">
        <v>46009</v>
      </c>
      <c r="F147" s="25"/>
      <c r="G147" s="17" t="s">
        <v>95</v>
      </c>
    </row>
    <row r="148" spans="1:7" ht="39" customHeight="1">
      <c r="A148" s="45">
        <v>46009</v>
      </c>
      <c r="B148" s="46" t="s">
        <v>92</v>
      </c>
      <c r="C148" s="46" t="s">
        <v>151</v>
      </c>
      <c r="D148" s="46" t="s">
        <v>207</v>
      </c>
      <c r="E148" s="45">
        <v>46009</v>
      </c>
      <c r="F148" s="25"/>
      <c r="G148" s="17" t="s">
        <v>95</v>
      </c>
    </row>
    <row r="149" spans="1:7" ht="39" customHeight="1">
      <c r="A149" s="45">
        <v>46009</v>
      </c>
      <c r="B149" s="46" t="s">
        <v>92</v>
      </c>
      <c r="C149" s="46" t="s">
        <v>96</v>
      </c>
      <c r="D149" s="46" t="s">
        <v>105</v>
      </c>
      <c r="E149" s="45">
        <v>46009</v>
      </c>
      <c r="F149" s="24" t="s">
        <v>98</v>
      </c>
      <c r="G149" s="17" t="s">
        <v>212</v>
      </c>
    </row>
    <row r="150" spans="1:7" ht="39" customHeight="1">
      <c r="A150" s="45">
        <v>46009</v>
      </c>
      <c r="B150" s="46" t="s">
        <v>92</v>
      </c>
      <c r="C150" s="46" t="s">
        <v>96</v>
      </c>
      <c r="D150" s="46" t="s">
        <v>213</v>
      </c>
      <c r="E150" s="45">
        <v>46009</v>
      </c>
      <c r="F150" s="24" t="s">
        <v>98</v>
      </c>
      <c r="G150" s="17" t="s">
        <v>214</v>
      </c>
    </row>
    <row r="151" spans="1:7" ht="39" customHeight="1">
      <c r="A151" s="45">
        <v>46009</v>
      </c>
      <c r="B151" s="46" t="s">
        <v>92</v>
      </c>
      <c r="C151" s="46" t="s">
        <v>96</v>
      </c>
      <c r="D151" s="46" t="s">
        <v>215</v>
      </c>
      <c r="E151" s="45">
        <v>46009</v>
      </c>
      <c r="F151" s="24" t="s">
        <v>98</v>
      </c>
      <c r="G151" s="17" t="s">
        <v>216</v>
      </c>
    </row>
    <row r="152" spans="1:7" ht="39" customHeight="1">
      <c r="A152" s="45">
        <v>46009</v>
      </c>
      <c r="B152" s="46" t="s">
        <v>92</v>
      </c>
      <c r="C152" s="46" t="s">
        <v>96</v>
      </c>
      <c r="D152" s="46" t="s">
        <v>217</v>
      </c>
      <c r="E152" s="45">
        <v>46009</v>
      </c>
      <c r="F152" s="24" t="s">
        <v>98</v>
      </c>
      <c r="G152" s="17" t="s">
        <v>218</v>
      </c>
    </row>
    <row r="153" spans="1:7" ht="39" customHeight="1">
      <c r="A153" s="45">
        <v>46009</v>
      </c>
      <c r="B153" s="46" t="s">
        <v>92</v>
      </c>
      <c r="C153" s="46" t="s">
        <v>96</v>
      </c>
      <c r="D153" s="46" t="s">
        <v>219</v>
      </c>
      <c r="E153" s="45">
        <v>46009</v>
      </c>
      <c r="F153" s="24" t="s">
        <v>98</v>
      </c>
      <c r="G153" s="17" t="s">
        <v>220</v>
      </c>
    </row>
    <row r="154" spans="1:7" ht="39" customHeight="1">
      <c r="A154" s="45">
        <v>46009</v>
      </c>
      <c r="B154" s="46" t="s">
        <v>92</v>
      </c>
      <c r="C154" s="46" t="s">
        <v>96</v>
      </c>
      <c r="D154" s="46" t="s">
        <v>221</v>
      </c>
      <c r="E154" s="45">
        <v>46009</v>
      </c>
      <c r="F154" s="24" t="s">
        <v>98</v>
      </c>
      <c r="G154" s="17" t="s">
        <v>222</v>
      </c>
    </row>
    <row r="155" spans="1:7" ht="39" customHeight="1">
      <c r="A155" s="45">
        <v>46010</v>
      </c>
      <c r="B155" s="46" t="s">
        <v>92</v>
      </c>
      <c r="C155" s="46" t="s">
        <v>223</v>
      </c>
      <c r="D155" s="46" t="s">
        <v>207</v>
      </c>
      <c r="E155" s="45">
        <v>46010</v>
      </c>
      <c r="F155" s="25"/>
      <c r="G155" s="17" t="s">
        <v>95</v>
      </c>
    </row>
    <row r="156" spans="1:7" ht="39" customHeight="1">
      <c r="A156" s="45">
        <v>46010</v>
      </c>
      <c r="B156" s="46" t="s">
        <v>92</v>
      </c>
      <c r="C156" s="46" t="s">
        <v>223</v>
      </c>
      <c r="D156" s="46" t="s">
        <v>209</v>
      </c>
      <c r="E156" s="45">
        <v>46010</v>
      </c>
      <c r="F156" s="24"/>
      <c r="G156" s="17" t="s">
        <v>95</v>
      </c>
    </row>
    <row r="157" spans="1:7" ht="39" customHeight="1">
      <c r="A157" s="45">
        <v>46010</v>
      </c>
      <c r="B157" s="46" t="s">
        <v>92</v>
      </c>
      <c r="C157" s="46" t="s">
        <v>223</v>
      </c>
      <c r="D157" s="46" t="s">
        <v>208</v>
      </c>
      <c r="E157" s="45">
        <v>46010</v>
      </c>
      <c r="F157" s="24"/>
      <c r="G157" s="17" t="s">
        <v>95</v>
      </c>
    </row>
    <row r="158" spans="1:7" ht="39" customHeight="1">
      <c r="A158" s="45">
        <v>46010</v>
      </c>
      <c r="B158" s="46" t="s">
        <v>92</v>
      </c>
      <c r="C158" s="46" t="s">
        <v>223</v>
      </c>
      <c r="D158" s="46" t="s">
        <v>211</v>
      </c>
      <c r="E158" s="45">
        <v>46010</v>
      </c>
      <c r="F158" s="24"/>
      <c r="G158" s="17" t="s">
        <v>95</v>
      </c>
    </row>
    <row r="159" spans="1:7" ht="39" customHeight="1">
      <c r="A159" s="45">
        <v>46010</v>
      </c>
      <c r="B159" s="46" t="s">
        <v>92</v>
      </c>
      <c r="C159" s="46" t="s">
        <v>223</v>
      </c>
      <c r="D159" s="46" t="s">
        <v>188</v>
      </c>
      <c r="E159" s="45">
        <v>46010</v>
      </c>
      <c r="F159" s="24"/>
      <c r="G159" s="17" t="s">
        <v>95</v>
      </c>
    </row>
    <row r="160" spans="1:7" ht="39" customHeight="1">
      <c r="A160" s="45">
        <v>46021</v>
      </c>
      <c r="B160" s="46" t="s">
        <v>92</v>
      </c>
      <c r="C160" s="46" t="s">
        <v>120</v>
      </c>
      <c r="D160" s="46" t="s">
        <v>215</v>
      </c>
      <c r="E160" s="45">
        <v>46021</v>
      </c>
      <c r="F160" s="24"/>
      <c r="G160" s="17" t="s">
        <v>95</v>
      </c>
    </row>
    <row r="161" spans="1:7" ht="39" customHeight="1">
      <c r="A161" s="45">
        <v>46021</v>
      </c>
      <c r="B161" s="46" t="s">
        <v>92</v>
      </c>
      <c r="C161" s="46" t="s">
        <v>120</v>
      </c>
      <c r="D161" s="46" t="s">
        <v>224</v>
      </c>
      <c r="E161" s="45">
        <v>46021</v>
      </c>
      <c r="F161" s="25"/>
      <c r="G161" s="17" t="s">
        <v>95</v>
      </c>
    </row>
    <row r="162" spans="1:7" ht="39" customHeight="1">
      <c r="A162" s="45">
        <v>46021</v>
      </c>
      <c r="B162" s="46" t="s">
        <v>92</v>
      </c>
      <c r="C162" s="46" t="s">
        <v>120</v>
      </c>
      <c r="D162" s="46" t="s">
        <v>225</v>
      </c>
      <c r="E162" s="45">
        <v>46021</v>
      </c>
      <c r="F162" s="24"/>
      <c r="G162" s="17" t="s">
        <v>95</v>
      </c>
    </row>
    <row r="163" spans="1:7" ht="39" customHeight="1">
      <c r="A163" s="45">
        <v>46021</v>
      </c>
      <c r="B163" s="46" t="s">
        <v>92</v>
      </c>
      <c r="C163" s="46" t="s">
        <v>120</v>
      </c>
      <c r="D163" s="46" t="s">
        <v>226</v>
      </c>
      <c r="E163" s="45">
        <v>46021</v>
      </c>
      <c r="F163" s="24"/>
      <c r="G163" s="17" t="s">
        <v>95</v>
      </c>
    </row>
    <row r="164" spans="1:7" ht="39" customHeight="1">
      <c r="A164" s="45">
        <v>46021</v>
      </c>
      <c r="B164" s="46" t="s">
        <v>92</v>
      </c>
      <c r="C164" s="46" t="s">
        <v>120</v>
      </c>
      <c r="D164" s="46" t="s">
        <v>217</v>
      </c>
      <c r="E164" s="45">
        <v>46021</v>
      </c>
      <c r="F164" s="25"/>
      <c r="G164" s="17" t="s">
        <v>95</v>
      </c>
    </row>
    <row r="165" spans="1:7" ht="39" customHeight="1">
      <c r="A165" s="45">
        <v>46021</v>
      </c>
      <c r="B165" s="46" t="s">
        <v>92</v>
      </c>
      <c r="C165" s="46" t="s">
        <v>120</v>
      </c>
      <c r="D165" s="46" t="s">
        <v>227</v>
      </c>
      <c r="E165" s="45">
        <v>46021</v>
      </c>
      <c r="F165" s="25"/>
      <c r="G165" s="17" t="s">
        <v>95</v>
      </c>
    </row>
    <row r="166" spans="1:7" ht="39" customHeight="1">
      <c r="A166" s="45">
        <v>46021</v>
      </c>
      <c r="B166" s="46" t="s">
        <v>92</v>
      </c>
      <c r="C166" s="46" t="s">
        <v>120</v>
      </c>
      <c r="D166" s="46" t="s">
        <v>228</v>
      </c>
      <c r="E166" s="45">
        <v>46021</v>
      </c>
      <c r="F166" s="25"/>
      <c r="G166" s="17" t="s">
        <v>95</v>
      </c>
    </row>
    <row r="167" spans="1:7" ht="39" customHeight="1">
      <c r="A167" s="45">
        <v>46022</v>
      </c>
      <c r="B167" s="46" t="s">
        <v>92</v>
      </c>
      <c r="C167" s="46" t="s">
        <v>120</v>
      </c>
      <c r="D167" s="46" t="s">
        <v>213</v>
      </c>
      <c r="E167" s="45">
        <v>46022</v>
      </c>
      <c r="F167" s="25"/>
      <c r="G167" s="17" t="s">
        <v>95</v>
      </c>
    </row>
    <row r="168" spans="1:7" ht="39" customHeight="1">
      <c r="A168" s="45">
        <v>46022</v>
      </c>
      <c r="B168" s="46" t="s">
        <v>92</v>
      </c>
      <c r="C168" s="46" t="s">
        <v>120</v>
      </c>
      <c r="D168" s="46" t="s">
        <v>225</v>
      </c>
      <c r="E168" s="45">
        <v>46022</v>
      </c>
      <c r="F168" s="25"/>
      <c r="G168" s="17" t="s">
        <v>95</v>
      </c>
    </row>
    <row r="169" spans="1:7" ht="39" customHeight="1">
      <c r="A169" s="45">
        <v>46022</v>
      </c>
      <c r="B169" s="46" t="s">
        <v>92</v>
      </c>
      <c r="C169" s="46" t="s">
        <v>120</v>
      </c>
      <c r="D169" s="46" t="s">
        <v>217</v>
      </c>
      <c r="E169" s="45">
        <v>46022</v>
      </c>
      <c r="F169" s="25"/>
      <c r="G169" s="17" t="s">
        <v>95</v>
      </c>
    </row>
    <row r="170" spans="1:7" ht="39" customHeight="1">
      <c r="A170" s="45">
        <v>46022</v>
      </c>
      <c r="B170" s="46" t="s">
        <v>92</v>
      </c>
      <c r="C170" s="46" t="s">
        <v>120</v>
      </c>
      <c r="D170" s="46" t="s">
        <v>224</v>
      </c>
      <c r="E170" s="45">
        <v>46022</v>
      </c>
      <c r="F170" s="24"/>
      <c r="G170" s="17" t="s">
        <v>95</v>
      </c>
    </row>
    <row r="171" spans="1:7" ht="39" customHeight="1">
      <c r="A171" s="45">
        <v>46022</v>
      </c>
      <c r="B171" s="46" t="s">
        <v>92</v>
      </c>
      <c r="C171" s="46" t="s">
        <v>120</v>
      </c>
      <c r="D171" s="46" t="s">
        <v>228</v>
      </c>
      <c r="E171" s="45">
        <v>46022</v>
      </c>
      <c r="F171" s="24"/>
      <c r="G171" s="17" t="s">
        <v>95</v>
      </c>
    </row>
    <row r="172" spans="1:7" ht="39" customHeight="1">
      <c r="A172" s="45">
        <v>46022</v>
      </c>
      <c r="B172" s="46" t="s">
        <v>92</v>
      </c>
      <c r="C172" s="46" t="s">
        <v>120</v>
      </c>
      <c r="D172" s="46" t="s">
        <v>226</v>
      </c>
      <c r="E172" s="45">
        <v>46022</v>
      </c>
      <c r="F172" s="24"/>
      <c r="G172" s="17" t="s">
        <v>95</v>
      </c>
    </row>
    <row r="173" spans="1:7" ht="39" customHeight="1">
      <c r="A173" s="45">
        <v>46024</v>
      </c>
      <c r="B173" s="46" t="s">
        <v>92</v>
      </c>
      <c r="C173" s="46" t="s">
        <v>96</v>
      </c>
      <c r="D173" s="46" t="s">
        <v>225</v>
      </c>
      <c r="E173" s="45">
        <v>46024</v>
      </c>
      <c r="F173" s="24" t="s">
        <v>98</v>
      </c>
      <c r="G173" s="17" t="s">
        <v>229</v>
      </c>
    </row>
    <row r="174" spans="1:7" ht="39" customHeight="1">
      <c r="A174" s="45">
        <v>46024</v>
      </c>
      <c r="B174" s="46" t="s">
        <v>92</v>
      </c>
      <c r="C174" s="46" t="s">
        <v>96</v>
      </c>
      <c r="D174" s="46" t="s">
        <v>228</v>
      </c>
      <c r="E174" s="45">
        <v>46024</v>
      </c>
      <c r="F174" s="24" t="s">
        <v>98</v>
      </c>
      <c r="G174" s="17" t="s">
        <v>230</v>
      </c>
    </row>
    <row r="175" spans="1:7" ht="39" customHeight="1">
      <c r="A175" s="45">
        <v>46024</v>
      </c>
      <c r="B175" s="46" t="s">
        <v>92</v>
      </c>
      <c r="C175" s="46" t="s">
        <v>96</v>
      </c>
      <c r="D175" s="46" t="s">
        <v>226</v>
      </c>
      <c r="E175" s="45">
        <v>46024</v>
      </c>
      <c r="F175" s="24" t="s">
        <v>98</v>
      </c>
      <c r="G175" s="17" t="s">
        <v>231</v>
      </c>
    </row>
    <row r="176" spans="1:7" ht="39" customHeight="1">
      <c r="A176" s="45">
        <v>46024</v>
      </c>
      <c r="B176" s="46" t="s">
        <v>92</v>
      </c>
      <c r="C176" s="46" t="s">
        <v>96</v>
      </c>
      <c r="D176" s="46" t="s">
        <v>232</v>
      </c>
      <c r="E176" s="45">
        <v>46024</v>
      </c>
      <c r="F176" s="24" t="s">
        <v>98</v>
      </c>
      <c r="G176" s="17" t="s">
        <v>233</v>
      </c>
    </row>
    <row r="177" spans="1:7" ht="39" customHeight="1">
      <c r="A177" s="45">
        <v>46024</v>
      </c>
      <c r="B177" s="46" t="s">
        <v>92</v>
      </c>
      <c r="C177" s="46" t="s">
        <v>96</v>
      </c>
      <c r="D177" s="46" t="s">
        <v>234</v>
      </c>
      <c r="E177" s="45">
        <v>46024</v>
      </c>
      <c r="F177" s="24" t="s">
        <v>98</v>
      </c>
      <c r="G177" s="17" t="s">
        <v>235</v>
      </c>
    </row>
    <row r="178" spans="1:7" ht="39" customHeight="1">
      <c r="A178" s="45">
        <v>46024</v>
      </c>
      <c r="B178" s="46" t="s">
        <v>92</v>
      </c>
      <c r="C178" s="46" t="s">
        <v>96</v>
      </c>
      <c r="D178" s="46" t="s">
        <v>236</v>
      </c>
      <c r="E178" s="45">
        <v>46024</v>
      </c>
      <c r="F178" s="24" t="s">
        <v>98</v>
      </c>
      <c r="G178" s="17" t="s">
        <v>237</v>
      </c>
    </row>
    <row r="179" spans="1:7" ht="39" customHeight="1">
      <c r="A179" s="45">
        <v>46024</v>
      </c>
      <c r="B179" s="46" t="s">
        <v>92</v>
      </c>
      <c r="C179" s="46" t="s">
        <v>96</v>
      </c>
      <c r="D179" s="46" t="s">
        <v>238</v>
      </c>
      <c r="E179" s="45">
        <v>46024</v>
      </c>
      <c r="F179" s="24" t="s">
        <v>98</v>
      </c>
      <c r="G179" s="17" t="s">
        <v>239</v>
      </c>
    </row>
    <row r="180" spans="1:7" ht="39" customHeight="1">
      <c r="A180" s="45">
        <v>46030</v>
      </c>
      <c r="B180" s="46" t="s">
        <v>92</v>
      </c>
      <c r="C180" s="46" t="s">
        <v>96</v>
      </c>
      <c r="D180" s="46" t="s">
        <v>240</v>
      </c>
      <c r="E180" s="45">
        <v>46030</v>
      </c>
      <c r="F180" s="24" t="s">
        <v>98</v>
      </c>
      <c r="G180" s="17" t="s">
        <v>241</v>
      </c>
    </row>
    <row r="181" spans="1:7" ht="39" customHeight="1">
      <c r="A181" s="45">
        <v>46030</v>
      </c>
      <c r="B181" s="46" t="s">
        <v>92</v>
      </c>
      <c r="C181" s="46" t="s">
        <v>96</v>
      </c>
      <c r="D181" s="46" t="s">
        <v>242</v>
      </c>
      <c r="E181" s="45">
        <v>46030</v>
      </c>
      <c r="F181" s="24" t="s">
        <v>98</v>
      </c>
      <c r="G181" s="17" t="s">
        <v>243</v>
      </c>
    </row>
    <row r="182" spans="1:7" ht="39" customHeight="1">
      <c r="A182" s="50">
        <v>46030</v>
      </c>
      <c r="B182" s="51" t="s">
        <v>92</v>
      </c>
      <c r="C182" s="51" t="s">
        <v>96</v>
      </c>
      <c r="D182" s="51" t="s">
        <v>244</v>
      </c>
      <c r="E182" s="50">
        <v>46030</v>
      </c>
      <c r="F182" s="26" t="s">
        <v>175</v>
      </c>
      <c r="G182" s="17" t="s">
        <v>245</v>
      </c>
    </row>
    <row r="183" spans="1:7" ht="39" customHeight="1">
      <c r="A183" s="50">
        <v>46030</v>
      </c>
      <c r="B183" s="51" t="s">
        <v>92</v>
      </c>
      <c r="C183" s="51" t="s">
        <v>96</v>
      </c>
      <c r="D183" s="51" t="s">
        <v>246</v>
      </c>
      <c r="E183" s="50">
        <v>46030</v>
      </c>
      <c r="F183" s="26" t="s">
        <v>175</v>
      </c>
      <c r="G183" s="17" t="s">
        <v>247</v>
      </c>
    </row>
    <row r="184" spans="1:7" ht="39" customHeight="1">
      <c r="A184" s="45">
        <v>46030</v>
      </c>
      <c r="B184" s="46" t="s">
        <v>92</v>
      </c>
      <c r="C184" s="46" t="s">
        <v>96</v>
      </c>
      <c r="D184" s="46" t="s">
        <v>248</v>
      </c>
      <c r="E184" s="45">
        <v>46030</v>
      </c>
      <c r="F184" s="24" t="s">
        <v>98</v>
      </c>
      <c r="G184" s="17" t="s">
        <v>249</v>
      </c>
    </row>
    <row r="185" spans="1:7" ht="39" customHeight="1">
      <c r="A185" s="45">
        <v>46030</v>
      </c>
      <c r="B185" s="46" t="s">
        <v>92</v>
      </c>
      <c r="C185" s="46" t="s">
        <v>96</v>
      </c>
      <c r="D185" s="46" t="s">
        <v>250</v>
      </c>
      <c r="E185" s="45">
        <v>46030</v>
      </c>
      <c r="F185" s="24" t="s">
        <v>98</v>
      </c>
      <c r="G185" s="17" t="s">
        <v>251</v>
      </c>
    </row>
    <row r="186" spans="1:7" ht="39" customHeight="1">
      <c r="A186" s="45">
        <v>46034</v>
      </c>
      <c r="B186" s="46" t="s">
        <v>92</v>
      </c>
      <c r="C186" s="46" t="s">
        <v>73</v>
      </c>
      <c r="D186" s="46" t="s">
        <v>252</v>
      </c>
      <c r="E186" s="45">
        <v>46033</v>
      </c>
      <c r="F186" s="24" t="s">
        <v>98</v>
      </c>
      <c r="G186" s="17" t="s">
        <v>253</v>
      </c>
    </row>
    <row r="187" spans="1:7" ht="39" customHeight="1">
      <c r="A187" s="50">
        <v>46034</v>
      </c>
      <c r="B187" s="51" t="s">
        <v>92</v>
      </c>
      <c r="C187" s="51" t="s">
        <v>73</v>
      </c>
      <c r="D187" s="51" t="s">
        <v>244</v>
      </c>
      <c r="E187" s="50">
        <v>46034</v>
      </c>
      <c r="F187" s="26" t="s">
        <v>175</v>
      </c>
      <c r="G187" s="17" t="s">
        <v>254</v>
      </c>
    </row>
    <row r="188" spans="1:7" ht="39" customHeight="1">
      <c r="A188" s="50">
        <v>46034</v>
      </c>
      <c r="B188" s="51" t="s">
        <v>92</v>
      </c>
      <c r="C188" s="51" t="s">
        <v>73</v>
      </c>
      <c r="D188" s="51" t="s">
        <v>217</v>
      </c>
      <c r="E188" s="50">
        <v>46034</v>
      </c>
      <c r="F188" s="26" t="s">
        <v>175</v>
      </c>
      <c r="G188" s="17" t="s">
        <v>255</v>
      </c>
    </row>
    <row r="189" spans="1:7" ht="39" customHeight="1">
      <c r="A189" s="45">
        <v>46034</v>
      </c>
      <c r="B189" s="46" t="s">
        <v>92</v>
      </c>
      <c r="C189" s="46" t="s">
        <v>73</v>
      </c>
      <c r="D189" s="46" t="s">
        <v>213</v>
      </c>
      <c r="E189" s="45">
        <v>46034</v>
      </c>
      <c r="F189" s="24" t="s">
        <v>98</v>
      </c>
      <c r="G189" s="17" t="s">
        <v>256</v>
      </c>
    </row>
    <row r="190" spans="1:7" ht="39" customHeight="1">
      <c r="A190" s="50">
        <v>46034</v>
      </c>
      <c r="B190" s="51" t="s">
        <v>92</v>
      </c>
      <c r="C190" s="51" t="s">
        <v>73</v>
      </c>
      <c r="D190" s="51" t="s">
        <v>225</v>
      </c>
      <c r="E190" s="50">
        <v>46034</v>
      </c>
      <c r="F190" s="26" t="s">
        <v>175</v>
      </c>
      <c r="G190" s="17" t="s">
        <v>257</v>
      </c>
    </row>
    <row r="191" spans="1:7" ht="39" customHeight="1">
      <c r="A191" s="45">
        <v>46034</v>
      </c>
      <c r="B191" s="46" t="s">
        <v>92</v>
      </c>
      <c r="C191" s="46" t="s">
        <v>120</v>
      </c>
      <c r="D191" s="46" t="s">
        <v>258</v>
      </c>
      <c r="E191" s="45">
        <v>46034</v>
      </c>
      <c r="F191" s="25"/>
      <c r="G191" s="17" t="s">
        <v>95</v>
      </c>
    </row>
    <row r="192" spans="1:7" ht="39" customHeight="1">
      <c r="A192" s="45">
        <v>46034</v>
      </c>
      <c r="B192" s="46" t="s">
        <v>92</v>
      </c>
      <c r="C192" s="46" t="s">
        <v>120</v>
      </c>
      <c r="D192" s="46" t="s">
        <v>259</v>
      </c>
      <c r="E192" s="45">
        <v>46034</v>
      </c>
      <c r="F192" s="25"/>
      <c r="G192" s="17" t="s">
        <v>95</v>
      </c>
    </row>
    <row r="193" spans="1:7" ht="39" customHeight="1">
      <c r="A193" s="50">
        <v>46034</v>
      </c>
      <c r="B193" s="51" t="s">
        <v>92</v>
      </c>
      <c r="C193" s="51" t="s">
        <v>73</v>
      </c>
      <c r="D193" s="51" t="s">
        <v>228</v>
      </c>
      <c r="E193" s="50">
        <v>46034</v>
      </c>
      <c r="F193" s="26" t="s">
        <v>175</v>
      </c>
      <c r="G193" s="17" t="s">
        <v>260</v>
      </c>
    </row>
    <row r="194" spans="1:7" ht="39" customHeight="1">
      <c r="A194" s="45">
        <v>46035</v>
      </c>
      <c r="B194" s="46" t="s">
        <v>92</v>
      </c>
      <c r="C194" s="46" t="s">
        <v>120</v>
      </c>
      <c r="D194" s="46" t="s">
        <v>244</v>
      </c>
      <c r="E194" s="45">
        <v>46035</v>
      </c>
      <c r="F194" s="25"/>
      <c r="G194" s="17" t="s">
        <v>95</v>
      </c>
    </row>
    <row r="195" spans="1:7" ht="39" customHeight="1">
      <c r="A195" s="45">
        <v>46035</v>
      </c>
      <c r="B195" s="46" t="s">
        <v>92</v>
      </c>
      <c r="C195" s="46" t="s">
        <v>120</v>
      </c>
      <c r="D195" s="46" t="s">
        <v>258</v>
      </c>
      <c r="E195" s="45">
        <v>46035</v>
      </c>
      <c r="F195" s="25"/>
      <c r="G195" s="17" t="s">
        <v>95</v>
      </c>
    </row>
    <row r="196" spans="1:7" ht="39" customHeight="1">
      <c r="A196" s="45">
        <v>46035</v>
      </c>
      <c r="B196" s="46" t="s">
        <v>92</v>
      </c>
      <c r="C196" s="46" t="s">
        <v>120</v>
      </c>
      <c r="D196" s="46" t="s">
        <v>246</v>
      </c>
      <c r="E196" s="45">
        <v>46035</v>
      </c>
      <c r="F196" s="25"/>
      <c r="G196" s="17" t="s">
        <v>95</v>
      </c>
    </row>
    <row r="197" spans="1:7" ht="39" customHeight="1">
      <c r="A197" s="45">
        <v>46035</v>
      </c>
      <c r="B197" s="46" t="s">
        <v>92</v>
      </c>
      <c r="C197" s="46" t="s">
        <v>120</v>
      </c>
      <c r="D197" s="46" t="s">
        <v>261</v>
      </c>
      <c r="E197" s="45">
        <v>46035</v>
      </c>
      <c r="F197" s="25"/>
      <c r="G197" s="17" t="s">
        <v>95</v>
      </c>
    </row>
    <row r="198" spans="1:7" ht="39" customHeight="1">
      <c r="A198" s="45">
        <v>46036</v>
      </c>
      <c r="B198" s="46" t="s">
        <v>92</v>
      </c>
      <c r="C198" s="46" t="s">
        <v>120</v>
      </c>
      <c r="D198" s="46" t="s">
        <v>244</v>
      </c>
      <c r="E198" s="45">
        <v>46036</v>
      </c>
      <c r="F198" s="25"/>
      <c r="G198" s="17" t="s">
        <v>95</v>
      </c>
    </row>
    <row r="199" spans="1:7" ht="39" customHeight="1">
      <c r="A199" s="45">
        <v>46036</v>
      </c>
      <c r="B199" s="46" t="s">
        <v>92</v>
      </c>
      <c r="C199" s="46" t="s">
        <v>120</v>
      </c>
      <c r="D199" s="46" t="s">
        <v>259</v>
      </c>
      <c r="E199" s="45">
        <v>46036</v>
      </c>
      <c r="F199" s="25"/>
      <c r="G199" s="17" t="s">
        <v>95</v>
      </c>
    </row>
    <row r="200" spans="1:7" ht="39" customHeight="1">
      <c r="A200" s="45">
        <v>46036</v>
      </c>
      <c r="B200" s="46" t="s">
        <v>92</v>
      </c>
      <c r="C200" s="46" t="s">
        <v>135</v>
      </c>
      <c r="D200" s="46" t="s">
        <v>262</v>
      </c>
      <c r="E200" s="45">
        <v>46036</v>
      </c>
      <c r="F200" s="25"/>
      <c r="G200" s="17" t="s">
        <v>95</v>
      </c>
    </row>
    <row r="201" spans="1:7" ht="39" customHeight="1">
      <c r="A201" s="45">
        <v>46036</v>
      </c>
      <c r="B201" s="46" t="s">
        <v>92</v>
      </c>
      <c r="C201" s="46" t="s">
        <v>135</v>
      </c>
      <c r="D201" s="46" t="s">
        <v>263</v>
      </c>
      <c r="E201" s="45">
        <v>46036</v>
      </c>
      <c r="F201" s="25"/>
      <c r="G201" s="17" t="s">
        <v>95</v>
      </c>
    </row>
    <row r="202" spans="1:7" ht="39" customHeight="1">
      <c r="A202" s="45">
        <v>46036</v>
      </c>
      <c r="B202" s="46" t="s">
        <v>92</v>
      </c>
      <c r="C202" s="46" t="s">
        <v>135</v>
      </c>
      <c r="D202" s="46" t="s">
        <v>264</v>
      </c>
      <c r="E202" s="45">
        <v>46036</v>
      </c>
      <c r="F202" s="25"/>
      <c r="G202" s="17" t="s">
        <v>95</v>
      </c>
    </row>
    <row r="203" spans="1:7" ht="39" customHeight="1">
      <c r="A203" s="45">
        <v>46036</v>
      </c>
      <c r="B203" s="46" t="s">
        <v>92</v>
      </c>
      <c r="C203" s="46" t="s">
        <v>135</v>
      </c>
      <c r="D203" s="46" t="s">
        <v>265</v>
      </c>
      <c r="E203" s="45">
        <v>46036</v>
      </c>
      <c r="F203" s="25"/>
      <c r="G203" s="17" t="s">
        <v>95</v>
      </c>
    </row>
    <row r="204" spans="1:7" ht="39" customHeight="1">
      <c r="A204" s="45">
        <v>46036</v>
      </c>
      <c r="B204" s="46" t="s">
        <v>92</v>
      </c>
      <c r="C204" s="46" t="s">
        <v>135</v>
      </c>
      <c r="D204" s="46" t="s">
        <v>266</v>
      </c>
      <c r="E204" s="45">
        <v>46036</v>
      </c>
      <c r="F204" s="25"/>
      <c r="G204" s="17" t="s">
        <v>95</v>
      </c>
    </row>
    <row r="205" spans="1:7" ht="39" customHeight="1">
      <c r="A205" s="45">
        <v>46036</v>
      </c>
      <c r="B205" s="46" t="s">
        <v>92</v>
      </c>
      <c r="C205" s="46" t="s">
        <v>135</v>
      </c>
      <c r="D205" s="46" t="s">
        <v>267</v>
      </c>
      <c r="E205" s="45">
        <v>46036</v>
      </c>
      <c r="F205" s="25"/>
      <c r="G205" s="17" t="s">
        <v>95</v>
      </c>
    </row>
    <row r="206" spans="1:7" ht="39" customHeight="1">
      <c r="A206" s="45">
        <v>46036</v>
      </c>
      <c r="B206" s="46" t="s">
        <v>92</v>
      </c>
      <c r="C206" s="46" t="s">
        <v>223</v>
      </c>
      <c r="D206" s="46" t="s">
        <v>268</v>
      </c>
      <c r="E206" s="45">
        <v>46036</v>
      </c>
      <c r="F206" s="25"/>
      <c r="G206" s="17" t="s">
        <v>95</v>
      </c>
    </row>
    <row r="207" spans="1:7" ht="39" customHeight="1">
      <c r="A207" s="45">
        <v>46036</v>
      </c>
      <c r="B207" s="46" t="s">
        <v>92</v>
      </c>
      <c r="C207" s="46" t="s">
        <v>135</v>
      </c>
      <c r="D207" s="46" t="s">
        <v>269</v>
      </c>
      <c r="E207" s="45">
        <v>46036</v>
      </c>
      <c r="F207" s="25"/>
      <c r="G207" s="17" t="s">
        <v>95</v>
      </c>
    </row>
    <row r="208" spans="1:7" ht="39" customHeight="1">
      <c r="A208" s="45">
        <v>46036</v>
      </c>
      <c r="B208" s="46" t="s">
        <v>92</v>
      </c>
      <c r="C208" s="46" t="s">
        <v>135</v>
      </c>
      <c r="D208" s="46" t="s">
        <v>270</v>
      </c>
      <c r="E208" s="45">
        <v>46036</v>
      </c>
      <c r="F208" s="25"/>
      <c r="G208" s="17" t="s">
        <v>95</v>
      </c>
    </row>
    <row r="209" spans="1:7" ht="39" customHeight="1">
      <c r="A209" s="45">
        <v>46036</v>
      </c>
      <c r="B209" s="46" t="s">
        <v>92</v>
      </c>
      <c r="C209" s="46" t="s">
        <v>135</v>
      </c>
      <c r="D209" s="46" t="s">
        <v>271</v>
      </c>
      <c r="E209" s="45">
        <v>46036</v>
      </c>
      <c r="F209" s="25"/>
      <c r="G209" s="17" t="s">
        <v>95</v>
      </c>
    </row>
    <row r="210" spans="1:7" ht="39" customHeight="1">
      <c r="A210" s="45">
        <v>46034</v>
      </c>
      <c r="B210" s="46" t="s">
        <v>92</v>
      </c>
      <c r="C210" s="46" t="s">
        <v>73</v>
      </c>
      <c r="D210" s="46" t="s">
        <v>226</v>
      </c>
      <c r="E210" s="45">
        <v>46037</v>
      </c>
      <c r="F210" s="24" t="s">
        <v>98</v>
      </c>
      <c r="G210" s="17" t="s">
        <v>272</v>
      </c>
    </row>
    <row r="211" spans="1:7" ht="39" customHeight="1">
      <c r="A211" s="50">
        <v>46037</v>
      </c>
      <c r="B211" s="51" t="s">
        <v>92</v>
      </c>
      <c r="C211" s="51" t="s">
        <v>96</v>
      </c>
      <c r="D211" s="51" t="s">
        <v>258</v>
      </c>
      <c r="E211" s="50">
        <v>46037</v>
      </c>
      <c r="F211" s="26" t="s">
        <v>175</v>
      </c>
      <c r="G211" s="17" t="s">
        <v>273</v>
      </c>
    </row>
    <row r="212" spans="1:7" ht="39" customHeight="1">
      <c r="A212" s="50">
        <v>46037</v>
      </c>
      <c r="B212" s="51" t="s">
        <v>92</v>
      </c>
      <c r="C212" s="51" t="s">
        <v>96</v>
      </c>
      <c r="D212" s="51" t="s">
        <v>261</v>
      </c>
      <c r="E212" s="50">
        <v>46037</v>
      </c>
      <c r="F212" s="26" t="s">
        <v>175</v>
      </c>
      <c r="G212" s="17" t="s">
        <v>274</v>
      </c>
    </row>
    <row r="213" spans="1:7" ht="39" customHeight="1">
      <c r="A213" s="45">
        <v>46037</v>
      </c>
      <c r="B213" s="46" t="s">
        <v>92</v>
      </c>
      <c r="C213" s="46" t="s">
        <v>96</v>
      </c>
      <c r="D213" s="46" t="s">
        <v>275</v>
      </c>
      <c r="E213" s="45">
        <v>46037</v>
      </c>
      <c r="F213" s="24" t="s">
        <v>98</v>
      </c>
      <c r="G213" s="17" t="s">
        <v>276</v>
      </c>
    </row>
    <row r="214" spans="1:7" ht="39" customHeight="1">
      <c r="A214" s="45">
        <v>46043</v>
      </c>
      <c r="B214" s="46" t="s">
        <v>92</v>
      </c>
      <c r="C214" s="46" t="s">
        <v>74</v>
      </c>
      <c r="D214" s="46" t="s">
        <v>184</v>
      </c>
      <c r="E214" s="45">
        <v>46043</v>
      </c>
      <c r="F214" s="24" t="s">
        <v>98</v>
      </c>
      <c r="G214" s="17" t="s">
        <v>95</v>
      </c>
    </row>
    <row r="215" spans="1:7" ht="39" customHeight="1">
      <c r="A215" s="50">
        <v>46043</v>
      </c>
      <c r="B215" s="51" t="s">
        <v>92</v>
      </c>
      <c r="C215" s="51" t="s">
        <v>74</v>
      </c>
      <c r="D215" s="51" t="s">
        <v>225</v>
      </c>
      <c r="E215" s="50">
        <v>46043</v>
      </c>
      <c r="F215" s="24" t="s">
        <v>175</v>
      </c>
      <c r="G215" s="17" t="s">
        <v>95</v>
      </c>
    </row>
    <row r="216" spans="1:7" ht="39" customHeight="1">
      <c r="A216" s="50">
        <v>46043</v>
      </c>
      <c r="B216" s="51" t="s">
        <v>92</v>
      </c>
      <c r="C216" s="51" t="s">
        <v>74</v>
      </c>
      <c r="D216" s="51" t="s">
        <v>182</v>
      </c>
      <c r="E216" s="50">
        <v>46043</v>
      </c>
      <c r="F216" s="24" t="s">
        <v>175</v>
      </c>
      <c r="G216" s="17" t="s">
        <v>95</v>
      </c>
    </row>
    <row r="217" spans="1:7" ht="39" customHeight="1">
      <c r="A217" s="45">
        <v>46043</v>
      </c>
      <c r="B217" s="46" t="s">
        <v>92</v>
      </c>
      <c r="C217" s="46" t="s">
        <v>74</v>
      </c>
      <c r="D217" s="46" t="s">
        <v>213</v>
      </c>
      <c r="E217" s="45">
        <v>46043</v>
      </c>
      <c r="F217" s="24" t="s">
        <v>98</v>
      </c>
      <c r="G217" s="17" t="s">
        <v>95</v>
      </c>
    </row>
    <row r="218" spans="1:7" ht="39" customHeight="1">
      <c r="A218" s="45">
        <v>46043</v>
      </c>
      <c r="B218" s="46" t="s">
        <v>92</v>
      </c>
      <c r="C218" s="46" t="s">
        <v>74</v>
      </c>
      <c r="D218" s="46" t="s">
        <v>180</v>
      </c>
      <c r="E218" s="45">
        <v>46043</v>
      </c>
      <c r="F218" s="24" t="s">
        <v>98</v>
      </c>
      <c r="G218" s="17" t="s">
        <v>95</v>
      </c>
    </row>
    <row r="219" spans="1:7" ht="39" customHeight="1">
      <c r="A219" s="50">
        <v>46043</v>
      </c>
      <c r="B219" s="51" t="s">
        <v>92</v>
      </c>
      <c r="C219" s="51" t="s">
        <v>74</v>
      </c>
      <c r="D219" s="51" t="s">
        <v>244</v>
      </c>
      <c r="E219" s="50">
        <v>46043</v>
      </c>
      <c r="F219" s="24" t="s">
        <v>175</v>
      </c>
      <c r="G219" s="17" t="s">
        <v>95</v>
      </c>
    </row>
    <row r="220" spans="1:7" ht="39" customHeight="1">
      <c r="A220" s="50">
        <v>46043</v>
      </c>
      <c r="B220" s="51" t="s">
        <v>92</v>
      </c>
      <c r="C220" s="51" t="s">
        <v>74</v>
      </c>
      <c r="D220" s="51" t="s">
        <v>228</v>
      </c>
      <c r="E220" s="50">
        <v>46043</v>
      </c>
      <c r="F220" s="24" t="s">
        <v>175</v>
      </c>
      <c r="G220" s="17" t="s">
        <v>95</v>
      </c>
    </row>
    <row r="221" spans="1:7" ht="39" customHeight="1">
      <c r="A221" s="50">
        <v>46043</v>
      </c>
      <c r="B221" s="51" t="s">
        <v>92</v>
      </c>
      <c r="C221" s="51" t="s">
        <v>74</v>
      </c>
      <c r="D221" s="51" t="s">
        <v>258</v>
      </c>
      <c r="E221" s="50">
        <v>46043</v>
      </c>
      <c r="F221" s="24" t="s">
        <v>175</v>
      </c>
      <c r="G221" s="17" t="s">
        <v>95</v>
      </c>
    </row>
    <row r="222" spans="1:7" ht="39" customHeight="1">
      <c r="A222" s="50">
        <v>46044</v>
      </c>
      <c r="B222" s="51" t="s">
        <v>92</v>
      </c>
      <c r="C222" s="51" t="s">
        <v>96</v>
      </c>
      <c r="D222" s="51" t="s">
        <v>259</v>
      </c>
      <c r="E222" s="50">
        <v>46044</v>
      </c>
      <c r="F222" s="26" t="s">
        <v>175</v>
      </c>
      <c r="G222" s="17" t="s">
        <v>277</v>
      </c>
    </row>
    <row r="223" spans="1:7" ht="39" customHeight="1">
      <c r="A223" s="45">
        <v>46044</v>
      </c>
      <c r="B223" s="46" t="s">
        <v>92</v>
      </c>
      <c r="C223" s="46" t="s">
        <v>96</v>
      </c>
      <c r="D223" s="46" t="s">
        <v>278</v>
      </c>
      <c r="E223" s="45">
        <v>46044</v>
      </c>
      <c r="F223" s="24" t="s">
        <v>98</v>
      </c>
      <c r="G223" s="17" t="s">
        <v>279</v>
      </c>
    </row>
    <row r="224" spans="1:7" ht="39" customHeight="1">
      <c r="A224" s="50">
        <v>46044</v>
      </c>
      <c r="B224" s="51" t="s">
        <v>92</v>
      </c>
      <c r="C224" s="51" t="s">
        <v>96</v>
      </c>
      <c r="D224" s="51" t="s">
        <v>280</v>
      </c>
      <c r="E224" s="50">
        <v>46044</v>
      </c>
      <c r="F224" s="26" t="s">
        <v>175</v>
      </c>
      <c r="G224" s="17" t="s">
        <v>281</v>
      </c>
    </row>
    <row r="225" spans="1:7" ht="39" customHeight="1">
      <c r="A225" s="50">
        <v>46044</v>
      </c>
      <c r="B225" s="51" t="s">
        <v>92</v>
      </c>
      <c r="C225" s="51" t="s">
        <v>96</v>
      </c>
      <c r="D225" s="51" t="s">
        <v>280</v>
      </c>
      <c r="E225" s="50">
        <v>46044</v>
      </c>
      <c r="F225" s="26" t="s">
        <v>175</v>
      </c>
      <c r="G225" s="17" t="s">
        <v>281</v>
      </c>
    </row>
    <row r="226" spans="1:7" ht="39" customHeight="1">
      <c r="A226" s="50">
        <v>46044</v>
      </c>
      <c r="B226" s="51" t="s">
        <v>92</v>
      </c>
      <c r="C226" s="51" t="s">
        <v>96</v>
      </c>
      <c r="D226" s="51" t="s">
        <v>282</v>
      </c>
      <c r="E226" s="50">
        <v>46044</v>
      </c>
      <c r="F226" s="26" t="s">
        <v>175</v>
      </c>
      <c r="G226" s="17" t="s">
        <v>283</v>
      </c>
    </row>
    <row r="227" spans="1:7" ht="39" customHeight="1">
      <c r="A227" s="45">
        <v>46049</v>
      </c>
      <c r="B227" s="46" t="s">
        <v>92</v>
      </c>
      <c r="C227" s="46" t="s">
        <v>120</v>
      </c>
      <c r="D227" s="46" t="s">
        <v>280</v>
      </c>
      <c r="E227" s="45">
        <v>46049</v>
      </c>
      <c r="F227" s="25"/>
      <c r="G227" s="17" t="s">
        <v>95</v>
      </c>
    </row>
    <row r="228" spans="1:7" ht="39" customHeight="1">
      <c r="A228" s="45">
        <v>46050</v>
      </c>
      <c r="B228" s="46" t="s">
        <v>92</v>
      </c>
      <c r="C228" s="46" t="s">
        <v>284</v>
      </c>
      <c r="D228" s="46" t="s">
        <v>285</v>
      </c>
      <c r="E228" s="45">
        <v>46050</v>
      </c>
      <c r="F228" s="25"/>
      <c r="G228" s="17" t="s">
        <v>95</v>
      </c>
    </row>
    <row r="229" spans="1:7" ht="39" customHeight="1">
      <c r="A229" s="45">
        <v>46050</v>
      </c>
      <c r="B229" s="46" t="s">
        <v>92</v>
      </c>
      <c r="C229" s="46" t="s">
        <v>284</v>
      </c>
      <c r="D229" s="46" t="s">
        <v>286</v>
      </c>
      <c r="E229" s="45">
        <v>46050</v>
      </c>
      <c r="F229" s="25"/>
      <c r="G229" s="17" t="s">
        <v>95</v>
      </c>
    </row>
    <row r="230" spans="1:7" ht="39" customHeight="1">
      <c r="A230" s="45">
        <v>46050</v>
      </c>
      <c r="B230" s="46" t="s">
        <v>92</v>
      </c>
      <c r="C230" s="46" t="s">
        <v>284</v>
      </c>
      <c r="D230" s="46" t="s">
        <v>224</v>
      </c>
      <c r="E230" s="45">
        <v>46050</v>
      </c>
      <c r="F230" s="25"/>
      <c r="G230" s="17" t="s">
        <v>95</v>
      </c>
    </row>
    <row r="231" spans="1:7" ht="39" customHeight="1">
      <c r="A231" s="45">
        <v>46050</v>
      </c>
      <c r="B231" s="46" t="s">
        <v>92</v>
      </c>
      <c r="C231" s="46" t="s">
        <v>284</v>
      </c>
      <c r="D231" s="46" t="s">
        <v>287</v>
      </c>
      <c r="E231" s="45">
        <v>46050</v>
      </c>
      <c r="F231" s="25"/>
      <c r="G231" s="17" t="s">
        <v>95</v>
      </c>
    </row>
    <row r="232" spans="1:7" ht="39" customHeight="1">
      <c r="A232" s="45">
        <v>46050</v>
      </c>
      <c r="B232" s="46" t="s">
        <v>92</v>
      </c>
      <c r="C232" s="46" t="s">
        <v>284</v>
      </c>
      <c r="D232" s="46" t="s">
        <v>107</v>
      </c>
      <c r="E232" s="45">
        <v>46050</v>
      </c>
      <c r="F232" s="25"/>
      <c r="G232" s="17" t="s">
        <v>95</v>
      </c>
    </row>
    <row r="233" spans="1:7" ht="39" customHeight="1">
      <c r="A233" s="45">
        <v>46050</v>
      </c>
      <c r="B233" s="46" t="s">
        <v>92</v>
      </c>
      <c r="C233" s="46" t="s">
        <v>284</v>
      </c>
      <c r="D233" s="46" t="s">
        <v>288</v>
      </c>
      <c r="E233" s="45">
        <v>46050</v>
      </c>
      <c r="F233" s="25"/>
      <c r="G233" s="17" t="s">
        <v>95</v>
      </c>
    </row>
    <row r="234" spans="1:7" ht="39" customHeight="1">
      <c r="A234" s="45">
        <v>46050</v>
      </c>
      <c r="B234" s="46" t="s">
        <v>92</v>
      </c>
      <c r="C234" s="46" t="s">
        <v>284</v>
      </c>
      <c r="D234" s="46" t="s">
        <v>289</v>
      </c>
      <c r="E234" s="45">
        <v>46050</v>
      </c>
      <c r="F234" s="25"/>
      <c r="G234" s="17" t="s">
        <v>95</v>
      </c>
    </row>
    <row r="235" spans="1:7" ht="39" customHeight="1">
      <c r="A235" s="45">
        <v>46050</v>
      </c>
      <c r="B235" s="46" t="s">
        <v>92</v>
      </c>
      <c r="C235" s="46" t="s">
        <v>284</v>
      </c>
      <c r="D235" s="46" t="s">
        <v>290</v>
      </c>
      <c r="E235" s="45">
        <v>46050</v>
      </c>
      <c r="F235" s="25"/>
      <c r="G235" s="17" t="s">
        <v>95</v>
      </c>
    </row>
    <row r="236" spans="1:7" ht="39" customHeight="1">
      <c r="A236" s="45">
        <v>46050</v>
      </c>
      <c r="B236" s="46" t="s">
        <v>92</v>
      </c>
      <c r="C236" s="46" t="s">
        <v>284</v>
      </c>
      <c r="D236" s="46" t="s">
        <v>291</v>
      </c>
      <c r="E236" s="45">
        <v>46051</v>
      </c>
      <c r="F236" s="25"/>
      <c r="G236" s="17" t="s">
        <v>95</v>
      </c>
    </row>
    <row r="237" spans="1:7" ht="39" customHeight="1">
      <c r="A237" s="45">
        <v>46051</v>
      </c>
      <c r="B237" s="46" t="s">
        <v>92</v>
      </c>
      <c r="C237" s="46" t="s">
        <v>60</v>
      </c>
      <c r="D237" s="46" t="s">
        <v>280</v>
      </c>
      <c r="E237" s="45">
        <v>46051</v>
      </c>
      <c r="F237" s="25"/>
      <c r="G237" s="17" t="s">
        <v>95</v>
      </c>
    </row>
    <row r="238" spans="1:7" ht="39" customHeight="1">
      <c r="A238" s="50">
        <v>46052</v>
      </c>
      <c r="B238" s="51" t="s">
        <v>92</v>
      </c>
      <c r="C238" s="51" t="s">
        <v>73</v>
      </c>
      <c r="D238" s="51" t="s">
        <v>258</v>
      </c>
      <c r="E238" s="50">
        <v>46052</v>
      </c>
      <c r="F238" s="26" t="s">
        <v>175</v>
      </c>
      <c r="G238" s="17" t="s">
        <v>292</v>
      </c>
    </row>
    <row r="239" spans="1:7" ht="39" customHeight="1">
      <c r="A239" s="45">
        <v>46058</v>
      </c>
      <c r="B239" s="46" t="s">
        <v>92</v>
      </c>
      <c r="C239" s="46" t="s">
        <v>96</v>
      </c>
      <c r="D239" s="46" t="s">
        <v>293</v>
      </c>
      <c r="E239" s="45">
        <v>46058</v>
      </c>
      <c r="F239" s="24" t="s">
        <v>98</v>
      </c>
      <c r="G239" s="17" t="s">
        <v>294</v>
      </c>
    </row>
    <row r="240" spans="1:7" ht="39" customHeight="1">
      <c r="A240" s="45">
        <v>46058</v>
      </c>
      <c r="B240" s="46" t="s">
        <v>92</v>
      </c>
      <c r="C240" s="46" t="s">
        <v>96</v>
      </c>
      <c r="D240" s="46" t="s">
        <v>153</v>
      </c>
      <c r="E240" s="45">
        <v>46058</v>
      </c>
      <c r="F240" s="24" t="s">
        <v>98</v>
      </c>
      <c r="G240" s="17" t="s">
        <v>295</v>
      </c>
    </row>
    <row r="241" spans="1:7" ht="39" customHeight="1">
      <c r="A241" s="45">
        <v>46058</v>
      </c>
      <c r="B241" s="46" t="s">
        <v>92</v>
      </c>
      <c r="C241" s="46" t="s">
        <v>96</v>
      </c>
      <c r="D241" s="46" t="s">
        <v>296</v>
      </c>
      <c r="E241" s="45">
        <v>46058</v>
      </c>
      <c r="F241" s="24" t="s">
        <v>98</v>
      </c>
      <c r="G241" s="17" t="s">
        <v>297</v>
      </c>
    </row>
    <row r="242" spans="1:7" ht="39" customHeight="1">
      <c r="A242" s="45">
        <v>46058</v>
      </c>
      <c r="B242" s="46" t="s">
        <v>92</v>
      </c>
      <c r="C242" s="46" t="s">
        <v>96</v>
      </c>
      <c r="D242" s="46" t="s">
        <v>298</v>
      </c>
      <c r="E242" s="45">
        <v>46058</v>
      </c>
      <c r="F242" s="24" t="s">
        <v>98</v>
      </c>
      <c r="G242" s="17" t="s">
        <v>299</v>
      </c>
    </row>
    <row r="243" spans="1:7" ht="39" customHeight="1">
      <c r="A243" s="50">
        <v>46049</v>
      </c>
      <c r="B243" s="51" t="s">
        <v>92</v>
      </c>
      <c r="C243" s="51" t="s">
        <v>73</v>
      </c>
      <c r="D243" s="51" t="s">
        <v>282</v>
      </c>
      <c r="E243" s="50">
        <v>46060</v>
      </c>
      <c r="F243" s="25" t="s">
        <v>175</v>
      </c>
      <c r="G243" s="17" t="s">
        <v>95</v>
      </c>
    </row>
    <row r="244" spans="1:7" ht="39" customHeight="1">
      <c r="A244" s="50">
        <v>46062</v>
      </c>
      <c r="B244" s="51" t="s">
        <v>92</v>
      </c>
      <c r="C244" s="51" t="s">
        <v>73</v>
      </c>
      <c r="D244" s="51" t="s">
        <v>280</v>
      </c>
      <c r="E244" s="50">
        <v>46062</v>
      </c>
      <c r="F244" s="26" t="s">
        <v>175</v>
      </c>
      <c r="G244" s="17" t="s">
        <v>300</v>
      </c>
    </row>
    <row r="245" spans="1:7" ht="39" customHeight="1">
      <c r="A245" s="50">
        <v>46062</v>
      </c>
      <c r="B245" s="51" t="s">
        <v>92</v>
      </c>
      <c r="C245" s="51" t="s">
        <v>73</v>
      </c>
      <c r="D245" s="51" t="s">
        <v>301</v>
      </c>
      <c r="E245" s="50">
        <v>46062</v>
      </c>
      <c r="F245" s="26" t="s">
        <v>175</v>
      </c>
      <c r="G245" s="17" t="s">
        <v>302</v>
      </c>
    </row>
    <row r="246" spans="1:7" ht="39" customHeight="1">
      <c r="A246" s="45">
        <v>46062</v>
      </c>
      <c r="B246" s="46" t="s">
        <v>92</v>
      </c>
      <c r="C246" s="46" t="s">
        <v>73</v>
      </c>
      <c r="D246" s="46" t="s">
        <v>298</v>
      </c>
      <c r="E246" s="45">
        <v>46062</v>
      </c>
      <c r="F246" s="24" t="s">
        <v>98</v>
      </c>
      <c r="G246" s="17" t="s">
        <v>303</v>
      </c>
    </row>
    <row r="247" spans="1:7" ht="39" customHeight="1">
      <c r="A247" s="45">
        <v>46062</v>
      </c>
      <c r="B247" s="46" t="s">
        <v>92</v>
      </c>
      <c r="C247" s="46" t="s">
        <v>73</v>
      </c>
      <c r="D247" s="46" t="s">
        <v>304</v>
      </c>
      <c r="E247" s="45">
        <v>46062</v>
      </c>
      <c r="F247" s="24" t="s">
        <v>98</v>
      </c>
      <c r="G247" s="17" t="s">
        <v>305</v>
      </c>
    </row>
    <row r="248" spans="1:7" ht="39" customHeight="1">
      <c r="A248" s="45">
        <v>46062</v>
      </c>
      <c r="B248" s="46" t="s">
        <v>92</v>
      </c>
      <c r="C248" s="46" t="s">
        <v>73</v>
      </c>
      <c r="D248" s="46" t="s">
        <v>264</v>
      </c>
      <c r="E248" s="45">
        <v>46062</v>
      </c>
      <c r="F248" s="24" t="s">
        <v>98</v>
      </c>
      <c r="G248" s="17" t="s">
        <v>306</v>
      </c>
    </row>
    <row r="249" spans="1:7" ht="39" customHeight="1">
      <c r="A249" s="45">
        <v>46062</v>
      </c>
      <c r="B249" s="46" t="s">
        <v>92</v>
      </c>
      <c r="C249" s="46" t="s">
        <v>73</v>
      </c>
      <c r="D249" s="46" t="s">
        <v>307</v>
      </c>
      <c r="E249" s="45">
        <v>46062</v>
      </c>
      <c r="F249" s="24" t="s">
        <v>98</v>
      </c>
      <c r="G249" s="17" t="s">
        <v>308</v>
      </c>
    </row>
    <row r="250" spans="1:7" ht="39" customHeight="1">
      <c r="A250" s="50">
        <v>46062</v>
      </c>
      <c r="B250" s="51" t="s">
        <v>92</v>
      </c>
      <c r="C250" s="51" t="s">
        <v>73</v>
      </c>
      <c r="D250" s="51" t="s">
        <v>309</v>
      </c>
      <c r="E250" s="50">
        <v>46062</v>
      </c>
      <c r="F250" s="24" t="s">
        <v>175</v>
      </c>
      <c r="G250" s="17" t="s">
        <v>310</v>
      </c>
    </row>
    <row r="251" spans="1:7" ht="39" customHeight="1">
      <c r="A251" s="50">
        <v>46062</v>
      </c>
      <c r="B251" s="51" t="s">
        <v>92</v>
      </c>
      <c r="C251" s="51" t="s">
        <v>73</v>
      </c>
      <c r="D251" s="51" t="s">
        <v>311</v>
      </c>
      <c r="E251" s="50">
        <v>46062</v>
      </c>
      <c r="F251" s="26" t="s">
        <v>175</v>
      </c>
      <c r="G251" s="17" t="s">
        <v>312</v>
      </c>
    </row>
    <row r="252" spans="1:7" ht="39" customHeight="1">
      <c r="A252" s="50">
        <v>46062</v>
      </c>
      <c r="B252" s="51" t="s">
        <v>92</v>
      </c>
      <c r="C252" s="51" t="s">
        <v>73</v>
      </c>
      <c r="D252" s="51" t="s">
        <v>313</v>
      </c>
      <c r="E252" s="50">
        <v>46062</v>
      </c>
      <c r="F252" s="26" t="s">
        <v>175</v>
      </c>
      <c r="G252" s="17" t="s">
        <v>314</v>
      </c>
    </row>
    <row r="253" spans="1:7" ht="39" customHeight="1">
      <c r="A253" s="50">
        <v>46062</v>
      </c>
      <c r="B253" s="51" t="s">
        <v>92</v>
      </c>
      <c r="C253" s="51" t="s">
        <v>73</v>
      </c>
      <c r="D253" s="51" t="s">
        <v>315</v>
      </c>
      <c r="E253" s="50">
        <v>46062</v>
      </c>
      <c r="F253" s="26" t="s">
        <v>175</v>
      </c>
      <c r="G253" s="17" t="s">
        <v>316</v>
      </c>
    </row>
    <row r="254" spans="1:7" ht="39" customHeight="1">
      <c r="A254" s="45">
        <v>46063</v>
      </c>
      <c r="B254" s="46" t="s">
        <v>92</v>
      </c>
      <c r="C254" s="46" t="s">
        <v>120</v>
      </c>
      <c r="D254" s="46" t="s">
        <v>301</v>
      </c>
      <c r="E254" s="45">
        <v>46063</v>
      </c>
      <c r="F254" s="25"/>
      <c r="G254" s="17" t="s">
        <v>95</v>
      </c>
    </row>
    <row r="255" spans="1:7" ht="39" customHeight="1">
      <c r="A255" s="45">
        <v>46063</v>
      </c>
      <c r="B255" s="46" t="s">
        <v>92</v>
      </c>
      <c r="C255" s="46" t="s">
        <v>120</v>
      </c>
      <c r="D255" s="46" t="s">
        <v>317</v>
      </c>
      <c r="E255" s="45">
        <v>46063</v>
      </c>
      <c r="F255" s="25"/>
      <c r="G255" s="17" t="s">
        <v>95</v>
      </c>
    </row>
    <row r="256" spans="1:7" ht="39" customHeight="1">
      <c r="A256" s="45">
        <v>46063</v>
      </c>
      <c r="B256" s="46" t="s">
        <v>92</v>
      </c>
      <c r="C256" s="46" t="s">
        <v>120</v>
      </c>
      <c r="D256" s="46" t="s">
        <v>315</v>
      </c>
      <c r="E256" s="45">
        <v>46063</v>
      </c>
      <c r="F256" s="24"/>
      <c r="G256" s="17" t="s">
        <v>95</v>
      </c>
    </row>
    <row r="257" spans="1:7" ht="39" customHeight="1">
      <c r="A257" s="45">
        <v>46063</v>
      </c>
      <c r="B257" s="46" t="s">
        <v>92</v>
      </c>
      <c r="C257" s="46" t="s">
        <v>120</v>
      </c>
      <c r="D257" s="46" t="s">
        <v>318</v>
      </c>
      <c r="E257" s="45">
        <v>46063</v>
      </c>
      <c r="F257" s="24"/>
      <c r="G257" s="17" t="s">
        <v>95</v>
      </c>
    </row>
    <row r="258" spans="1:7" ht="39" customHeight="1">
      <c r="A258" s="45">
        <v>46063</v>
      </c>
      <c r="B258" s="46" t="s">
        <v>92</v>
      </c>
      <c r="C258" s="46" t="s">
        <v>120</v>
      </c>
      <c r="D258" s="46" t="s">
        <v>319</v>
      </c>
      <c r="E258" s="45">
        <v>46063</v>
      </c>
      <c r="F258" s="24"/>
      <c r="G258" s="17" t="s">
        <v>95</v>
      </c>
    </row>
    <row r="259" spans="1:7" ht="39" customHeight="1">
      <c r="A259" s="45">
        <v>46063</v>
      </c>
      <c r="B259" s="46" t="s">
        <v>92</v>
      </c>
      <c r="C259" s="46" t="s">
        <v>120</v>
      </c>
      <c r="D259" s="46" t="s">
        <v>309</v>
      </c>
      <c r="E259" s="45">
        <v>46063</v>
      </c>
      <c r="F259" s="24"/>
      <c r="G259" s="17" t="s">
        <v>95</v>
      </c>
    </row>
    <row r="260" spans="1:7" ht="39" customHeight="1">
      <c r="A260" s="45">
        <v>46064</v>
      </c>
      <c r="B260" s="46" t="s">
        <v>92</v>
      </c>
      <c r="C260" s="46" t="s">
        <v>120</v>
      </c>
      <c r="D260" s="46" t="s">
        <v>318</v>
      </c>
      <c r="E260" s="45">
        <v>46063</v>
      </c>
      <c r="F260" s="25"/>
      <c r="G260" s="17" t="s">
        <v>95</v>
      </c>
    </row>
    <row r="261" spans="1:7" ht="39" customHeight="1">
      <c r="A261" s="45">
        <v>46064</v>
      </c>
      <c r="B261" s="46" t="s">
        <v>92</v>
      </c>
      <c r="C261" s="46" t="s">
        <v>120</v>
      </c>
      <c r="D261" s="46" t="s">
        <v>318</v>
      </c>
      <c r="E261" s="45">
        <v>46063</v>
      </c>
      <c r="F261" s="24"/>
      <c r="G261" s="17" t="s">
        <v>95</v>
      </c>
    </row>
    <row r="262" spans="1:7" ht="39" customHeight="1">
      <c r="A262" s="45">
        <v>46064</v>
      </c>
      <c r="B262" s="46" t="s">
        <v>92</v>
      </c>
      <c r="C262" s="46" t="s">
        <v>120</v>
      </c>
      <c r="D262" s="46" t="s">
        <v>320</v>
      </c>
      <c r="E262" s="45">
        <v>46063</v>
      </c>
      <c r="F262" s="24"/>
      <c r="G262" s="17" t="s">
        <v>95</v>
      </c>
    </row>
    <row r="263" spans="1:7" ht="39" customHeight="1">
      <c r="A263" s="45">
        <v>46064</v>
      </c>
      <c r="B263" s="46" t="s">
        <v>92</v>
      </c>
      <c r="C263" s="46" t="s">
        <v>120</v>
      </c>
      <c r="D263" s="46" t="s">
        <v>301</v>
      </c>
      <c r="E263" s="45">
        <v>46064</v>
      </c>
      <c r="F263" s="25"/>
      <c r="G263" s="17" t="s">
        <v>95</v>
      </c>
    </row>
    <row r="264" spans="1:7" ht="39" customHeight="1">
      <c r="A264" s="45">
        <v>46064</v>
      </c>
      <c r="B264" s="46" t="s">
        <v>92</v>
      </c>
      <c r="C264" s="46" t="s">
        <v>120</v>
      </c>
      <c r="D264" s="46" t="s">
        <v>309</v>
      </c>
      <c r="E264" s="45">
        <v>46064</v>
      </c>
      <c r="F264" s="25"/>
      <c r="G264" s="17" t="s">
        <v>95</v>
      </c>
    </row>
    <row r="265" spans="1:7" ht="39" customHeight="1">
      <c r="A265" s="45">
        <v>46064</v>
      </c>
      <c r="B265" s="46" t="s">
        <v>92</v>
      </c>
      <c r="C265" s="46" t="s">
        <v>120</v>
      </c>
      <c r="D265" s="46" t="s">
        <v>315</v>
      </c>
      <c r="E265" s="45">
        <v>46064</v>
      </c>
      <c r="F265" s="25"/>
      <c r="G265" s="17" t="s">
        <v>95</v>
      </c>
    </row>
    <row r="266" spans="1:7" ht="39" customHeight="1">
      <c r="A266" s="45">
        <v>46064</v>
      </c>
      <c r="B266" s="46" t="s">
        <v>92</v>
      </c>
      <c r="C266" s="46" t="s">
        <v>120</v>
      </c>
      <c r="D266" s="46" t="s">
        <v>319</v>
      </c>
      <c r="E266" s="45">
        <v>46064</v>
      </c>
      <c r="F266" s="25"/>
      <c r="G266" s="17" t="s">
        <v>95</v>
      </c>
    </row>
    <row r="267" spans="1:7" ht="39" customHeight="1">
      <c r="A267" s="45">
        <v>46064</v>
      </c>
      <c r="B267" s="46" t="s">
        <v>92</v>
      </c>
      <c r="C267" s="46" t="s">
        <v>120</v>
      </c>
      <c r="D267" s="46" t="s">
        <v>317</v>
      </c>
      <c r="E267" s="45">
        <v>46064</v>
      </c>
      <c r="F267" s="25"/>
      <c r="G267" s="17" t="s">
        <v>95</v>
      </c>
    </row>
    <row r="268" spans="1:7" ht="39" customHeight="1">
      <c r="A268" s="45">
        <v>46064</v>
      </c>
      <c r="B268" s="46" t="s">
        <v>92</v>
      </c>
      <c r="C268" s="46" t="s">
        <v>120</v>
      </c>
      <c r="D268" s="46" t="s">
        <v>320</v>
      </c>
      <c r="E268" s="45">
        <v>46064</v>
      </c>
      <c r="F268" s="25"/>
      <c r="G268" s="17" t="s">
        <v>95</v>
      </c>
    </row>
    <row r="269" spans="1:7" ht="39" customHeight="1">
      <c r="A269" s="50">
        <v>46065</v>
      </c>
      <c r="B269" s="51" t="s">
        <v>92</v>
      </c>
      <c r="C269" s="51" t="s">
        <v>96</v>
      </c>
      <c r="D269" s="51" t="s">
        <v>301</v>
      </c>
      <c r="E269" s="50">
        <v>46065</v>
      </c>
      <c r="F269" s="26" t="s">
        <v>175</v>
      </c>
      <c r="G269" s="17" t="s">
        <v>321</v>
      </c>
    </row>
    <row r="270" spans="1:7" ht="39" customHeight="1">
      <c r="A270" s="45">
        <v>46065</v>
      </c>
      <c r="B270" s="46" t="s">
        <v>92</v>
      </c>
      <c r="C270" s="46" t="s">
        <v>96</v>
      </c>
      <c r="D270" s="46" t="s">
        <v>322</v>
      </c>
      <c r="E270" s="45">
        <v>46065</v>
      </c>
      <c r="F270" s="24" t="s">
        <v>98</v>
      </c>
      <c r="G270" s="17" t="s">
        <v>323</v>
      </c>
    </row>
    <row r="271" spans="1:7" ht="39" customHeight="1">
      <c r="A271" s="50">
        <v>46065</v>
      </c>
      <c r="B271" s="51" t="s">
        <v>92</v>
      </c>
      <c r="C271" s="51" t="s">
        <v>96</v>
      </c>
      <c r="D271" s="51" t="s">
        <v>318</v>
      </c>
      <c r="E271" s="50">
        <v>46065</v>
      </c>
      <c r="F271" s="26" t="s">
        <v>175</v>
      </c>
      <c r="G271" s="17" t="s">
        <v>324</v>
      </c>
    </row>
    <row r="272" spans="1:7" ht="39" customHeight="1">
      <c r="A272" s="50">
        <v>46065</v>
      </c>
      <c r="B272" s="51" t="s">
        <v>92</v>
      </c>
      <c r="C272" s="51" t="s">
        <v>96</v>
      </c>
      <c r="D272" s="51" t="s">
        <v>320</v>
      </c>
      <c r="E272" s="50">
        <v>46065</v>
      </c>
      <c r="F272" s="26" t="s">
        <v>175</v>
      </c>
      <c r="G272" s="17" t="s">
        <v>325</v>
      </c>
    </row>
    <row r="273" spans="1:7" ht="39" customHeight="1">
      <c r="A273" s="45">
        <v>46065</v>
      </c>
      <c r="B273" s="46" t="s">
        <v>92</v>
      </c>
      <c r="C273" s="46" t="s">
        <v>96</v>
      </c>
      <c r="D273" s="46" t="s">
        <v>326</v>
      </c>
      <c r="E273" s="45">
        <v>46065</v>
      </c>
      <c r="F273" s="24" t="s">
        <v>98</v>
      </c>
      <c r="G273" s="17" t="s">
        <v>327</v>
      </c>
    </row>
    <row r="274" spans="1:7" ht="39" customHeight="1">
      <c r="A274" s="45">
        <v>46065</v>
      </c>
      <c r="B274" s="46" t="s">
        <v>92</v>
      </c>
      <c r="C274" s="46" t="s">
        <v>96</v>
      </c>
      <c r="D274" s="46" t="s">
        <v>319</v>
      </c>
      <c r="E274" s="45">
        <v>46065</v>
      </c>
      <c r="F274" s="24" t="s">
        <v>98</v>
      </c>
      <c r="G274" s="17" t="s">
        <v>328</v>
      </c>
    </row>
    <row r="275" spans="1:7" ht="39" customHeight="1">
      <c r="A275" s="45">
        <v>46065</v>
      </c>
      <c r="B275" s="46" t="s">
        <v>92</v>
      </c>
      <c r="C275" s="46" t="s">
        <v>96</v>
      </c>
      <c r="D275" s="46" t="s">
        <v>329</v>
      </c>
      <c r="E275" s="45">
        <v>46065</v>
      </c>
      <c r="F275" s="24" t="s">
        <v>98</v>
      </c>
      <c r="G275" s="17" t="s">
        <v>330</v>
      </c>
    </row>
    <row r="276" spans="1:7" ht="39" customHeight="1">
      <c r="A276" s="50">
        <v>46065</v>
      </c>
      <c r="B276" s="51" t="s">
        <v>92</v>
      </c>
      <c r="C276" s="51" t="s">
        <v>96</v>
      </c>
      <c r="D276" s="51" t="s">
        <v>317</v>
      </c>
      <c r="E276" s="50">
        <v>46065</v>
      </c>
      <c r="F276" s="26" t="s">
        <v>175</v>
      </c>
      <c r="G276" s="17" t="s">
        <v>331</v>
      </c>
    </row>
    <row r="277" spans="1:7" ht="39" customHeight="1">
      <c r="A277" s="45">
        <v>46065</v>
      </c>
      <c r="B277" s="46" t="s">
        <v>92</v>
      </c>
      <c r="C277" s="46" t="s">
        <v>96</v>
      </c>
      <c r="D277" s="46" t="s">
        <v>123</v>
      </c>
      <c r="E277" s="45">
        <v>46065</v>
      </c>
      <c r="F277" s="24" t="s">
        <v>98</v>
      </c>
      <c r="G277" s="17" t="s">
        <v>332</v>
      </c>
    </row>
    <row r="278" spans="1:7" ht="39" customHeight="1">
      <c r="A278" s="50">
        <v>46065</v>
      </c>
      <c r="B278" s="51" t="s">
        <v>92</v>
      </c>
      <c r="C278" s="51" t="s">
        <v>96</v>
      </c>
      <c r="D278" s="51" t="s">
        <v>333</v>
      </c>
      <c r="E278" s="50">
        <v>46065</v>
      </c>
      <c r="F278" s="26" t="s">
        <v>175</v>
      </c>
      <c r="G278" s="17" t="s">
        <v>334</v>
      </c>
    </row>
    <row r="279" spans="1:7" ht="39" customHeight="1">
      <c r="A279" s="50">
        <v>46071</v>
      </c>
      <c r="B279" s="51" t="s">
        <v>92</v>
      </c>
      <c r="C279" s="51" t="s">
        <v>74</v>
      </c>
      <c r="D279" s="51" t="s">
        <v>318</v>
      </c>
      <c r="E279" s="50">
        <v>46071</v>
      </c>
      <c r="F279" s="25" t="s">
        <v>175</v>
      </c>
      <c r="G279" s="17" t="s">
        <v>95</v>
      </c>
    </row>
    <row r="280" spans="1:7" ht="39" customHeight="1">
      <c r="A280" s="50">
        <v>46071</v>
      </c>
      <c r="B280" s="51" t="s">
        <v>92</v>
      </c>
      <c r="C280" s="51" t="s">
        <v>74</v>
      </c>
      <c r="D280" s="51" t="s">
        <v>301</v>
      </c>
      <c r="E280" s="50">
        <v>46071</v>
      </c>
      <c r="F280" s="25" t="s">
        <v>175</v>
      </c>
      <c r="G280" s="17" t="s">
        <v>95</v>
      </c>
    </row>
    <row r="281" spans="1:7" ht="39" customHeight="1">
      <c r="A281" s="50">
        <v>46071</v>
      </c>
      <c r="B281" s="51" t="s">
        <v>92</v>
      </c>
      <c r="C281" s="51" t="s">
        <v>74</v>
      </c>
      <c r="D281" s="51" t="s">
        <v>309</v>
      </c>
      <c r="E281" s="50">
        <v>46071</v>
      </c>
      <c r="F281" s="24" t="s">
        <v>175</v>
      </c>
      <c r="G281" s="17" t="s">
        <v>95</v>
      </c>
    </row>
    <row r="282" spans="1:7" ht="39" customHeight="1">
      <c r="A282" s="50">
        <v>46072</v>
      </c>
      <c r="B282" s="51" t="s">
        <v>92</v>
      </c>
      <c r="C282" s="51" t="s">
        <v>96</v>
      </c>
      <c r="D282" s="51" t="s">
        <v>335</v>
      </c>
      <c r="E282" s="50">
        <v>46072</v>
      </c>
      <c r="F282" s="26" t="s">
        <v>175</v>
      </c>
      <c r="G282" s="17" t="s">
        <v>336</v>
      </c>
    </row>
    <row r="283" spans="1:7" ht="39" customHeight="1">
      <c r="A283" s="50">
        <v>46072</v>
      </c>
      <c r="B283" s="51" t="s">
        <v>92</v>
      </c>
      <c r="C283" s="51" t="s">
        <v>96</v>
      </c>
      <c r="D283" s="51" t="s">
        <v>337</v>
      </c>
      <c r="E283" s="50">
        <v>46072</v>
      </c>
      <c r="F283" s="26" t="s">
        <v>175</v>
      </c>
      <c r="G283" s="17" t="s">
        <v>338</v>
      </c>
    </row>
    <row r="284" spans="1:7" ht="39" customHeight="1">
      <c r="A284" s="45">
        <v>46072</v>
      </c>
      <c r="B284" s="46" t="s">
        <v>92</v>
      </c>
      <c r="C284" s="46" t="s">
        <v>96</v>
      </c>
      <c r="D284" s="46" t="s">
        <v>339</v>
      </c>
      <c r="E284" s="45">
        <v>46072</v>
      </c>
      <c r="F284" s="24" t="s">
        <v>98</v>
      </c>
      <c r="G284" s="17" t="s">
        <v>340</v>
      </c>
    </row>
    <row r="285" spans="1:7" ht="39" customHeight="1">
      <c r="A285" s="50">
        <v>46072</v>
      </c>
      <c r="B285" s="51" t="s">
        <v>92</v>
      </c>
      <c r="C285" s="51" t="s">
        <v>96</v>
      </c>
      <c r="D285" s="51" t="s">
        <v>341</v>
      </c>
      <c r="E285" s="50">
        <v>46072</v>
      </c>
      <c r="F285" s="26" t="s">
        <v>175</v>
      </c>
      <c r="G285" s="17" t="s">
        <v>342</v>
      </c>
    </row>
    <row r="286" spans="1:7" ht="39" customHeight="1">
      <c r="A286" s="45">
        <v>46072</v>
      </c>
      <c r="B286" s="46" t="s">
        <v>92</v>
      </c>
      <c r="C286" s="46" t="s">
        <v>96</v>
      </c>
      <c r="D286" s="46" t="s">
        <v>343</v>
      </c>
      <c r="E286" s="45">
        <v>46072</v>
      </c>
      <c r="F286" s="24" t="s">
        <v>98</v>
      </c>
      <c r="G286" s="17" t="s">
        <v>344</v>
      </c>
    </row>
    <row r="287" spans="1:7" ht="39" customHeight="1">
      <c r="A287" s="47">
        <v>46077</v>
      </c>
      <c r="B287" s="25" t="s">
        <v>92</v>
      </c>
      <c r="C287" s="25" t="s">
        <v>120</v>
      </c>
      <c r="D287" s="25" t="s">
        <v>337</v>
      </c>
      <c r="E287" s="47">
        <v>46077</v>
      </c>
      <c r="F287" s="25"/>
      <c r="G287" s="17" t="s">
        <v>95</v>
      </c>
    </row>
    <row r="288" spans="1:7" ht="39" customHeight="1">
      <c r="A288" s="47">
        <v>46077</v>
      </c>
      <c r="B288" s="25" t="s">
        <v>92</v>
      </c>
      <c r="C288" s="25" t="s">
        <v>120</v>
      </c>
      <c r="D288" s="25" t="s">
        <v>345</v>
      </c>
      <c r="E288" s="47">
        <v>46077</v>
      </c>
      <c r="F288" s="25"/>
      <c r="G288" s="17" t="s">
        <v>95</v>
      </c>
    </row>
    <row r="289" spans="1:7" ht="39" customHeight="1">
      <c r="A289" s="47">
        <v>46077</v>
      </c>
      <c r="B289" s="25" t="s">
        <v>92</v>
      </c>
      <c r="C289" s="25" t="s">
        <v>120</v>
      </c>
      <c r="D289" s="25" t="s">
        <v>341</v>
      </c>
      <c r="E289" s="47">
        <v>46077</v>
      </c>
      <c r="F289" s="25"/>
      <c r="G289" s="17" t="s">
        <v>95</v>
      </c>
    </row>
    <row r="290" spans="1:7" ht="39" customHeight="1">
      <c r="A290" s="47">
        <v>46077</v>
      </c>
      <c r="B290" s="25" t="s">
        <v>92</v>
      </c>
      <c r="C290" s="25" t="s">
        <v>120</v>
      </c>
      <c r="D290" s="25" t="s">
        <v>333</v>
      </c>
      <c r="E290" s="47">
        <v>46077</v>
      </c>
      <c r="F290" s="25"/>
      <c r="G290" s="17" t="s">
        <v>95</v>
      </c>
    </row>
    <row r="291" spans="1:7" ht="39" customHeight="1">
      <c r="A291" s="47">
        <v>46077</v>
      </c>
      <c r="B291" s="25" t="s">
        <v>92</v>
      </c>
      <c r="C291" s="25" t="s">
        <v>120</v>
      </c>
      <c r="D291" s="25" t="s">
        <v>346</v>
      </c>
      <c r="E291" s="47">
        <v>46077</v>
      </c>
      <c r="F291" s="25"/>
      <c r="G291" s="17" t="s">
        <v>95</v>
      </c>
    </row>
    <row r="292" spans="1:7" ht="39" customHeight="1">
      <c r="A292" s="47">
        <v>46077</v>
      </c>
      <c r="B292" s="25" t="s">
        <v>92</v>
      </c>
      <c r="C292" s="25" t="s">
        <v>120</v>
      </c>
      <c r="D292" s="25" t="s">
        <v>347</v>
      </c>
      <c r="E292" s="47">
        <v>46077</v>
      </c>
      <c r="F292" s="25"/>
      <c r="G292" s="17" t="s">
        <v>95</v>
      </c>
    </row>
    <row r="293" spans="1:7" ht="39" customHeight="1">
      <c r="A293" s="47">
        <v>46077</v>
      </c>
      <c r="B293" s="25" t="s">
        <v>92</v>
      </c>
      <c r="C293" s="25" t="s">
        <v>120</v>
      </c>
      <c r="D293" s="25" t="s">
        <v>348</v>
      </c>
      <c r="E293" s="47">
        <v>46077</v>
      </c>
      <c r="F293" s="25"/>
      <c r="G293" s="17" t="s">
        <v>95</v>
      </c>
    </row>
    <row r="294" spans="1:7" ht="39" customHeight="1">
      <c r="A294" s="47">
        <v>46077</v>
      </c>
      <c r="B294" s="25" t="s">
        <v>92</v>
      </c>
      <c r="C294" s="25" t="s">
        <v>120</v>
      </c>
      <c r="D294" s="25" t="s">
        <v>349</v>
      </c>
      <c r="E294" s="47">
        <v>46077</v>
      </c>
      <c r="F294" s="25"/>
      <c r="G294" s="17" t="s">
        <v>95</v>
      </c>
    </row>
    <row r="295" spans="1:7" ht="39" customHeight="1">
      <c r="A295" s="47">
        <v>46077</v>
      </c>
      <c r="B295" s="25" t="s">
        <v>92</v>
      </c>
      <c r="C295" s="25" t="s">
        <v>120</v>
      </c>
      <c r="D295" s="25" t="s">
        <v>350</v>
      </c>
      <c r="E295" s="47">
        <v>46077</v>
      </c>
      <c r="F295" s="25"/>
      <c r="G295" s="17" t="s">
        <v>95</v>
      </c>
    </row>
    <row r="296" spans="1:7" ht="39" customHeight="1">
      <c r="A296" s="47">
        <v>46078</v>
      </c>
      <c r="B296" s="25" t="s">
        <v>92</v>
      </c>
      <c r="C296" s="25" t="s">
        <v>120</v>
      </c>
      <c r="D296" s="25" t="s">
        <v>345</v>
      </c>
      <c r="E296" s="47">
        <v>46078</v>
      </c>
      <c r="F296" s="25"/>
      <c r="G296" s="17" t="s">
        <v>95</v>
      </c>
    </row>
    <row r="297" spans="1:7" ht="39" customHeight="1">
      <c r="A297" s="47">
        <v>46078</v>
      </c>
      <c r="B297" s="25" t="s">
        <v>92</v>
      </c>
      <c r="C297" s="25" t="s">
        <v>120</v>
      </c>
      <c r="D297" s="25" t="s">
        <v>337</v>
      </c>
      <c r="E297" s="47">
        <v>46078</v>
      </c>
      <c r="F297" s="25"/>
      <c r="G297" s="17" t="s">
        <v>95</v>
      </c>
    </row>
    <row r="298" spans="1:7" ht="39" customHeight="1">
      <c r="A298" s="47">
        <v>46078</v>
      </c>
      <c r="B298" s="25" t="s">
        <v>92</v>
      </c>
      <c r="C298" s="25" t="s">
        <v>120</v>
      </c>
      <c r="D298" s="25" t="s">
        <v>350</v>
      </c>
      <c r="E298" s="47">
        <v>46078</v>
      </c>
      <c r="F298" s="25"/>
      <c r="G298" s="17" t="s">
        <v>95</v>
      </c>
    </row>
    <row r="299" spans="1:7" ht="39" customHeight="1">
      <c r="A299" s="47">
        <v>46078</v>
      </c>
      <c r="B299" s="25" t="s">
        <v>92</v>
      </c>
      <c r="C299" s="25" t="s">
        <v>120</v>
      </c>
      <c r="D299" s="25" t="s">
        <v>349</v>
      </c>
      <c r="E299" s="47">
        <v>46078</v>
      </c>
      <c r="F299" s="25"/>
      <c r="G299" s="17" t="s">
        <v>95</v>
      </c>
    </row>
    <row r="300" spans="1:7" ht="39" customHeight="1">
      <c r="A300" s="47">
        <v>46078</v>
      </c>
      <c r="B300" s="25" t="s">
        <v>92</v>
      </c>
      <c r="C300" s="25" t="s">
        <v>120</v>
      </c>
      <c r="D300" s="25" t="s">
        <v>351</v>
      </c>
      <c r="E300" s="47">
        <v>46078</v>
      </c>
      <c r="F300" s="25"/>
      <c r="G300" s="17" t="s">
        <v>95</v>
      </c>
    </row>
    <row r="301" spans="1:7" ht="39" customHeight="1">
      <c r="A301" s="47">
        <v>46078</v>
      </c>
      <c r="B301" s="25" t="s">
        <v>92</v>
      </c>
      <c r="C301" s="25" t="s">
        <v>120</v>
      </c>
      <c r="D301" s="25" t="s">
        <v>347</v>
      </c>
      <c r="E301" s="47">
        <v>46078</v>
      </c>
      <c r="F301" s="25"/>
      <c r="G301" s="17" t="s">
        <v>95</v>
      </c>
    </row>
    <row r="302" spans="1:7" ht="39" customHeight="1">
      <c r="A302" s="52">
        <v>46079</v>
      </c>
      <c r="B302" s="53" t="s">
        <v>92</v>
      </c>
      <c r="C302" s="53" t="s">
        <v>96</v>
      </c>
      <c r="D302" s="53" t="s">
        <v>345</v>
      </c>
      <c r="E302" s="52">
        <v>46079</v>
      </c>
      <c r="F302" s="26" t="s">
        <v>175</v>
      </c>
      <c r="G302" s="17" t="s">
        <v>352</v>
      </c>
    </row>
    <row r="303" spans="1:7" ht="39" customHeight="1">
      <c r="A303" s="52">
        <v>46079</v>
      </c>
      <c r="B303" s="53" t="s">
        <v>92</v>
      </c>
      <c r="C303" s="53" t="s">
        <v>96</v>
      </c>
      <c r="D303" s="53" t="s">
        <v>349</v>
      </c>
      <c r="E303" s="52">
        <v>46079</v>
      </c>
      <c r="F303" s="26" t="s">
        <v>175</v>
      </c>
      <c r="G303" s="17" t="s">
        <v>353</v>
      </c>
    </row>
    <row r="304" spans="1:7" ht="39" customHeight="1">
      <c r="A304" s="52">
        <v>46079</v>
      </c>
      <c r="B304" s="53" t="s">
        <v>92</v>
      </c>
      <c r="C304" s="53" t="s">
        <v>96</v>
      </c>
      <c r="D304" s="53" t="s">
        <v>348</v>
      </c>
      <c r="E304" s="52">
        <v>46079</v>
      </c>
      <c r="F304" s="26" t="s">
        <v>175</v>
      </c>
      <c r="G304" s="17" t="s">
        <v>354</v>
      </c>
    </row>
    <row r="305" spans="1:7" ht="39" customHeight="1">
      <c r="A305" s="52">
        <v>46079</v>
      </c>
      <c r="B305" s="53" t="s">
        <v>92</v>
      </c>
      <c r="C305" s="53" t="s">
        <v>96</v>
      </c>
      <c r="D305" s="53" t="s">
        <v>346</v>
      </c>
      <c r="E305" s="52">
        <v>46079</v>
      </c>
      <c r="F305" s="26" t="s">
        <v>175</v>
      </c>
      <c r="G305" s="17" t="s">
        <v>355</v>
      </c>
    </row>
    <row r="306" spans="1:7" ht="39" customHeight="1">
      <c r="A306" s="52">
        <v>46079</v>
      </c>
      <c r="B306" s="53" t="s">
        <v>92</v>
      </c>
      <c r="C306" s="53" t="s">
        <v>96</v>
      </c>
      <c r="D306" s="53" t="s">
        <v>350</v>
      </c>
      <c r="E306" s="52">
        <v>46079</v>
      </c>
      <c r="F306" s="26" t="s">
        <v>175</v>
      </c>
      <c r="G306" s="17" t="s">
        <v>356</v>
      </c>
    </row>
    <row r="307" spans="1:7" ht="39" customHeight="1">
      <c r="A307" s="52">
        <v>46079</v>
      </c>
      <c r="B307" s="53" t="s">
        <v>92</v>
      </c>
      <c r="C307" s="53" t="s">
        <v>357</v>
      </c>
      <c r="D307" s="53" t="s">
        <v>348</v>
      </c>
      <c r="E307" s="52">
        <v>46080</v>
      </c>
      <c r="F307" s="26" t="s">
        <v>175</v>
      </c>
      <c r="G307" s="17" t="s">
        <v>358</v>
      </c>
    </row>
    <row r="308" spans="1:7" ht="39" customHeight="1">
      <c r="A308" s="52">
        <v>46079</v>
      </c>
      <c r="B308" s="53" t="s">
        <v>92</v>
      </c>
      <c r="C308" s="53" t="s">
        <v>69</v>
      </c>
      <c r="D308" s="53" t="s">
        <v>280</v>
      </c>
      <c r="E308" s="52">
        <v>46079</v>
      </c>
      <c r="F308" s="26" t="s">
        <v>175</v>
      </c>
      <c r="G308" s="17" t="s">
        <v>359</v>
      </c>
    </row>
    <row r="309" spans="1:7" ht="39" customHeight="1">
      <c r="A309" s="52">
        <v>46079</v>
      </c>
      <c r="B309" s="53" t="s">
        <v>92</v>
      </c>
      <c r="C309" s="53" t="s">
        <v>360</v>
      </c>
      <c r="D309" s="53" t="s">
        <v>349</v>
      </c>
      <c r="E309" s="52">
        <v>46079</v>
      </c>
      <c r="F309" s="25" t="s">
        <v>175</v>
      </c>
    </row>
    <row r="310" spans="1:7" ht="39" customHeight="1">
      <c r="A310" s="52">
        <v>46079</v>
      </c>
      <c r="B310" s="53" t="s">
        <v>92</v>
      </c>
      <c r="C310" s="53" t="s">
        <v>360</v>
      </c>
      <c r="D310" s="53" t="s">
        <v>361</v>
      </c>
      <c r="E310" s="52">
        <v>46079</v>
      </c>
      <c r="F310" s="25" t="s">
        <v>175</v>
      </c>
    </row>
    <row r="311" spans="1:7" ht="39" customHeight="1">
      <c r="A311" s="52">
        <v>46079</v>
      </c>
      <c r="B311" s="53" t="s">
        <v>92</v>
      </c>
      <c r="C311" s="53" t="s">
        <v>360</v>
      </c>
      <c r="D311" s="53" t="s">
        <v>337</v>
      </c>
      <c r="E311" s="52">
        <v>46079</v>
      </c>
      <c r="F311" s="25" t="s">
        <v>175</v>
      </c>
    </row>
    <row r="312" spans="1:7" ht="39" customHeight="1">
      <c r="A312" s="52">
        <v>46079</v>
      </c>
      <c r="B312" s="53" t="s">
        <v>92</v>
      </c>
      <c r="C312" s="53" t="s">
        <v>360</v>
      </c>
      <c r="D312" s="53" t="s">
        <v>348</v>
      </c>
      <c r="E312" s="52">
        <v>46079</v>
      </c>
      <c r="F312" s="25" t="s">
        <v>175</v>
      </c>
    </row>
    <row r="313" spans="1:7" ht="39" customHeight="1">
      <c r="A313" s="52">
        <v>46079</v>
      </c>
      <c r="B313" s="53" t="s">
        <v>92</v>
      </c>
      <c r="C313" s="53" t="s">
        <v>360</v>
      </c>
      <c r="D313" s="53" t="s">
        <v>345</v>
      </c>
      <c r="E313" s="52">
        <v>46079</v>
      </c>
      <c r="F313" s="25" t="s">
        <v>175</v>
      </c>
    </row>
    <row r="314" spans="1:7" ht="39" customHeight="1">
      <c r="A314" s="52">
        <v>46079</v>
      </c>
      <c r="B314" s="53" t="s">
        <v>92</v>
      </c>
      <c r="C314" s="53" t="s">
        <v>360</v>
      </c>
      <c r="D314" s="53" t="s">
        <v>335</v>
      </c>
      <c r="E314" s="52">
        <v>46079</v>
      </c>
      <c r="F314" s="25" t="s">
        <v>175</v>
      </c>
    </row>
    <row r="315" spans="1:7" ht="39" customHeight="1">
      <c r="A315" s="52">
        <v>46079</v>
      </c>
      <c r="B315" s="53" t="s">
        <v>92</v>
      </c>
      <c r="C315" s="53" t="s">
        <v>360</v>
      </c>
      <c r="D315" s="53" t="s">
        <v>350</v>
      </c>
      <c r="E315" s="52">
        <v>46079</v>
      </c>
      <c r="F315" s="25" t="s">
        <v>175</v>
      </c>
    </row>
    <row r="316" spans="1:7" ht="39" customHeight="1">
      <c r="A316" s="52">
        <v>46079</v>
      </c>
      <c r="B316" s="53" t="s">
        <v>92</v>
      </c>
      <c r="C316" s="53" t="s">
        <v>360</v>
      </c>
      <c r="D316" s="53" t="s">
        <v>346</v>
      </c>
      <c r="E316" s="52">
        <v>46079</v>
      </c>
      <c r="F316" s="25" t="s">
        <v>175</v>
      </c>
    </row>
    <row r="317" spans="1:7" ht="39" customHeight="1">
      <c r="A317" s="52">
        <v>46080</v>
      </c>
      <c r="B317" s="53" t="s">
        <v>92</v>
      </c>
      <c r="C317" s="53" t="s">
        <v>73</v>
      </c>
      <c r="D317" s="53" t="s">
        <v>349</v>
      </c>
      <c r="E317" s="52">
        <v>46080</v>
      </c>
      <c r="F317" s="25" t="s">
        <v>175</v>
      </c>
    </row>
    <row r="318" spans="1:7" ht="39" customHeight="1">
      <c r="A318" s="52">
        <v>46080</v>
      </c>
      <c r="B318" s="53" t="s">
        <v>92</v>
      </c>
      <c r="C318" s="53" t="s">
        <v>73</v>
      </c>
      <c r="D318" s="53" t="s">
        <v>350</v>
      </c>
      <c r="E318" s="52">
        <v>46080</v>
      </c>
      <c r="F318" s="25" t="s">
        <v>175</v>
      </c>
    </row>
    <row r="319" spans="1:7" ht="39" customHeight="1">
      <c r="A319" s="52">
        <v>46080</v>
      </c>
      <c r="B319" s="53" t="s">
        <v>92</v>
      </c>
      <c r="C319" s="53" t="s">
        <v>73</v>
      </c>
      <c r="D319" s="53" t="s">
        <v>337</v>
      </c>
      <c r="E319" s="52">
        <v>46080</v>
      </c>
      <c r="F319" s="25" t="s">
        <v>175</v>
      </c>
    </row>
    <row r="320" spans="1:7" ht="39" customHeight="1">
      <c r="A320" s="52">
        <v>46080</v>
      </c>
      <c r="B320" s="53" t="s">
        <v>92</v>
      </c>
      <c r="C320" s="53" t="s">
        <v>73</v>
      </c>
      <c r="D320" s="53" t="s">
        <v>345</v>
      </c>
      <c r="E320" s="52">
        <v>46080</v>
      </c>
      <c r="F320" s="25" t="s">
        <v>175</v>
      </c>
    </row>
    <row r="321" spans="1:6" ht="39" customHeight="1">
      <c r="A321" s="52">
        <v>46080</v>
      </c>
      <c r="B321" s="53" t="s">
        <v>92</v>
      </c>
      <c r="C321" s="53" t="s">
        <v>73</v>
      </c>
      <c r="D321" s="53" t="s">
        <v>341</v>
      </c>
      <c r="E321" s="52">
        <v>46080</v>
      </c>
      <c r="F321" s="25" t="s">
        <v>175</v>
      </c>
    </row>
    <row r="322" spans="1:6" ht="39" customHeight="1">
      <c r="A322" s="52">
        <v>46080</v>
      </c>
      <c r="B322" s="53" t="s">
        <v>92</v>
      </c>
      <c r="C322" s="53" t="s">
        <v>73</v>
      </c>
      <c r="D322" s="53" t="s">
        <v>219</v>
      </c>
      <c r="E322" s="52">
        <v>46080</v>
      </c>
      <c r="F322" s="25" t="s">
        <v>175</v>
      </c>
    </row>
    <row r="323" spans="1:6" ht="39" customHeight="1">
      <c r="A323" s="47">
        <v>46080</v>
      </c>
      <c r="B323" s="25" t="s">
        <v>92</v>
      </c>
      <c r="C323" s="25" t="s">
        <v>73</v>
      </c>
      <c r="D323" s="25" t="s">
        <v>362</v>
      </c>
      <c r="E323" s="47">
        <v>46080</v>
      </c>
      <c r="F323" s="24" t="s">
        <v>98</v>
      </c>
    </row>
    <row r="324" spans="1:6" ht="39" customHeight="1">
      <c r="A324" s="47">
        <v>46080</v>
      </c>
      <c r="B324" s="25" t="s">
        <v>92</v>
      </c>
      <c r="C324" s="25" t="s">
        <v>223</v>
      </c>
      <c r="D324" s="25" t="s">
        <v>184</v>
      </c>
      <c r="E324" s="47">
        <v>46080</v>
      </c>
      <c r="F324" s="25"/>
    </row>
    <row r="325" spans="1:6" ht="39" customHeight="1">
      <c r="A325" s="47">
        <v>46080</v>
      </c>
      <c r="B325" s="25" t="s">
        <v>92</v>
      </c>
      <c r="C325" s="25" t="s">
        <v>223</v>
      </c>
      <c r="D325" s="25" t="s">
        <v>244</v>
      </c>
      <c r="E325" s="47">
        <v>46080</v>
      </c>
      <c r="F325" s="25"/>
    </row>
    <row r="326" spans="1:6" ht="39" customHeight="1">
      <c r="A326" s="47">
        <v>46080</v>
      </c>
      <c r="B326" s="25" t="s">
        <v>92</v>
      </c>
      <c r="C326" s="25" t="s">
        <v>73</v>
      </c>
      <c r="D326" s="25" t="s">
        <v>363</v>
      </c>
      <c r="E326" s="47">
        <v>46080</v>
      </c>
      <c r="F326" s="24" t="s">
        <v>98</v>
      </c>
    </row>
    <row r="327" spans="1:6" ht="39" customHeight="1">
      <c r="A327" s="52">
        <v>46080</v>
      </c>
      <c r="B327" s="53" t="s">
        <v>92</v>
      </c>
      <c r="C327" s="53" t="s">
        <v>73</v>
      </c>
      <c r="D327" s="53" t="s">
        <v>346</v>
      </c>
      <c r="E327" s="52">
        <v>46080</v>
      </c>
      <c r="F327" s="25" t="s">
        <v>175</v>
      </c>
    </row>
    <row r="328" spans="1:6" ht="39" customHeight="1">
      <c r="A328" s="52">
        <v>46080</v>
      </c>
      <c r="B328" s="53" t="s">
        <v>92</v>
      </c>
      <c r="C328" s="53" t="s">
        <v>73</v>
      </c>
      <c r="D328" s="53" t="s">
        <v>347</v>
      </c>
      <c r="E328" s="52">
        <v>46080</v>
      </c>
      <c r="F328" s="25" t="s">
        <v>175</v>
      </c>
    </row>
    <row r="329" spans="1:6" ht="39" customHeight="1">
      <c r="A329" s="52">
        <v>46080</v>
      </c>
      <c r="B329" s="53" t="s">
        <v>92</v>
      </c>
      <c r="C329" s="53" t="s">
        <v>73</v>
      </c>
      <c r="D329" s="53" t="s">
        <v>348</v>
      </c>
      <c r="E329" s="52">
        <v>46080</v>
      </c>
      <c r="F329" s="25" t="s">
        <v>175</v>
      </c>
    </row>
    <row r="330" spans="1:6" ht="39" customHeight="1">
      <c r="A330" s="47">
        <v>46080</v>
      </c>
      <c r="B330" s="25" t="s">
        <v>92</v>
      </c>
      <c r="C330" s="25" t="s">
        <v>72</v>
      </c>
      <c r="D330" s="25" t="s">
        <v>364</v>
      </c>
      <c r="E330" s="47">
        <v>46073</v>
      </c>
      <c r="F330" s="24" t="s">
        <v>98</v>
      </c>
    </row>
    <row r="331" spans="1:6" ht="39" customHeight="1">
      <c r="A331" s="47">
        <v>46080</v>
      </c>
      <c r="B331" s="25" t="s">
        <v>92</v>
      </c>
      <c r="C331" s="25" t="s">
        <v>72</v>
      </c>
      <c r="D331" s="25" t="s">
        <v>182</v>
      </c>
      <c r="E331" s="47">
        <v>46073</v>
      </c>
      <c r="F331" s="24" t="s">
        <v>98</v>
      </c>
    </row>
    <row r="332" spans="1:6" ht="39" customHeight="1">
      <c r="A332" s="47">
        <v>46080</v>
      </c>
      <c r="B332" s="25" t="s">
        <v>92</v>
      </c>
      <c r="C332" s="25" t="s">
        <v>72</v>
      </c>
      <c r="D332" s="25" t="s">
        <v>289</v>
      </c>
      <c r="E332" s="47">
        <v>46073</v>
      </c>
      <c r="F332" s="24" t="s">
        <v>98</v>
      </c>
    </row>
    <row r="333" spans="1:6" ht="39" customHeight="1">
      <c r="A333" s="47">
        <v>46083</v>
      </c>
      <c r="B333" s="25" t="s">
        <v>92</v>
      </c>
      <c r="C333" s="25" t="s">
        <v>72</v>
      </c>
      <c r="D333" s="25" t="s">
        <v>365</v>
      </c>
      <c r="E333" s="47">
        <v>46083</v>
      </c>
      <c r="F333" s="24" t="s">
        <v>98</v>
      </c>
    </row>
    <row r="334" spans="1:6" ht="39" customHeight="1">
      <c r="A334" s="25" t="s">
        <v>366</v>
      </c>
      <c r="B334" s="25" t="s">
        <v>92</v>
      </c>
      <c r="C334" s="25" t="s">
        <v>93</v>
      </c>
      <c r="D334" s="25" t="s">
        <v>144</v>
      </c>
      <c r="E334" s="25" t="s">
        <v>366</v>
      </c>
      <c r="F334" s="25"/>
    </row>
    <row r="335" spans="1:6" ht="39" customHeight="1">
      <c r="A335" s="25" t="s">
        <v>366</v>
      </c>
      <c r="B335" s="25" t="s">
        <v>92</v>
      </c>
      <c r="C335" s="25" t="s">
        <v>93</v>
      </c>
      <c r="D335" s="25" t="s">
        <v>367</v>
      </c>
      <c r="E335" s="25" t="s">
        <v>366</v>
      </c>
      <c r="F335" s="25"/>
    </row>
    <row r="336" spans="1:6" ht="39" customHeight="1">
      <c r="A336" s="25" t="s">
        <v>366</v>
      </c>
      <c r="B336" s="25" t="s">
        <v>92</v>
      </c>
      <c r="C336" s="25" t="s">
        <v>93</v>
      </c>
      <c r="D336" s="25" t="s">
        <v>368</v>
      </c>
      <c r="E336" s="25" t="s">
        <v>366</v>
      </c>
      <c r="F336" s="25"/>
    </row>
    <row r="337" spans="1:6" ht="39" customHeight="1">
      <c r="A337" s="25" t="s">
        <v>366</v>
      </c>
      <c r="B337" s="25" t="s">
        <v>92</v>
      </c>
      <c r="C337" s="25" t="s">
        <v>93</v>
      </c>
      <c r="D337" s="25" t="s">
        <v>148</v>
      </c>
      <c r="E337" s="25" t="s">
        <v>366</v>
      </c>
      <c r="F337" s="25"/>
    </row>
    <row r="338" spans="1:6" ht="39" customHeight="1">
      <c r="A338" s="25" t="s">
        <v>366</v>
      </c>
      <c r="B338" s="25" t="s">
        <v>92</v>
      </c>
      <c r="C338" s="25" t="s">
        <v>369</v>
      </c>
      <c r="D338" s="25" t="s">
        <v>171</v>
      </c>
      <c r="E338" s="25" t="s">
        <v>366</v>
      </c>
      <c r="F338" s="25"/>
    </row>
    <row r="339" spans="1:6" ht="39" customHeight="1">
      <c r="A339" s="25" t="s">
        <v>366</v>
      </c>
      <c r="B339" s="25" t="s">
        <v>92</v>
      </c>
      <c r="C339" s="25" t="s">
        <v>93</v>
      </c>
      <c r="D339" s="25" t="s">
        <v>236</v>
      </c>
      <c r="E339" s="25" t="s">
        <v>366</v>
      </c>
      <c r="F339" s="25"/>
    </row>
    <row r="340" spans="1:6" ht="39" customHeight="1">
      <c r="A340" s="25" t="s">
        <v>366</v>
      </c>
      <c r="B340" s="25" t="s">
        <v>92</v>
      </c>
      <c r="C340" s="25" t="s">
        <v>93</v>
      </c>
      <c r="D340" s="25" t="s">
        <v>104</v>
      </c>
      <c r="E340" s="25" t="s">
        <v>366</v>
      </c>
      <c r="F340" s="25"/>
    </row>
    <row r="341" spans="1:6" ht="39" customHeight="1">
      <c r="A341" s="25" t="s">
        <v>366</v>
      </c>
      <c r="B341" s="25" t="s">
        <v>92</v>
      </c>
      <c r="C341" s="25" t="s">
        <v>93</v>
      </c>
      <c r="D341" s="25" t="s">
        <v>329</v>
      </c>
      <c r="E341" s="25" t="s">
        <v>366</v>
      </c>
      <c r="F341" s="25"/>
    </row>
    <row r="342" spans="1:6" ht="39" customHeight="1">
      <c r="A342" s="25" t="s">
        <v>366</v>
      </c>
      <c r="B342" s="25" t="s">
        <v>92</v>
      </c>
      <c r="C342" s="25" t="s">
        <v>93</v>
      </c>
      <c r="D342" s="25" t="s">
        <v>370</v>
      </c>
      <c r="E342" s="25" t="s">
        <v>366</v>
      </c>
      <c r="F342" s="25"/>
    </row>
    <row r="343" spans="1:6" ht="39" customHeight="1">
      <c r="A343" s="25" t="s">
        <v>366</v>
      </c>
      <c r="B343" s="25" t="s">
        <v>92</v>
      </c>
      <c r="C343" s="25" t="s">
        <v>93</v>
      </c>
      <c r="D343" s="25" t="s">
        <v>188</v>
      </c>
      <c r="E343" s="25" t="s">
        <v>366</v>
      </c>
      <c r="F343" s="25"/>
    </row>
    <row r="344" spans="1:6" ht="39" customHeight="1">
      <c r="A344" s="25" t="s">
        <v>366</v>
      </c>
      <c r="B344" s="25" t="s">
        <v>92</v>
      </c>
      <c r="C344" s="25" t="s">
        <v>93</v>
      </c>
      <c r="D344" s="25" t="s">
        <v>371</v>
      </c>
      <c r="E344" s="25" t="s">
        <v>366</v>
      </c>
      <c r="F344" s="25"/>
    </row>
    <row r="345" spans="1:6" ht="39" customHeight="1">
      <c r="A345" s="53" t="s">
        <v>372</v>
      </c>
      <c r="B345" s="53" t="s">
        <v>92</v>
      </c>
      <c r="C345" s="53" t="s">
        <v>96</v>
      </c>
      <c r="D345" s="53" t="s">
        <v>373</v>
      </c>
      <c r="E345" s="53" t="s">
        <v>372</v>
      </c>
      <c r="F345" s="25" t="s">
        <v>175</v>
      </c>
    </row>
    <row r="346" spans="1:6" ht="39" customHeight="1">
      <c r="A346" s="25" t="s">
        <v>372</v>
      </c>
      <c r="B346" s="25" t="s">
        <v>92</v>
      </c>
      <c r="C346" s="25" t="s">
        <v>96</v>
      </c>
      <c r="D346" s="25" t="s">
        <v>374</v>
      </c>
      <c r="E346" s="25" t="s">
        <v>372</v>
      </c>
      <c r="F346" s="24" t="s">
        <v>98</v>
      </c>
    </row>
    <row r="347" spans="1:6" ht="39" customHeight="1">
      <c r="A347" s="53" t="s">
        <v>372</v>
      </c>
      <c r="B347" s="53" t="s">
        <v>92</v>
      </c>
      <c r="C347" s="53" t="s">
        <v>96</v>
      </c>
      <c r="D347" s="53" t="s">
        <v>375</v>
      </c>
      <c r="E347" s="53" t="s">
        <v>372</v>
      </c>
      <c r="F347" s="25" t="s">
        <v>175</v>
      </c>
    </row>
    <row r="348" spans="1:6" ht="39" customHeight="1">
      <c r="A348" s="25" t="s">
        <v>372</v>
      </c>
      <c r="B348" s="25" t="s">
        <v>92</v>
      </c>
      <c r="C348" s="25" t="s">
        <v>96</v>
      </c>
      <c r="D348" s="25" t="s">
        <v>376</v>
      </c>
      <c r="E348" s="25" t="s">
        <v>372</v>
      </c>
      <c r="F348" s="24" t="s">
        <v>98</v>
      </c>
    </row>
    <row r="349" spans="1:6" ht="39" customHeight="1">
      <c r="A349" s="53" t="s">
        <v>372</v>
      </c>
      <c r="B349" s="53" t="s">
        <v>92</v>
      </c>
      <c r="C349" s="53" t="s">
        <v>96</v>
      </c>
      <c r="D349" s="53" t="s">
        <v>377</v>
      </c>
      <c r="E349" s="53" t="s">
        <v>372</v>
      </c>
      <c r="F349" s="77" t="s">
        <v>175</v>
      </c>
    </row>
    <row r="350" spans="1:6" ht="39" customHeight="1">
      <c r="A350" s="25" t="s">
        <v>372</v>
      </c>
      <c r="B350" s="25" t="s">
        <v>92</v>
      </c>
      <c r="C350" s="25" t="s">
        <v>96</v>
      </c>
      <c r="D350" s="25" t="s">
        <v>367</v>
      </c>
      <c r="E350" s="25" t="s">
        <v>372</v>
      </c>
      <c r="F350" s="24" t="s">
        <v>98</v>
      </c>
    </row>
    <row r="351" spans="1:6" ht="39" customHeight="1">
      <c r="A351" s="25" t="s">
        <v>372</v>
      </c>
      <c r="B351" s="25" t="s">
        <v>92</v>
      </c>
      <c r="C351" s="25" t="s">
        <v>96</v>
      </c>
      <c r="D351" s="25" t="s">
        <v>378</v>
      </c>
      <c r="E351" s="25" t="s">
        <v>372</v>
      </c>
      <c r="F351" s="24" t="s">
        <v>98</v>
      </c>
    </row>
    <row r="352" spans="1:6" ht="39" customHeight="1">
      <c r="A352" s="25" t="s">
        <v>372</v>
      </c>
      <c r="B352" s="25" t="s">
        <v>92</v>
      </c>
      <c r="C352" s="25" t="s">
        <v>96</v>
      </c>
      <c r="D352" s="25" t="s">
        <v>379</v>
      </c>
      <c r="E352" s="25" t="s">
        <v>372</v>
      </c>
      <c r="F352" s="24" t="s">
        <v>98</v>
      </c>
    </row>
    <row r="353" spans="1:6" ht="39" customHeight="1">
      <c r="A353" s="52">
        <v>46087</v>
      </c>
      <c r="B353" s="53" t="s">
        <v>92</v>
      </c>
      <c r="C353" s="53" t="s">
        <v>96</v>
      </c>
      <c r="D353" s="53" t="s">
        <v>345</v>
      </c>
      <c r="E353" s="52">
        <v>46079</v>
      </c>
      <c r="F353" s="25" t="s">
        <v>175</v>
      </c>
    </row>
    <row r="354" spans="1:6" ht="39" customHeight="1">
      <c r="A354" s="52">
        <v>46087</v>
      </c>
      <c r="B354" s="53" t="s">
        <v>92</v>
      </c>
      <c r="C354" s="53" t="s">
        <v>96</v>
      </c>
      <c r="D354" s="53" t="s">
        <v>348</v>
      </c>
      <c r="E354" s="52">
        <v>46079</v>
      </c>
      <c r="F354" s="25" t="s">
        <v>175</v>
      </c>
    </row>
    <row r="355" spans="1:6" ht="39" customHeight="1">
      <c r="A355" s="52">
        <v>46087</v>
      </c>
      <c r="B355" s="53" t="s">
        <v>92</v>
      </c>
      <c r="C355" s="53" t="s">
        <v>96</v>
      </c>
      <c r="D355" s="53" t="s">
        <v>349</v>
      </c>
      <c r="E355" s="52">
        <v>46079</v>
      </c>
      <c r="F355" s="25" t="s">
        <v>175</v>
      </c>
    </row>
    <row r="356" spans="1:6" ht="39" customHeight="1">
      <c r="A356" s="52">
        <v>46087</v>
      </c>
      <c r="B356" s="53" t="s">
        <v>92</v>
      </c>
      <c r="C356" s="53" t="s">
        <v>96</v>
      </c>
      <c r="D356" s="53" t="s">
        <v>346</v>
      </c>
      <c r="E356" s="52">
        <v>46079</v>
      </c>
      <c r="F356" s="25" t="s">
        <v>175</v>
      </c>
    </row>
    <row r="357" spans="1:6" ht="39" customHeight="1">
      <c r="A357" s="52">
        <v>46087</v>
      </c>
      <c r="B357" s="53" t="s">
        <v>92</v>
      </c>
      <c r="C357" s="53" t="s">
        <v>96</v>
      </c>
      <c r="D357" s="53" t="s">
        <v>350</v>
      </c>
      <c r="E357" s="52">
        <v>46079</v>
      </c>
      <c r="F357" s="25" t="s">
        <v>175</v>
      </c>
    </row>
    <row r="358" spans="1:6" ht="39" customHeight="1">
      <c r="A358" s="52">
        <v>46087</v>
      </c>
      <c r="B358" s="53" t="s">
        <v>92</v>
      </c>
      <c r="C358" s="53" t="s">
        <v>96</v>
      </c>
      <c r="D358" s="53" t="s">
        <v>351</v>
      </c>
      <c r="E358" s="52">
        <v>46079</v>
      </c>
      <c r="F358" s="25" t="s">
        <v>175</v>
      </c>
    </row>
    <row r="359" spans="1:6" ht="39" customHeight="1">
      <c r="A359" s="53" t="s">
        <v>380</v>
      </c>
      <c r="B359" s="53" t="s">
        <v>92</v>
      </c>
      <c r="C359" s="53" t="s">
        <v>73</v>
      </c>
      <c r="D359" s="53" t="s">
        <v>349</v>
      </c>
      <c r="E359" s="53" t="s">
        <v>380</v>
      </c>
      <c r="F359" s="25" t="s">
        <v>175</v>
      </c>
    </row>
    <row r="360" spans="1:6" ht="39" customHeight="1">
      <c r="A360" s="53" t="s">
        <v>380</v>
      </c>
      <c r="B360" s="53" t="s">
        <v>92</v>
      </c>
      <c r="C360" s="53" t="s">
        <v>73</v>
      </c>
      <c r="D360" s="53" t="s">
        <v>350</v>
      </c>
      <c r="E360" s="53" t="s">
        <v>380</v>
      </c>
      <c r="F360" s="25" t="s">
        <v>175</v>
      </c>
    </row>
    <row r="361" spans="1:6" ht="39" customHeight="1">
      <c r="A361" s="53" t="s">
        <v>380</v>
      </c>
      <c r="B361" s="53" t="s">
        <v>92</v>
      </c>
      <c r="C361" s="53" t="s">
        <v>73</v>
      </c>
      <c r="D361" s="53" t="s">
        <v>337</v>
      </c>
      <c r="E361" s="53" t="s">
        <v>380</v>
      </c>
      <c r="F361" s="25" t="s">
        <v>175</v>
      </c>
    </row>
    <row r="362" spans="1:6" ht="39" customHeight="1">
      <c r="A362" s="53" t="s">
        <v>380</v>
      </c>
      <c r="B362" s="53" t="s">
        <v>92</v>
      </c>
      <c r="C362" s="53" t="s">
        <v>73</v>
      </c>
      <c r="D362" s="53" t="s">
        <v>345</v>
      </c>
      <c r="E362" s="53" t="s">
        <v>380</v>
      </c>
      <c r="F362" s="25" t="s">
        <v>175</v>
      </c>
    </row>
    <row r="363" spans="1:6" ht="39" customHeight="1">
      <c r="A363" s="53" t="s">
        <v>380</v>
      </c>
      <c r="B363" s="53" t="s">
        <v>92</v>
      </c>
      <c r="C363" s="53" t="s">
        <v>73</v>
      </c>
      <c r="D363" s="53" t="s">
        <v>341</v>
      </c>
      <c r="E363" s="53" t="s">
        <v>380</v>
      </c>
      <c r="F363" s="25" t="s">
        <v>175</v>
      </c>
    </row>
    <row r="364" spans="1:6" ht="39" customHeight="1">
      <c r="A364" s="53" t="s">
        <v>380</v>
      </c>
      <c r="B364" s="53" t="s">
        <v>92</v>
      </c>
      <c r="C364" s="53" t="s">
        <v>73</v>
      </c>
      <c r="D364" s="53" t="s">
        <v>219</v>
      </c>
      <c r="E364" s="53" t="s">
        <v>380</v>
      </c>
      <c r="F364" s="25" t="s">
        <v>175</v>
      </c>
    </row>
    <row r="365" spans="1:6" ht="39" customHeight="1">
      <c r="A365" s="25" t="s">
        <v>380</v>
      </c>
      <c r="B365" s="25" t="s">
        <v>92</v>
      </c>
      <c r="C365" s="25" t="s">
        <v>73</v>
      </c>
      <c r="D365" s="25" t="s">
        <v>362</v>
      </c>
      <c r="E365" s="25" t="s">
        <v>380</v>
      </c>
      <c r="F365" s="24" t="s">
        <v>98</v>
      </c>
    </row>
    <row r="366" spans="1:6" ht="39" customHeight="1">
      <c r="A366" s="25" t="s">
        <v>380</v>
      </c>
      <c r="B366" s="25" t="s">
        <v>92</v>
      </c>
      <c r="C366" s="25" t="s">
        <v>223</v>
      </c>
      <c r="D366" s="25" t="s">
        <v>184</v>
      </c>
      <c r="E366" s="25" t="s">
        <v>380</v>
      </c>
      <c r="F366" s="25"/>
    </row>
    <row r="367" spans="1:6" ht="39" customHeight="1">
      <c r="A367" s="25" t="s">
        <v>380</v>
      </c>
      <c r="B367" s="25" t="s">
        <v>92</v>
      </c>
      <c r="C367" s="25" t="s">
        <v>223</v>
      </c>
      <c r="D367" s="25" t="s">
        <v>244</v>
      </c>
      <c r="E367" s="25" t="s">
        <v>380</v>
      </c>
      <c r="F367" s="25"/>
    </row>
    <row r="368" spans="1:6" ht="39" customHeight="1">
      <c r="A368" s="25" t="s">
        <v>380</v>
      </c>
      <c r="B368" s="25" t="s">
        <v>92</v>
      </c>
      <c r="C368" s="25" t="s">
        <v>73</v>
      </c>
      <c r="D368" s="25" t="s">
        <v>363</v>
      </c>
      <c r="E368" s="25" t="s">
        <v>380</v>
      </c>
      <c r="F368" s="24" t="s">
        <v>98</v>
      </c>
    </row>
    <row r="369" spans="1:6" ht="39" customHeight="1">
      <c r="A369" s="53" t="s">
        <v>380</v>
      </c>
      <c r="B369" s="53" t="s">
        <v>92</v>
      </c>
      <c r="C369" s="53" t="s">
        <v>73</v>
      </c>
      <c r="D369" s="53" t="s">
        <v>346</v>
      </c>
      <c r="E369" s="53" t="s">
        <v>380</v>
      </c>
      <c r="F369" s="25" t="s">
        <v>175</v>
      </c>
    </row>
    <row r="370" spans="1:6" ht="39" customHeight="1">
      <c r="A370" s="25" t="s">
        <v>380</v>
      </c>
      <c r="B370" s="25" t="s">
        <v>92</v>
      </c>
      <c r="C370" s="25" t="s">
        <v>73</v>
      </c>
      <c r="D370" s="25" t="s">
        <v>347</v>
      </c>
      <c r="E370" s="25" t="s">
        <v>380</v>
      </c>
      <c r="F370" s="24" t="s">
        <v>98</v>
      </c>
    </row>
    <row r="371" spans="1:6" ht="39" customHeight="1">
      <c r="A371" s="53" t="s">
        <v>380</v>
      </c>
      <c r="B371" s="53" t="s">
        <v>92</v>
      </c>
      <c r="C371" s="53" t="s">
        <v>73</v>
      </c>
      <c r="D371" s="53" t="s">
        <v>348</v>
      </c>
      <c r="E371" s="53" t="s">
        <v>380</v>
      </c>
      <c r="F371" s="25" t="s">
        <v>175</v>
      </c>
    </row>
    <row r="372" spans="1:6" ht="39" customHeight="1">
      <c r="A372" s="25" t="s">
        <v>366</v>
      </c>
      <c r="B372" s="25" t="s">
        <v>92</v>
      </c>
      <c r="C372" s="25" t="s">
        <v>93</v>
      </c>
      <c r="D372" s="25" t="s">
        <v>144</v>
      </c>
      <c r="E372" s="25" t="s">
        <v>366</v>
      </c>
      <c r="F372" s="25"/>
    </row>
    <row r="373" spans="1:6" ht="39" customHeight="1">
      <c r="A373" s="25" t="s">
        <v>366</v>
      </c>
      <c r="B373" s="25" t="s">
        <v>92</v>
      </c>
      <c r="C373" s="25" t="s">
        <v>93</v>
      </c>
      <c r="D373" s="25" t="s">
        <v>367</v>
      </c>
      <c r="E373" s="25" t="s">
        <v>366</v>
      </c>
      <c r="F373" s="25"/>
    </row>
    <row r="374" spans="1:6" ht="39" customHeight="1">
      <c r="A374" s="25" t="s">
        <v>366</v>
      </c>
      <c r="B374" s="25" t="s">
        <v>92</v>
      </c>
      <c r="C374" s="25" t="s">
        <v>93</v>
      </c>
      <c r="D374" s="25" t="s">
        <v>368</v>
      </c>
      <c r="E374" s="25" t="s">
        <v>366</v>
      </c>
      <c r="F374" s="25"/>
    </row>
    <row r="375" spans="1:6" ht="39" customHeight="1">
      <c r="A375" s="25" t="s">
        <v>366</v>
      </c>
      <c r="B375" s="25" t="s">
        <v>92</v>
      </c>
      <c r="C375" s="25" t="s">
        <v>93</v>
      </c>
      <c r="D375" s="25" t="s">
        <v>148</v>
      </c>
      <c r="E375" s="25" t="s">
        <v>366</v>
      </c>
      <c r="F375" s="25"/>
    </row>
    <row r="376" spans="1:6" ht="39" customHeight="1">
      <c r="A376" s="25" t="s">
        <v>366</v>
      </c>
      <c r="B376" s="25" t="s">
        <v>92</v>
      </c>
      <c r="C376" s="25" t="s">
        <v>369</v>
      </c>
      <c r="D376" s="25" t="s">
        <v>171</v>
      </c>
      <c r="E376" s="25" t="s">
        <v>366</v>
      </c>
      <c r="F376" s="25"/>
    </row>
    <row r="377" spans="1:6" ht="39" customHeight="1">
      <c r="A377" s="25" t="s">
        <v>366</v>
      </c>
      <c r="B377" s="25" t="s">
        <v>92</v>
      </c>
      <c r="C377" s="25" t="s">
        <v>93</v>
      </c>
      <c r="D377" s="25" t="s">
        <v>236</v>
      </c>
      <c r="E377" s="25" t="s">
        <v>366</v>
      </c>
      <c r="F377" s="25"/>
    </row>
    <row r="378" spans="1:6" ht="39" customHeight="1">
      <c r="A378" s="25" t="s">
        <v>366</v>
      </c>
      <c r="B378" s="25" t="s">
        <v>92</v>
      </c>
      <c r="C378" s="25" t="s">
        <v>93</v>
      </c>
      <c r="D378" s="25" t="s">
        <v>104</v>
      </c>
      <c r="E378" s="25" t="s">
        <v>366</v>
      </c>
      <c r="F378" s="25"/>
    </row>
    <row r="379" spans="1:6" ht="39" customHeight="1">
      <c r="A379" s="25" t="s">
        <v>366</v>
      </c>
      <c r="B379" s="25" t="s">
        <v>92</v>
      </c>
      <c r="C379" s="25" t="s">
        <v>93</v>
      </c>
      <c r="D379" s="25" t="s">
        <v>329</v>
      </c>
      <c r="E379" s="25" t="s">
        <v>366</v>
      </c>
      <c r="F379" s="25"/>
    </row>
    <row r="380" spans="1:6" ht="39" customHeight="1">
      <c r="A380" s="25" t="s">
        <v>366</v>
      </c>
      <c r="B380" s="25" t="s">
        <v>92</v>
      </c>
      <c r="C380" s="25" t="s">
        <v>93</v>
      </c>
      <c r="D380" s="25" t="s">
        <v>370</v>
      </c>
      <c r="E380" s="25" t="s">
        <v>366</v>
      </c>
      <c r="F380" s="25"/>
    </row>
    <row r="381" spans="1:6" ht="39" customHeight="1">
      <c r="A381" s="25" t="s">
        <v>366</v>
      </c>
      <c r="B381" s="25" t="s">
        <v>92</v>
      </c>
      <c r="C381" s="25" t="s">
        <v>93</v>
      </c>
      <c r="D381" s="25" t="s">
        <v>188</v>
      </c>
      <c r="E381" s="25" t="s">
        <v>366</v>
      </c>
      <c r="F381" s="25"/>
    </row>
    <row r="382" spans="1:6" ht="39" customHeight="1">
      <c r="A382" s="25" t="s">
        <v>366</v>
      </c>
      <c r="B382" s="25" t="s">
        <v>92</v>
      </c>
      <c r="C382" s="25" t="s">
        <v>93</v>
      </c>
      <c r="D382" s="25" t="s">
        <v>371</v>
      </c>
      <c r="E382" s="25" t="s">
        <v>366</v>
      </c>
      <c r="F382" s="25"/>
    </row>
    <row r="383" spans="1:6" ht="39" customHeight="1">
      <c r="A383" s="53" t="s">
        <v>372</v>
      </c>
      <c r="B383" s="53" t="s">
        <v>92</v>
      </c>
      <c r="C383" s="53" t="s">
        <v>96</v>
      </c>
      <c r="D383" s="53" t="s">
        <v>373</v>
      </c>
      <c r="E383" s="53" t="s">
        <v>372</v>
      </c>
      <c r="F383" s="25" t="s">
        <v>175</v>
      </c>
    </row>
    <row r="384" spans="1:6" ht="39" customHeight="1">
      <c r="A384" s="25" t="s">
        <v>372</v>
      </c>
      <c r="B384" s="25" t="s">
        <v>92</v>
      </c>
      <c r="C384" s="25" t="s">
        <v>96</v>
      </c>
      <c r="D384" s="25" t="s">
        <v>374</v>
      </c>
      <c r="E384" s="25" t="s">
        <v>372</v>
      </c>
      <c r="F384" s="24" t="s">
        <v>98</v>
      </c>
    </row>
    <row r="385" spans="1:6" ht="39" customHeight="1">
      <c r="A385" s="53" t="s">
        <v>372</v>
      </c>
      <c r="B385" s="53" t="s">
        <v>92</v>
      </c>
      <c r="C385" s="53" t="s">
        <v>96</v>
      </c>
      <c r="D385" s="53" t="s">
        <v>375</v>
      </c>
      <c r="E385" s="53" t="s">
        <v>372</v>
      </c>
      <c r="F385" s="25" t="s">
        <v>175</v>
      </c>
    </row>
    <row r="386" spans="1:6" ht="39" customHeight="1">
      <c r="A386" s="25" t="s">
        <v>372</v>
      </c>
      <c r="B386" s="25" t="s">
        <v>92</v>
      </c>
      <c r="C386" s="25" t="s">
        <v>96</v>
      </c>
      <c r="D386" s="25" t="s">
        <v>376</v>
      </c>
      <c r="E386" s="25" t="s">
        <v>372</v>
      </c>
      <c r="F386" s="24" t="s">
        <v>98</v>
      </c>
    </row>
    <row r="387" spans="1:6" ht="39" customHeight="1">
      <c r="A387" s="25" t="s">
        <v>372</v>
      </c>
      <c r="B387" s="25" t="s">
        <v>92</v>
      </c>
      <c r="C387" s="25" t="s">
        <v>96</v>
      </c>
      <c r="D387" s="25" t="s">
        <v>381</v>
      </c>
      <c r="E387" s="25" t="s">
        <v>372</v>
      </c>
      <c r="F387" s="24" t="s">
        <v>98</v>
      </c>
    </row>
    <row r="388" spans="1:6" ht="39" customHeight="1">
      <c r="A388" s="25" t="s">
        <v>372</v>
      </c>
      <c r="B388" s="25" t="s">
        <v>92</v>
      </c>
      <c r="C388" s="25" t="s">
        <v>96</v>
      </c>
      <c r="D388" s="25" t="s">
        <v>367</v>
      </c>
      <c r="E388" s="25" t="s">
        <v>372</v>
      </c>
      <c r="F388" s="24" t="s">
        <v>98</v>
      </c>
    </row>
    <row r="389" spans="1:6" ht="39" customHeight="1">
      <c r="A389" s="25" t="s">
        <v>372</v>
      </c>
      <c r="B389" s="25" t="s">
        <v>92</v>
      </c>
      <c r="C389" s="25" t="s">
        <v>96</v>
      </c>
      <c r="D389" s="25" t="s">
        <v>378</v>
      </c>
      <c r="E389" s="25" t="s">
        <v>372</v>
      </c>
      <c r="F389" s="24" t="s">
        <v>98</v>
      </c>
    </row>
    <row r="390" spans="1:6" ht="39" customHeight="1">
      <c r="A390" s="25" t="s">
        <v>372</v>
      </c>
      <c r="B390" s="25" t="s">
        <v>92</v>
      </c>
      <c r="C390" s="25" t="s">
        <v>96</v>
      </c>
      <c r="D390" s="25" t="s">
        <v>379</v>
      </c>
      <c r="E390" s="25" t="s">
        <v>372</v>
      </c>
      <c r="F390" s="24" t="s">
        <v>98</v>
      </c>
    </row>
    <row r="391" spans="1:6" ht="39" customHeight="1">
      <c r="A391" s="25" t="s">
        <v>382</v>
      </c>
      <c r="B391" s="25" t="s">
        <v>92</v>
      </c>
      <c r="C391" s="25" t="s">
        <v>120</v>
      </c>
      <c r="D391" s="25" t="s">
        <v>381</v>
      </c>
      <c r="E391" s="25" t="s">
        <v>382</v>
      </c>
      <c r="F391" s="25"/>
    </row>
    <row r="392" spans="1:6" ht="39" customHeight="1">
      <c r="A392" s="25" t="s">
        <v>382</v>
      </c>
      <c r="B392" s="25" t="s">
        <v>92</v>
      </c>
      <c r="C392" s="25" t="s">
        <v>120</v>
      </c>
      <c r="D392" s="25" t="s">
        <v>375</v>
      </c>
      <c r="E392" s="25" t="s">
        <v>382</v>
      </c>
      <c r="F392" s="25"/>
    </row>
    <row r="393" spans="1:6" ht="39" customHeight="1">
      <c r="A393" s="25" t="s">
        <v>382</v>
      </c>
      <c r="B393" s="25" t="s">
        <v>92</v>
      </c>
      <c r="C393" s="25" t="s">
        <v>120</v>
      </c>
      <c r="D393" s="25" t="s">
        <v>373</v>
      </c>
      <c r="E393" s="25" t="s">
        <v>382</v>
      </c>
      <c r="F393" s="25"/>
    </row>
    <row r="394" spans="1:6" ht="39" customHeight="1">
      <c r="A394" s="25" t="s">
        <v>382</v>
      </c>
      <c r="B394" s="25" t="s">
        <v>92</v>
      </c>
      <c r="C394" s="25" t="s">
        <v>120</v>
      </c>
      <c r="D394" s="25" t="s">
        <v>383</v>
      </c>
      <c r="E394" s="25" t="s">
        <v>382</v>
      </c>
      <c r="F394" s="25"/>
    </row>
    <row r="395" spans="1:6" ht="39" customHeight="1">
      <c r="A395" s="25" t="s">
        <v>384</v>
      </c>
      <c r="B395" s="25" t="s">
        <v>92</v>
      </c>
      <c r="C395" s="25" t="s">
        <v>120</v>
      </c>
      <c r="D395" s="25" t="s">
        <v>373</v>
      </c>
      <c r="E395" s="25" t="s">
        <v>384</v>
      </c>
      <c r="F395" s="25"/>
    </row>
    <row r="396" spans="1:6" ht="39" customHeight="1">
      <c r="A396" s="25" t="s">
        <v>384</v>
      </c>
      <c r="B396" s="25" t="s">
        <v>92</v>
      </c>
      <c r="C396" s="25" t="s">
        <v>120</v>
      </c>
      <c r="D396" s="25" t="s">
        <v>375</v>
      </c>
      <c r="E396" s="25" t="s">
        <v>384</v>
      </c>
      <c r="F396" s="25"/>
    </row>
    <row r="397" spans="1:6" ht="39" customHeight="1">
      <c r="A397" s="25" t="s">
        <v>384</v>
      </c>
      <c r="B397" s="25" t="s">
        <v>92</v>
      </c>
      <c r="C397" s="25" t="s">
        <v>120</v>
      </c>
      <c r="D397" s="25" t="s">
        <v>373</v>
      </c>
      <c r="E397" s="25" t="s">
        <v>384</v>
      </c>
      <c r="F397" s="25"/>
    </row>
    <row r="398" spans="1:6" ht="39" customHeight="1">
      <c r="A398" s="25" t="s">
        <v>385</v>
      </c>
      <c r="B398" s="25" t="s">
        <v>92</v>
      </c>
      <c r="C398" s="25" t="s">
        <v>96</v>
      </c>
      <c r="D398" s="25" t="s">
        <v>386</v>
      </c>
      <c r="E398" s="25" t="s">
        <v>385</v>
      </c>
      <c r="F398" s="24" t="s">
        <v>98</v>
      </c>
    </row>
    <row r="399" spans="1:6" ht="39" customHeight="1">
      <c r="A399" s="53" t="s">
        <v>385</v>
      </c>
      <c r="B399" s="53" t="s">
        <v>92</v>
      </c>
      <c r="C399" s="53" t="s">
        <v>96</v>
      </c>
      <c r="D399" s="53" t="s">
        <v>387</v>
      </c>
      <c r="E399" s="53" t="s">
        <v>385</v>
      </c>
      <c r="F399" s="25" t="s">
        <v>175</v>
      </c>
    </row>
    <row r="400" spans="1:6" ht="39" customHeight="1">
      <c r="A400" s="25" t="s">
        <v>385</v>
      </c>
      <c r="B400" s="25" t="s">
        <v>92</v>
      </c>
      <c r="C400" s="25" t="s">
        <v>96</v>
      </c>
      <c r="D400" s="25" t="s">
        <v>388</v>
      </c>
      <c r="E400" s="25" t="s">
        <v>385</v>
      </c>
      <c r="F400" s="24" t="s">
        <v>98</v>
      </c>
    </row>
    <row r="401" spans="1:6" ht="39" customHeight="1">
      <c r="A401" s="25" t="s">
        <v>385</v>
      </c>
      <c r="B401" s="25" t="s">
        <v>92</v>
      </c>
      <c r="C401" s="25" t="s">
        <v>96</v>
      </c>
      <c r="D401" s="25" t="s">
        <v>389</v>
      </c>
      <c r="E401" s="25" t="s">
        <v>385</v>
      </c>
      <c r="F401" s="24" t="s">
        <v>98</v>
      </c>
    </row>
    <row r="402" spans="1:6" ht="39" customHeight="1">
      <c r="A402" s="25" t="s">
        <v>385</v>
      </c>
      <c r="B402" s="25" t="s">
        <v>92</v>
      </c>
      <c r="C402" s="25" t="s">
        <v>96</v>
      </c>
      <c r="D402" s="25" t="s">
        <v>390</v>
      </c>
      <c r="E402" s="25" t="s">
        <v>385</v>
      </c>
      <c r="F402" s="24" t="s">
        <v>98</v>
      </c>
    </row>
    <row r="403" spans="1:6" ht="39" customHeight="1">
      <c r="A403" s="53" t="s">
        <v>391</v>
      </c>
      <c r="B403" s="53" t="s">
        <v>92</v>
      </c>
      <c r="C403" s="53" t="s">
        <v>74</v>
      </c>
      <c r="D403" s="53" t="s">
        <v>346</v>
      </c>
      <c r="E403" s="53" t="s">
        <v>391</v>
      </c>
      <c r="F403" s="25" t="s">
        <v>175</v>
      </c>
    </row>
    <row r="404" spans="1:6" ht="39" customHeight="1">
      <c r="A404" s="53" t="s">
        <v>391</v>
      </c>
      <c r="B404" s="53" t="s">
        <v>92</v>
      </c>
      <c r="C404" s="53" t="s">
        <v>74</v>
      </c>
      <c r="D404" s="53" t="s">
        <v>335</v>
      </c>
      <c r="E404" s="53" t="s">
        <v>391</v>
      </c>
      <c r="F404" s="25" t="s">
        <v>175</v>
      </c>
    </row>
    <row r="405" spans="1:6" ht="39" customHeight="1">
      <c r="A405" s="25" t="s">
        <v>391</v>
      </c>
      <c r="B405" s="25" t="s">
        <v>92</v>
      </c>
      <c r="C405" s="25" t="s">
        <v>74</v>
      </c>
      <c r="D405" s="25" t="s">
        <v>319</v>
      </c>
      <c r="E405" s="25" t="s">
        <v>391</v>
      </c>
      <c r="F405" s="24" t="s">
        <v>98</v>
      </c>
    </row>
    <row r="406" spans="1:6" ht="39" customHeight="1">
      <c r="A406" s="25" t="s">
        <v>391</v>
      </c>
      <c r="B406" s="25" t="s">
        <v>92</v>
      </c>
      <c r="C406" s="25" t="s">
        <v>74</v>
      </c>
      <c r="D406" s="25" t="s">
        <v>381</v>
      </c>
      <c r="E406" s="25" t="s">
        <v>391</v>
      </c>
      <c r="F406" s="24" t="s">
        <v>98</v>
      </c>
    </row>
    <row r="407" spans="1:6" ht="39" customHeight="1">
      <c r="A407" s="53" t="s">
        <v>391</v>
      </c>
      <c r="B407" s="53" t="s">
        <v>92</v>
      </c>
      <c r="C407" s="53" t="s">
        <v>74</v>
      </c>
      <c r="D407" s="53" t="s">
        <v>375</v>
      </c>
      <c r="E407" s="53" t="s">
        <v>391</v>
      </c>
      <c r="F407" s="25" t="s">
        <v>175</v>
      </c>
    </row>
    <row r="408" spans="1:6" ht="39" customHeight="1">
      <c r="A408" s="53" t="s">
        <v>391</v>
      </c>
      <c r="B408" s="53" t="s">
        <v>92</v>
      </c>
      <c r="C408" s="53" t="s">
        <v>74</v>
      </c>
      <c r="D408" s="53" t="s">
        <v>392</v>
      </c>
      <c r="E408" s="53" t="s">
        <v>391</v>
      </c>
      <c r="F408" s="25" t="s">
        <v>175</v>
      </c>
    </row>
    <row r="409" spans="1:6" ht="39" customHeight="1">
      <c r="A409" s="53" t="s">
        <v>391</v>
      </c>
      <c r="B409" s="53" t="s">
        <v>92</v>
      </c>
      <c r="C409" s="53" t="s">
        <v>74</v>
      </c>
      <c r="D409" s="53" t="s">
        <v>373</v>
      </c>
      <c r="E409" s="53" t="s">
        <v>391</v>
      </c>
      <c r="F409" s="25" t="s">
        <v>175</v>
      </c>
    </row>
    <row r="410" spans="1:6" ht="39" customHeight="1">
      <c r="A410" s="53" t="s">
        <v>391</v>
      </c>
      <c r="B410" s="53" t="s">
        <v>92</v>
      </c>
      <c r="C410" s="53" t="s">
        <v>74</v>
      </c>
      <c r="D410" s="53" t="s">
        <v>387</v>
      </c>
      <c r="E410" s="53" t="s">
        <v>391</v>
      </c>
      <c r="F410" s="25" t="s">
        <v>175</v>
      </c>
    </row>
    <row r="411" spans="1:6" ht="39" customHeight="1">
      <c r="A411" s="53" t="s">
        <v>391</v>
      </c>
      <c r="B411" s="53" t="s">
        <v>92</v>
      </c>
      <c r="C411" s="53" t="s">
        <v>74</v>
      </c>
      <c r="D411" s="53" t="s">
        <v>345</v>
      </c>
      <c r="E411" s="53" t="s">
        <v>391</v>
      </c>
      <c r="F411" s="25" t="s">
        <v>175</v>
      </c>
    </row>
    <row r="412" spans="1:6" ht="39" customHeight="1">
      <c r="A412" s="47">
        <v>46106</v>
      </c>
      <c r="B412" s="25" t="s">
        <v>92</v>
      </c>
      <c r="C412" s="25" t="s">
        <v>393</v>
      </c>
      <c r="D412" s="25" t="s">
        <v>394</v>
      </c>
      <c r="E412" s="47">
        <v>46105</v>
      </c>
      <c r="F412" s="25"/>
    </row>
    <row r="413" spans="1:6" ht="39" customHeight="1">
      <c r="A413" s="47">
        <v>46107</v>
      </c>
      <c r="B413" s="25" t="s">
        <v>92</v>
      </c>
      <c r="C413" s="25" t="s">
        <v>393</v>
      </c>
      <c r="D413" s="25" t="s">
        <v>395</v>
      </c>
      <c r="E413" s="47">
        <v>46105</v>
      </c>
      <c r="F413" s="25"/>
    </row>
    <row r="414" spans="1:6" ht="39" customHeight="1">
      <c r="A414" s="47">
        <v>46108</v>
      </c>
      <c r="B414" s="25" t="s">
        <v>92</v>
      </c>
      <c r="C414" s="25" t="s">
        <v>393</v>
      </c>
      <c r="D414" s="25" t="s">
        <v>396</v>
      </c>
      <c r="E414" s="47">
        <v>46105</v>
      </c>
      <c r="F414" s="25"/>
    </row>
    <row r="415" spans="1:6" ht="39" customHeight="1">
      <c r="A415" s="47">
        <v>46109</v>
      </c>
      <c r="B415" s="25" t="s">
        <v>92</v>
      </c>
      <c r="C415" s="25" t="s">
        <v>96</v>
      </c>
      <c r="D415" s="25" t="s">
        <v>397</v>
      </c>
      <c r="E415" s="47">
        <v>46100</v>
      </c>
      <c r="F415" s="24" t="s">
        <v>98</v>
      </c>
    </row>
    <row r="416" spans="1:6" ht="39" customHeight="1">
      <c r="A416" s="47">
        <v>46110</v>
      </c>
      <c r="B416" s="25" t="s">
        <v>92</v>
      </c>
      <c r="C416" s="25" t="s">
        <v>96</v>
      </c>
      <c r="D416" s="25" t="s">
        <v>267</v>
      </c>
      <c r="E416" s="47">
        <v>45708</v>
      </c>
      <c r="F416" s="24" t="s">
        <v>98</v>
      </c>
    </row>
    <row r="417" spans="1:6" ht="39" customHeight="1">
      <c r="A417" s="47">
        <v>46111</v>
      </c>
      <c r="B417" s="25" t="s">
        <v>92</v>
      </c>
      <c r="C417" s="25" t="s">
        <v>96</v>
      </c>
      <c r="D417" s="25" t="s">
        <v>398</v>
      </c>
      <c r="E417" s="47">
        <v>45735</v>
      </c>
      <c r="F417" s="24" t="s">
        <v>98</v>
      </c>
    </row>
    <row r="418" spans="1:6" ht="39" customHeight="1">
      <c r="A418" s="52">
        <v>46112</v>
      </c>
      <c r="B418" s="53" t="s">
        <v>92</v>
      </c>
      <c r="C418" s="53" t="s">
        <v>96</v>
      </c>
      <c r="D418" s="53" t="s">
        <v>396</v>
      </c>
      <c r="E418" s="52">
        <v>46100</v>
      </c>
      <c r="F418" s="25" t="s">
        <v>175</v>
      </c>
    </row>
    <row r="419" spans="1:6" ht="39" customHeight="1">
      <c r="A419" s="47">
        <v>46113</v>
      </c>
      <c r="B419" s="25" t="s">
        <v>92</v>
      </c>
      <c r="C419" s="25" t="s">
        <v>96</v>
      </c>
      <c r="D419" s="25" t="s">
        <v>399</v>
      </c>
      <c r="E419" s="47">
        <v>45784</v>
      </c>
      <c r="F419" s="24" t="s">
        <v>98</v>
      </c>
    </row>
    <row r="420" spans="1:6" ht="39" customHeight="1">
      <c r="A420" s="47">
        <v>46114</v>
      </c>
      <c r="B420" s="25" t="s">
        <v>92</v>
      </c>
      <c r="C420" s="25" t="s">
        <v>96</v>
      </c>
      <c r="D420" s="25" t="s">
        <v>400</v>
      </c>
      <c r="E420" s="47">
        <v>45757</v>
      </c>
      <c r="F420" s="24" t="s">
        <v>98</v>
      </c>
    </row>
    <row r="421" spans="1:6" ht="13.5" customHeight="1">
      <c r="A421" s="25"/>
      <c r="B421" s="25"/>
      <c r="C421" s="25"/>
      <c r="D421" s="25"/>
      <c r="E421" s="25"/>
      <c r="F421" s="25"/>
    </row>
    <row r="422" spans="1:6" ht="13.5" customHeight="1">
      <c r="A422" s="25"/>
      <c r="B422" s="25"/>
      <c r="C422" s="25"/>
      <c r="D422" s="25"/>
      <c r="E422" s="25"/>
      <c r="F422" s="25"/>
    </row>
    <row r="423" spans="1:6" ht="13.5" customHeight="1">
      <c r="A423" s="25"/>
      <c r="B423" s="25"/>
      <c r="C423" s="25"/>
      <c r="D423" s="25"/>
      <c r="E423" s="25"/>
      <c r="F423" s="25"/>
    </row>
    <row r="424" spans="1:6" ht="13.5" customHeight="1">
      <c r="A424" s="25"/>
      <c r="B424" s="25"/>
      <c r="C424" s="25"/>
      <c r="D424" s="25"/>
      <c r="E424" s="25"/>
      <c r="F424" s="25"/>
    </row>
    <row r="425" spans="1:6" ht="13.5" customHeight="1">
      <c r="A425" s="25"/>
      <c r="B425" s="25"/>
      <c r="C425" s="25"/>
      <c r="D425" s="25"/>
      <c r="E425" s="25"/>
      <c r="F425" s="25"/>
    </row>
    <row r="426" spans="1:6" ht="13.5" customHeight="1">
      <c r="A426" s="25"/>
      <c r="B426" s="25"/>
      <c r="C426" s="25"/>
      <c r="D426" s="25"/>
      <c r="E426" s="25"/>
      <c r="F426" s="25"/>
    </row>
    <row r="427" spans="1:6" ht="13.5" customHeight="1">
      <c r="A427" s="25"/>
      <c r="B427" s="25"/>
      <c r="C427" s="25"/>
      <c r="D427" s="25"/>
      <c r="E427" s="25"/>
      <c r="F427" s="25"/>
    </row>
    <row r="428" spans="1:6" ht="13.5" customHeight="1">
      <c r="A428" s="25"/>
      <c r="B428" s="25"/>
      <c r="C428" s="25"/>
      <c r="D428" s="25"/>
      <c r="E428" s="25"/>
      <c r="F428" s="25"/>
    </row>
    <row r="429" spans="1:6" ht="13.5" customHeight="1">
      <c r="A429" s="25"/>
      <c r="B429" s="25"/>
      <c r="C429" s="25"/>
      <c r="D429" s="25"/>
      <c r="E429" s="25"/>
      <c r="F429" s="25"/>
    </row>
    <row r="430" spans="1:6" ht="13.5" customHeight="1">
      <c r="A430" s="25"/>
      <c r="B430" s="25"/>
      <c r="C430" s="25"/>
      <c r="D430" s="25"/>
      <c r="E430" s="25"/>
      <c r="F430" s="25"/>
    </row>
    <row r="431" spans="1:6" ht="13.5" customHeight="1">
      <c r="A431" s="25"/>
      <c r="B431" s="25"/>
      <c r="C431" s="25"/>
      <c r="D431" s="25"/>
      <c r="E431" s="25"/>
      <c r="F431" s="25"/>
    </row>
    <row r="432" spans="1:6" ht="13.5" customHeight="1">
      <c r="A432" s="25"/>
      <c r="B432" s="25"/>
      <c r="C432" s="25"/>
      <c r="D432" s="25"/>
      <c r="E432" s="25"/>
      <c r="F432" s="25"/>
    </row>
    <row r="433" spans="1:6" ht="13.5" customHeight="1">
      <c r="A433" s="25"/>
      <c r="B433" s="25"/>
      <c r="C433" s="25"/>
      <c r="D433" s="25"/>
      <c r="E433" s="25"/>
      <c r="F433" s="25"/>
    </row>
    <row r="434" spans="1:6" ht="13.5" customHeight="1">
      <c r="A434" s="25"/>
      <c r="B434" s="25"/>
      <c r="C434" s="25"/>
      <c r="D434" s="25"/>
      <c r="E434" s="25"/>
      <c r="F434" s="25"/>
    </row>
    <row r="435" spans="1:6" ht="13.5" customHeight="1">
      <c r="A435" s="25"/>
      <c r="B435" s="25"/>
      <c r="C435" s="25"/>
      <c r="D435" s="25"/>
      <c r="E435" s="25"/>
      <c r="F435" s="25"/>
    </row>
    <row r="436" spans="1:6" ht="13.5" customHeight="1">
      <c r="A436" s="25"/>
      <c r="B436" s="25"/>
      <c r="C436" s="25"/>
      <c r="D436" s="25"/>
      <c r="E436" s="25"/>
      <c r="F436" s="25"/>
    </row>
    <row r="437" spans="1:6" ht="13.5" customHeight="1">
      <c r="A437" s="25"/>
      <c r="B437" s="25"/>
      <c r="C437" s="25"/>
      <c r="D437" s="25"/>
      <c r="E437" s="25"/>
      <c r="F437" s="25"/>
    </row>
    <row r="438" spans="1:6" ht="13.5" customHeight="1">
      <c r="A438" s="25"/>
      <c r="B438" s="25"/>
      <c r="C438" s="25"/>
      <c r="D438" s="25"/>
      <c r="E438" s="25"/>
      <c r="F438" s="25"/>
    </row>
    <row r="439" spans="1:6" ht="13.5" customHeight="1">
      <c r="A439" s="25"/>
      <c r="B439" s="25"/>
      <c r="C439" s="25"/>
      <c r="D439" s="25"/>
      <c r="E439" s="25"/>
      <c r="F439" s="25"/>
    </row>
    <row r="440" spans="1:6" ht="13.5" customHeight="1">
      <c r="A440" s="25"/>
      <c r="B440" s="25"/>
      <c r="C440" s="25"/>
      <c r="D440" s="25"/>
      <c r="E440" s="25"/>
      <c r="F440" s="25"/>
    </row>
    <row r="441" spans="1:6" ht="13.5" customHeight="1">
      <c r="A441" s="25"/>
      <c r="B441" s="25"/>
      <c r="C441" s="25"/>
      <c r="D441" s="25"/>
      <c r="E441" s="25"/>
      <c r="F441" s="25"/>
    </row>
    <row r="442" spans="1:6" ht="13.5" customHeight="1">
      <c r="A442" s="25"/>
      <c r="B442" s="25"/>
      <c r="C442" s="25"/>
      <c r="D442" s="25"/>
      <c r="E442" s="25"/>
      <c r="F442" s="25"/>
    </row>
    <row r="443" spans="1:6" ht="13.5" customHeight="1">
      <c r="A443" s="25"/>
      <c r="B443" s="25"/>
      <c r="C443" s="25"/>
      <c r="D443" s="25"/>
      <c r="E443" s="25"/>
      <c r="F443" s="25"/>
    </row>
    <row r="444" spans="1:6" ht="13.5" customHeight="1">
      <c r="A444" s="25"/>
      <c r="B444" s="25"/>
      <c r="C444" s="25"/>
      <c r="D444" s="25"/>
      <c r="E444" s="25"/>
      <c r="F444" s="25"/>
    </row>
    <row r="445" spans="1:6" ht="13.5" customHeight="1">
      <c r="A445" s="25"/>
      <c r="B445" s="25"/>
      <c r="C445" s="25"/>
      <c r="D445" s="25"/>
      <c r="E445" s="25"/>
      <c r="F445" s="25"/>
    </row>
    <row r="446" spans="1:6" ht="13.5" customHeight="1">
      <c r="A446" s="25"/>
      <c r="B446" s="25"/>
      <c r="C446" s="25"/>
      <c r="D446" s="25"/>
      <c r="E446" s="25"/>
      <c r="F446" s="25"/>
    </row>
    <row r="447" spans="1:6" ht="13.5" customHeight="1">
      <c r="A447" s="25"/>
      <c r="B447" s="25"/>
      <c r="C447" s="25"/>
      <c r="D447" s="25"/>
      <c r="E447" s="25"/>
      <c r="F447" s="25"/>
    </row>
    <row r="448" spans="1:6" ht="13.5" customHeight="1">
      <c r="A448" s="25"/>
      <c r="B448" s="25"/>
      <c r="C448" s="25"/>
      <c r="D448" s="25"/>
      <c r="E448" s="25"/>
      <c r="F448" s="25"/>
    </row>
    <row r="449" spans="1:6" ht="13.5" customHeight="1">
      <c r="A449" s="25"/>
      <c r="B449" s="25"/>
      <c r="C449" s="25"/>
      <c r="D449" s="25"/>
      <c r="E449" s="25"/>
      <c r="F449" s="25"/>
    </row>
    <row r="450" spans="1:6" ht="13.5" customHeight="1">
      <c r="A450" s="25"/>
      <c r="B450" s="25"/>
      <c r="C450" s="25"/>
      <c r="D450" s="25"/>
      <c r="E450" s="25"/>
      <c r="F450" s="25"/>
    </row>
    <row r="451" spans="1:6" ht="13.5" customHeight="1">
      <c r="A451" s="25"/>
      <c r="B451" s="25"/>
      <c r="C451" s="25"/>
      <c r="D451" s="25"/>
      <c r="E451" s="25"/>
      <c r="F451" s="25"/>
    </row>
    <row r="452" spans="1:6" ht="13.5" customHeight="1">
      <c r="A452" s="25"/>
      <c r="B452" s="25"/>
      <c r="C452" s="25"/>
      <c r="D452" s="25"/>
      <c r="E452" s="25"/>
      <c r="F452" s="25"/>
    </row>
    <row r="453" spans="1:6" ht="13.5" customHeight="1">
      <c r="A453" s="25"/>
      <c r="B453" s="25"/>
      <c r="C453" s="25"/>
      <c r="D453" s="25"/>
      <c r="E453" s="25"/>
      <c r="F453" s="25"/>
    </row>
    <row r="454" spans="1:6" ht="13.5" customHeight="1">
      <c r="A454" s="25"/>
      <c r="B454" s="25"/>
      <c r="C454" s="25"/>
      <c r="D454" s="25"/>
      <c r="E454" s="25"/>
      <c r="F454" s="25"/>
    </row>
    <row r="455" spans="1:6" ht="13.5" customHeight="1">
      <c r="A455" s="25"/>
      <c r="B455" s="25"/>
      <c r="C455" s="25"/>
      <c r="D455" s="25"/>
      <c r="E455" s="25"/>
      <c r="F455" s="25"/>
    </row>
    <row r="456" spans="1:6" ht="13.5" customHeight="1">
      <c r="A456" s="25"/>
      <c r="B456" s="25"/>
      <c r="C456" s="25"/>
      <c r="D456" s="25"/>
      <c r="E456" s="25"/>
      <c r="F456" s="25"/>
    </row>
    <row r="457" spans="1:6" ht="13.5" customHeight="1">
      <c r="A457" s="25"/>
      <c r="B457" s="25"/>
      <c r="C457" s="25"/>
      <c r="D457" s="25"/>
      <c r="E457" s="25"/>
      <c r="F457" s="25"/>
    </row>
    <row r="458" spans="1:6" ht="13.5" customHeight="1">
      <c r="A458" s="25"/>
      <c r="B458" s="25"/>
      <c r="C458" s="25"/>
      <c r="D458" s="25"/>
      <c r="E458" s="25"/>
      <c r="F458" s="25"/>
    </row>
    <row r="459" spans="1:6" ht="13.5" customHeight="1">
      <c r="A459" s="25"/>
      <c r="B459" s="25"/>
      <c r="C459" s="25"/>
      <c r="D459" s="25"/>
      <c r="E459" s="25"/>
      <c r="F459" s="25"/>
    </row>
    <row r="460" spans="1:6" ht="13.5" customHeight="1">
      <c r="A460" s="25"/>
      <c r="B460" s="25"/>
      <c r="C460" s="25"/>
      <c r="D460" s="25"/>
      <c r="E460" s="25"/>
      <c r="F460" s="25"/>
    </row>
    <row r="461" spans="1:6" ht="13.5" customHeight="1">
      <c r="A461" s="25"/>
      <c r="B461" s="25"/>
      <c r="C461" s="25"/>
      <c r="D461" s="25"/>
      <c r="E461" s="25"/>
      <c r="F461" s="25"/>
    </row>
    <row r="462" spans="1:6" ht="13.5" customHeight="1">
      <c r="A462" s="25"/>
      <c r="B462" s="25"/>
      <c r="C462" s="25"/>
      <c r="D462" s="25"/>
      <c r="E462" s="25"/>
      <c r="F462" s="25"/>
    </row>
    <row r="463" spans="1:6" ht="13.5" customHeight="1">
      <c r="A463" s="25"/>
      <c r="B463" s="25"/>
      <c r="C463" s="25"/>
      <c r="D463" s="25"/>
      <c r="E463" s="25"/>
      <c r="F463" s="25"/>
    </row>
    <row r="464" spans="1:6" ht="13.5" customHeight="1">
      <c r="A464" s="25"/>
      <c r="B464" s="25"/>
      <c r="C464" s="25"/>
      <c r="D464" s="25"/>
      <c r="E464" s="25"/>
      <c r="F464" s="25"/>
    </row>
    <row r="465" spans="1:6" ht="13.5" customHeight="1">
      <c r="A465" s="25"/>
      <c r="B465" s="25"/>
      <c r="C465" s="25"/>
      <c r="D465" s="25"/>
      <c r="E465" s="25"/>
      <c r="F465" s="25"/>
    </row>
    <row r="466" spans="1:6" ht="13.5" customHeight="1">
      <c r="A466" s="25"/>
      <c r="B466" s="25"/>
      <c r="C466" s="25"/>
      <c r="D466" s="25"/>
      <c r="E466" s="25"/>
      <c r="F466" s="25"/>
    </row>
    <row r="467" spans="1:6" ht="13.5" customHeight="1">
      <c r="A467" s="25"/>
      <c r="B467" s="25"/>
      <c r="C467" s="25"/>
      <c r="D467" s="25"/>
      <c r="E467" s="25"/>
      <c r="F467" s="25"/>
    </row>
    <row r="468" spans="1:6" ht="13.5" customHeight="1">
      <c r="A468" s="25"/>
      <c r="B468" s="25"/>
      <c r="C468" s="25"/>
      <c r="D468" s="25"/>
      <c r="E468" s="25"/>
      <c r="F468" s="25"/>
    </row>
    <row r="469" spans="1:6" ht="13.5" customHeight="1">
      <c r="A469" s="25"/>
      <c r="B469" s="25"/>
      <c r="C469" s="25"/>
      <c r="D469" s="25"/>
      <c r="E469" s="25"/>
      <c r="F469" s="25"/>
    </row>
    <row r="470" spans="1:6" ht="13.5" customHeight="1">
      <c r="A470" s="25"/>
      <c r="B470" s="25"/>
      <c r="C470" s="25"/>
      <c r="D470" s="25"/>
      <c r="E470" s="25"/>
      <c r="F470" s="25"/>
    </row>
    <row r="471" spans="1:6" ht="13.5" customHeight="1">
      <c r="A471" s="25"/>
      <c r="B471" s="25"/>
      <c r="C471" s="25"/>
      <c r="D471" s="25"/>
      <c r="E471" s="25"/>
      <c r="F471" s="25"/>
    </row>
    <row r="472" spans="1:6" ht="13.5" customHeight="1">
      <c r="A472" s="25"/>
      <c r="B472" s="25"/>
      <c r="C472" s="25"/>
      <c r="D472" s="25"/>
      <c r="E472" s="25"/>
      <c r="F472" s="25"/>
    </row>
    <row r="473" spans="1:6" ht="13.5" customHeight="1">
      <c r="A473" s="25"/>
      <c r="B473" s="25"/>
      <c r="C473" s="25"/>
      <c r="D473" s="25"/>
      <c r="E473" s="25"/>
      <c r="F473" s="25"/>
    </row>
    <row r="474" spans="1:6" ht="13.5" customHeight="1">
      <c r="A474" s="25"/>
      <c r="B474" s="25"/>
      <c r="C474" s="25"/>
      <c r="D474" s="25"/>
      <c r="E474" s="25"/>
      <c r="F474" s="25"/>
    </row>
    <row r="475" spans="1:6" ht="13.5" customHeight="1">
      <c r="A475" s="25"/>
      <c r="B475" s="25"/>
      <c r="C475" s="25"/>
      <c r="D475" s="25"/>
      <c r="E475" s="25"/>
      <c r="F475" s="25"/>
    </row>
    <row r="476" spans="1:6" ht="13.5" customHeight="1">
      <c r="A476" s="25"/>
      <c r="B476" s="25"/>
      <c r="C476" s="25"/>
      <c r="D476" s="25"/>
      <c r="E476" s="25"/>
      <c r="F476" s="25"/>
    </row>
    <row r="477" spans="1:6" ht="13.5" customHeight="1">
      <c r="A477" s="25"/>
      <c r="B477" s="25"/>
      <c r="C477" s="25"/>
      <c r="D477" s="25"/>
      <c r="E477" s="25"/>
      <c r="F477" s="25"/>
    </row>
    <row r="478" spans="1:6" ht="13.5" customHeight="1">
      <c r="A478" s="25"/>
      <c r="B478" s="25"/>
      <c r="C478" s="25"/>
      <c r="D478" s="25"/>
      <c r="E478" s="25"/>
      <c r="F478" s="25"/>
    </row>
    <row r="479" spans="1:6" ht="13.5" customHeight="1">
      <c r="A479" s="25"/>
      <c r="B479" s="25"/>
      <c r="C479" s="25"/>
      <c r="D479" s="25"/>
      <c r="E479" s="25"/>
      <c r="F479" s="25"/>
    </row>
    <row r="480" spans="1:6" ht="13.5" customHeight="1">
      <c r="A480" s="25"/>
      <c r="B480" s="25"/>
      <c r="C480" s="25"/>
      <c r="D480" s="25"/>
      <c r="E480" s="25"/>
      <c r="F480" s="25"/>
    </row>
    <row r="481" spans="1:6" ht="13.5" customHeight="1">
      <c r="A481" s="25"/>
      <c r="B481" s="25"/>
      <c r="C481" s="25"/>
      <c r="D481" s="25"/>
      <c r="E481" s="25"/>
      <c r="F481" s="25"/>
    </row>
    <row r="482" spans="1:6" ht="13.5" customHeight="1">
      <c r="A482" s="25"/>
      <c r="B482" s="25"/>
      <c r="C482" s="25"/>
      <c r="D482" s="25"/>
      <c r="E482" s="25"/>
      <c r="F482" s="25"/>
    </row>
    <row r="483" spans="1:6" ht="13.5" customHeight="1">
      <c r="A483" s="25"/>
      <c r="B483" s="25"/>
      <c r="C483" s="25"/>
      <c r="D483" s="25"/>
      <c r="E483" s="25"/>
      <c r="F483" s="25"/>
    </row>
    <row r="484" spans="1:6" ht="13.5" customHeight="1">
      <c r="A484" s="25"/>
      <c r="B484" s="25"/>
      <c r="C484" s="25"/>
      <c r="D484" s="25"/>
      <c r="E484" s="25"/>
      <c r="F484" s="25"/>
    </row>
    <row r="485" spans="1:6" ht="13.5" customHeight="1">
      <c r="A485" s="25"/>
      <c r="B485" s="25"/>
      <c r="C485" s="25"/>
      <c r="D485" s="25"/>
      <c r="E485" s="25"/>
      <c r="F485" s="25"/>
    </row>
    <row r="486" spans="1:6" ht="13.5" customHeight="1">
      <c r="A486" s="25"/>
      <c r="B486" s="25"/>
      <c r="C486" s="25"/>
      <c r="D486" s="25"/>
      <c r="E486" s="25"/>
      <c r="F486" s="25"/>
    </row>
    <row r="487" spans="1:6" ht="13.5" customHeight="1">
      <c r="A487" s="25"/>
      <c r="B487" s="25"/>
      <c r="C487" s="25"/>
      <c r="D487" s="25"/>
      <c r="E487" s="25"/>
      <c r="F487" s="25"/>
    </row>
    <row r="488" spans="1:6" ht="13.5" customHeight="1">
      <c r="A488" s="25"/>
      <c r="B488" s="25"/>
      <c r="C488" s="25"/>
      <c r="D488" s="25"/>
      <c r="E488" s="25"/>
      <c r="F488" s="25"/>
    </row>
    <row r="489" spans="1:6" ht="13.5" customHeight="1">
      <c r="A489" s="25"/>
      <c r="B489" s="25"/>
      <c r="C489" s="25"/>
      <c r="D489" s="25"/>
      <c r="E489" s="25"/>
      <c r="F489" s="25"/>
    </row>
    <row r="490" spans="1:6" ht="13.5" customHeight="1">
      <c r="A490" s="25"/>
      <c r="B490" s="25"/>
      <c r="C490" s="25"/>
      <c r="D490" s="25"/>
      <c r="E490" s="25"/>
      <c r="F490" s="25"/>
    </row>
    <row r="491" spans="1:6" ht="13.5" customHeight="1">
      <c r="A491" s="25"/>
      <c r="B491" s="25"/>
      <c r="C491" s="25"/>
      <c r="D491" s="25"/>
      <c r="E491" s="25"/>
      <c r="F491" s="25"/>
    </row>
    <row r="492" spans="1:6" ht="13.5" customHeight="1">
      <c r="A492" s="25"/>
      <c r="B492" s="25"/>
      <c r="C492" s="25"/>
      <c r="D492" s="25"/>
      <c r="E492" s="25"/>
      <c r="F492" s="25"/>
    </row>
    <row r="493" spans="1:6" ht="13.5" customHeight="1">
      <c r="A493" s="25"/>
      <c r="B493" s="25"/>
      <c r="C493" s="25"/>
      <c r="D493" s="25"/>
      <c r="E493" s="25"/>
      <c r="F493" s="25"/>
    </row>
    <row r="494" spans="1:6" ht="13.5" customHeight="1">
      <c r="A494" s="25"/>
      <c r="B494" s="25"/>
      <c r="C494" s="25"/>
      <c r="D494" s="25"/>
      <c r="E494" s="25"/>
      <c r="F494" s="25"/>
    </row>
  </sheetData>
  <mergeCells count="4">
    <mergeCell ref="A3:F3"/>
    <mergeCell ref="E5:F5"/>
    <mergeCell ref="A1:F1"/>
    <mergeCell ref="A7:F7"/>
  </mergeCells>
  <dataValidations count="2">
    <dataValidation type="list" sqref="A5 C9:C494" xr:uid="{00000000-0002-0000-0100-000000000000}">
      <formula1>"Relias,3 Phase,Job Desc,CPR/FA,Med Cert,UKERU,Mealtime,Therapy,ITSP,Delegation"</formula1>
    </dataValidation>
    <dataValidation type="list" sqref="B5 B9:B494" xr:uid="{00000000-0002-0000-0100-000001000000}">
      <formula1>"Pass,Fail,N/A"</formula1>
      <formula2>0</formula2>
    </dataValidation>
  </dataValidations>
  <hyperlinks>
    <hyperlink ref="A2" location="Dashboard!A1" display="← Dashboard" xr:uid="{00000000-0004-0000-0100-000000000000}"/>
  </hyperlinks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2C5282"/>
  </sheetPr>
  <dimension ref="A1:S75"/>
  <sheetViews>
    <sheetView zoomScale="80" zoomScaleNormal="80" workbookViewId="0">
      <pane ySplit="4" topLeftCell="A5" activePane="bottomLeft" state="frozen"/>
      <selection pane="bottomLeft" activeCell="F19" sqref="F19"/>
      <selection activeCell="F16" sqref="F16"/>
    </sheetView>
  </sheetViews>
  <sheetFormatPr defaultColWidth="8.7109375" defaultRowHeight="14.25"/>
  <cols>
    <col min="1" max="1" width="4" style="32" customWidth="1"/>
    <col min="2" max="2" width="15" style="32" customWidth="1"/>
    <col min="3" max="3" width="13" style="32" customWidth="1"/>
    <col min="4" max="4" width="17" style="32" customWidth="1"/>
    <col min="5" max="5" width="11" style="32" customWidth="1"/>
    <col min="6" max="6" width="14" style="32" customWidth="1"/>
    <col min="7" max="7" width="26.5703125" style="32" customWidth="1"/>
    <col min="8" max="8" width="12" style="32" customWidth="1"/>
    <col min="9" max="9" width="13.140625" style="32" customWidth="1"/>
    <col min="10" max="17" width="11" style="32" customWidth="1"/>
    <col min="18" max="18" width="13.28515625" style="32" customWidth="1"/>
    <col min="19" max="19" width="10" style="32" customWidth="1"/>
    <col min="20" max="20" width="8.7109375" style="32" customWidth="1"/>
    <col min="21" max="16384" width="8.7109375" style="32"/>
  </cols>
  <sheetData>
    <row r="1" spans="1:19">
      <c r="A1" s="100" t="s">
        <v>401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</row>
    <row r="2" spans="1:19" s="1" customFormat="1" ht="12.75" customHeight="1">
      <c r="A2" s="33" t="s">
        <v>79</v>
      </c>
      <c r="E2" s="35" t="s">
        <v>402</v>
      </c>
      <c r="F2" s="35">
        <f>D21</f>
        <v>13</v>
      </c>
      <c r="G2" s="36" t="s">
        <v>403</v>
      </c>
      <c r="H2" s="36">
        <f>S21</f>
        <v>4</v>
      </c>
      <c r="I2" s="37" t="s">
        <v>404</v>
      </c>
      <c r="J2" s="37">
        <f>D75</f>
        <v>7</v>
      </c>
      <c r="L2" s="104" t="s">
        <v>405</v>
      </c>
      <c r="M2" s="87"/>
      <c r="N2" s="87"/>
      <c r="O2" s="38">
        <f t="array" ref="O2">IF(COUNTIF(S5:S20,"Active")&gt;0,SUMPRODUCT((S5:S20="Active")*(I5:R20="Yes"))/SUMPRODUCT((S5:S20="Active")*(I5:R20&lt;&gt;"N/A")*(I5:R20&lt;&gt;"")),"—")</f>
        <v>0.8</v>
      </c>
    </row>
    <row r="3" spans="1:19">
      <c r="A3" s="103" t="s">
        <v>406</v>
      </c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</row>
    <row r="4" spans="1:19">
      <c r="A4" s="27" t="s">
        <v>407</v>
      </c>
      <c r="B4" s="27" t="s">
        <v>408</v>
      </c>
      <c r="C4" s="27" t="s">
        <v>409</v>
      </c>
      <c r="D4" s="27" t="s">
        <v>410</v>
      </c>
      <c r="E4" s="27" t="s">
        <v>411</v>
      </c>
      <c r="F4" s="27" t="s">
        <v>412</v>
      </c>
      <c r="G4" s="27" t="s">
        <v>413</v>
      </c>
      <c r="H4" s="27" t="s">
        <v>414</v>
      </c>
      <c r="I4" s="27" t="s">
        <v>357</v>
      </c>
      <c r="J4" s="27" t="s">
        <v>69</v>
      </c>
      <c r="K4" s="27" t="s">
        <v>360</v>
      </c>
      <c r="L4" s="27" t="s">
        <v>96</v>
      </c>
      <c r="M4" s="27" t="s">
        <v>72</v>
      </c>
      <c r="N4" s="27" t="s">
        <v>73</v>
      </c>
      <c r="O4" s="27" t="s">
        <v>74</v>
      </c>
      <c r="P4" s="27" t="s">
        <v>75</v>
      </c>
      <c r="Q4" s="27" t="s">
        <v>76</v>
      </c>
      <c r="R4" s="27" t="s">
        <v>77</v>
      </c>
      <c r="S4" s="27" t="s">
        <v>415</v>
      </c>
    </row>
    <row r="5" spans="1:19">
      <c r="A5" s="48">
        <v>1</v>
      </c>
      <c r="B5" s="48" t="s">
        <v>56</v>
      </c>
      <c r="C5" s="48" t="s">
        <v>416</v>
      </c>
      <c r="D5" s="48" t="s">
        <v>417</v>
      </c>
      <c r="E5" s="48" t="s">
        <v>175</v>
      </c>
      <c r="F5" s="49">
        <v>46022</v>
      </c>
      <c r="G5" s="48" t="s">
        <v>418</v>
      </c>
      <c r="H5" s="49">
        <v>46024</v>
      </c>
      <c r="I5" s="48" t="s">
        <v>175</v>
      </c>
      <c r="J5" s="48" t="s">
        <v>175</v>
      </c>
      <c r="K5" s="48" t="s">
        <v>175</v>
      </c>
      <c r="L5" s="48" t="s">
        <v>175</v>
      </c>
      <c r="M5" s="48" t="s">
        <v>419</v>
      </c>
      <c r="N5" s="48" t="s">
        <v>419</v>
      </c>
      <c r="O5" s="48" t="s">
        <v>419</v>
      </c>
      <c r="P5" s="48" t="s">
        <v>419</v>
      </c>
      <c r="Q5" s="48" t="s">
        <v>419</v>
      </c>
      <c r="R5" s="48" t="s">
        <v>419</v>
      </c>
      <c r="S5" s="49" t="s">
        <v>21</v>
      </c>
    </row>
    <row r="6" spans="1:19">
      <c r="A6" s="28">
        <v>2</v>
      </c>
      <c r="B6" s="28" t="s">
        <v>50</v>
      </c>
      <c r="C6" s="28" t="s">
        <v>420</v>
      </c>
      <c r="D6" s="28" t="s">
        <v>421</v>
      </c>
      <c r="E6" s="28" t="s">
        <v>175</v>
      </c>
      <c r="F6" s="29">
        <v>46024</v>
      </c>
      <c r="G6" s="28" t="s">
        <v>422</v>
      </c>
      <c r="H6" s="29">
        <v>46024</v>
      </c>
      <c r="I6" s="28" t="s">
        <v>175</v>
      </c>
      <c r="J6" s="28" t="s">
        <v>175</v>
      </c>
      <c r="K6" s="28" t="s">
        <v>175</v>
      </c>
      <c r="L6" s="28" t="s">
        <v>175</v>
      </c>
      <c r="M6" s="28" t="s">
        <v>175</v>
      </c>
      <c r="N6" s="28" t="s">
        <v>175</v>
      </c>
      <c r="O6" s="28" t="s">
        <v>175</v>
      </c>
      <c r="P6" s="28" t="s">
        <v>419</v>
      </c>
      <c r="Q6" s="28" t="s">
        <v>175</v>
      </c>
      <c r="R6" s="28" t="s">
        <v>419</v>
      </c>
      <c r="S6" s="29" t="s">
        <v>21</v>
      </c>
    </row>
    <row r="7" spans="1:19">
      <c r="A7" s="48">
        <v>3</v>
      </c>
      <c r="B7" s="48" t="s">
        <v>55</v>
      </c>
      <c r="C7" s="48" t="s">
        <v>423</v>
      </c>
      <c r="D7" s="48" t="s">
        <v>424</v>
      </c>
      <c r="E7" s="48" t="s">
        <v>175</v>
      </c>
      <c r="F7" s="49">
        <v>46029</v>
      </c>
      <c r="G7" s="48" t="s">
        <v>425</v>
      </c>
      <c r="H7" s="49">
        <v>46030</v>
      </c>
      <c r="I7" s="48" t="s">
        <v>175</v>
      </c>
      <c r="J7" s="48" t="s">
        <v>175</v>
      </c>
      <c r="K7" s="48" t="s">
        <v>175</v>
      </c>
      <c r="L7" s="48" t="s">
        <v>175</v>
      </c>
      <c r="M7" s="48" t="s">
        <v>419</v>
      </c>
      <c r="N7" s="48" t="s">
        <v>419</v>
      </c>
      <c r="O7" s="48" t="s">
        <v>419</v>
      </c>
      <c r="P7" s="48" t="s">
        <v>419</v>
      </c>
      <c r="Q7" s="48" t="s">
        <v>419</v>
      </c>
      <c r="R7" s="48" t="s">
        <v>419</v>
      </c>
      <c r="S7" s="49" t="s">
        <v>21</v>
      </c>
    </row>
    <row r="8" spans="1:19">
      <c r="A8" s="28">
        <v>4</v>
      </c>
      <c r="B8" s="28" t="s">
        <v>54</v>
      </c>
      <c r="C8" s="28" t="s">
        <v>426</v>
      </c>
      <c r="D8" s="28" t="s">
        <v>427</v>
      </c>
      <c r="E8" s="28" t="s">
        <v>175</v>
      </c>
      <c r="F8" s="29">
        <v>46029</v>
      </c>
      <c r="G8" s="28" t="s">
        <v>428</v>
      </c>
      <c r="H8" s="29">
        <v>46030</v>
      </c>
      <c r="I8" s="28" t="s">
        <v>175</v>
      </c>
      <c r="J8" s="28" t="s">
        <v>175</v>
      </c>
      <c r="K8" s="28" t="s">
        <v>175</v>
      </c>
      <c r="L8" s="28" t="s">
        <v>175</v>
      </c>
      <c r="M8" s="28" t="s">
        <v>419</v>
      </c>
      <c r="N8" s="28" t="s">
        <v>175</v>
      </c>
      <c r="O8" s="28" t="s">
        <v>419</v>
      </c>
      <c r="P8" s="28" t="s">
        <v>419</v>
      </c>
      <c r="Q8" s="28" t="s">
        <v>419</v>
      </c>
      <c r="R8" s="28" t="s">
        <v>419</v>
      </c>
      <c r="S8" s="29" t="s">
        <v>21</v>
      </c>
    </row>
    <row r="9" spans="1:19">
      <c r="A9" s="48">
        <v>5</v>
      </c>
      <c r="B9" s="48" t="s">
        <v>50</v>
      </c>
      <c r="C9" s="48" t="s">
        <v>429</v>
      </c>
      <c r="D9" s="48" t="s">
        <v>430</v>
      </c>
      <c r="E9" s="48" t="s">
        <v>175</v>
      </c>
      <c r="F9" s="49">
        <v>46034</v>
      </c>
      <c r="G9" s="48" t="s">
        <v>431</v>
      </c>
      <c r="H9" s="49">
        <v>46034</v>
      </c>
      <c r="I9" s="48" t="s">
        <v>175</v>
      </c>
      <c r="J9" s="48" t="s">
        <v>175</v>
      </c>
      <c r="K9" s="48" t="s">
        <v>175</v>
      </c>
      <c r="L9" s="48" t="s">
        <v>175</v>
      </c>
      <c r="M9" s="48" t="s">
        <v>432</v>
      </c>
      <c r="N9" s="48" t="s">
        <v>175</v>
      </c>
      <c r="O9" s="48" t="s">
        <v>432</v>
      </c>
      <c r="P9" s="48" t="s">
        <v>175</v>
      </c>
      <c r="Q9" s="48" t="s">
        <v>175</v>
      </c>
      <c r="R9" s="48" t="s">
        <v>432</v>
      </c>
      <c r="S9" s="49" t="s">
        <v>21</v>
      </c>
    </row>
    <row r="10" spans="1:19">
      <c r="A10" s="28">
        <v>6</v>
      </c>
      <c r="B10" s="28" t="s">
        <v>58</v>
      </c>
      <c r="C10" s="28" t="s">
        <v>433</v>
      </c>
      <c r="D10" s="28" t="s">
        <v>434</v>
      </c>
      <c r="E10" s="28" t="s">
        <v>175</v>
      </c>
      <c r="F10" s="29">
        <v>46029</v>
      </c>
      <c r="G10" s="28" t="s">
        <v>435</v>
      </c>
      <c r="H10" s="29">
        <v>46030</v>
      </c>
      <c r="I10" s="28" t="s">
        <v>175</v>
      </c>
      <c r="J10" s="28" t="s">
        <v>432</v>
      </c>
      <c r="K10" s="28" t="s">
        <v>175</v>
      </c>
      <c r="L10" s="28" t="s">
        <v>175</v>
      </c>
      <c r="M10" s="28" t="s">
        <v>419</v>
      </c>
      <c r="N10" s="28" t="s">
        <v>175</v>
      </c>
      <c r="O10" s="28" t="s">
        <v>175</v>
      </c>
      <c r="P10" s="28" t="s">
        <v>419</v>
      </c>
      <c r="Q10" s="28" t="s">
        <v>419</v>
      </c>
      <c r="R10" s="28" t="s">
        <v>419</v>
      </c>
      <c r="S10" s="29" t="s">
        <v>21</v>
      </c>
    </row>
    <row r="11" spans="1:19">
      <c r="A11" s="58">
        <v>7</v>
      </c>
      <c r="B11" s="58" t="s">
        <v>50</v>
      </c>
      <c r="C11" s="58" t="s">
        <v>436</v>
      </c>
      <c r="D11" s="58" t="s">
        <v>437</v>
      </c>
      <c r="E11" s="58" t="s">
        <v>175</v>
      </c>
      <c r="F11" s="59">
        <v>46029</v>
      </c>
      <c r="G11" s="58" t="s">
        <v>438</v>
      </c>
      <c r="H11" s="59">
        <v>46029</v>
      </c>
      <c r="I11" s="58"/>
      <c r="J11" s="58" t="s">
        <v>432</v>
      </c>
      <c r="K11" s="58"/>
      <c r="L11" s="58"/>
      <c r="M11" s="58"/>
      <c r="N11" s="58"/>
      <c r="O11" s="58"/>
      <c r="P11" s="58"/>
      <c r="Q11" s="58"/>
      <c r="R11" s="58"/>
      <c r="S11" s="59" t="s">
        <v>439</v>
      </c>
    </row>
    <row r="12" spans="1:19">
      <c r="A12" s="60">
        <v>8</v>
      </c>
      <c r="B12" s="60" t="s">
        <v>50</v>
      </c>
      <c r="C12" s="60" t="s">
        <v>440</v>
      </c>
      <c r="D12" s="60" t="s">
        <v>441</v>
      </c>
      <c r="E12" s="60"/>
      <c r="F12" s="61"/>
      <c r="G12" s="60" t="s">
        <v>442</v>
      </c>
      <c r="H12" s="61"/>
      <c r="I12" s="60"/>
      <c r="J12" s="60" t="s">
        <v>432</v>
      </c>
      <c r="K12" s="60"/>
      <c r="L12" s="60"/>
      <c r="M12" s="60"/>
      <c r="N12" s="60"/>
      <c r="O12" s="60"/>
      <c r="P12" s="60"/>
      <c r="Q12" s="60"/>
      <c r="R12" s="60"/>
      <c r="S12" s="61" t="s">
        <v>443</v>
      </c>
    </row>
    <row r="13" spans="1:19">
      <c r="A13" s="48">
        <v>9</v>
      </c>
      <c r="B13" s="48" t="s">
        <v>50</v>
      </c>
      <c r="C13" s="48" t="s">
        <v>444</v>
      </c>
      <c r="D13" s="48" t="s">
        <v>445</v>
      </c>
      <c r="E13" s="48" t="s">
        <v>175</v>
      </c>
      <c r="F13" s="49">
        <v>46041</v>
      </c>
      <c r="G13" s="48" t="s">
        <v>446</v>
      </c>
      <c r="H13" s="49">
        <v>46038</v>
      </c>
      <c r="I13" s="48" t="s">
        <v>175</v>
      </c>
      <c r="J13" s="48" t="s">
        <v>175</v>
      </c>
      <c r="K13" s="48" t="s">
        <v>175</v>
      </c>
      <c r="L13" s="48" t="s">
        <v>175</v>
      </c>
      <c r="M13" s="48" t="s">
        <v>175</v>
      </c>
      <c r="N13" s="48" t="s">
        <v>175</v>
      </c>
      <c r="O13" s="48" t="s">
        <v>432</v>
      </c>
      <c r="P13" s="48" t="s">
        <v>175</v>
      </c>
      <c r="Q13" s="48" t="s">
        <v>175</v>
      </c>
      <c r="R13" s="48" t="s">
        <v>419</v>
      </c>
      <c r="S13" s="49" t="s">
        <v>21</v>
      </c>
    </row>
    <row r="14" spans="1:19">
      <c r="A14" s="28">
        <v>10</v>
      </c>
      <c r="B14" s="28" t="s">
        <v>50</v>
      </c>
      <c r="C14" s="28" t="s">
        <v>447</v>
      </c>
      <c r="D14" s="28" t="s">
        <v>448</v>
      </c>
      <c r="E14" s="28" t="s">
        <v>175</v>
      </c>
      <c r="F14" s="29">
        <v>46041</v>
      </c>
      <c r="G14" s="28" t="s">
        <v>449</v>
      </c>
      <c r="H14" s="29">
        <v>46038</v>
      </c>
      <c r="I14" s="28" t="s">
        <v>175</v>
      </c>
      <c r="J14" s="28" t="s">
        <v>432</v>
      </c>
      <c r="K14" s="28" t="s">
        <v>175</v>
      </c>
      <c r="L14" s="28" t="s">
        <v>175</v>
      </c>
      <c r="M14" s="28" t="s">
        <v>432</v>
      </c>
      <c r="N14" s="28" t="s">
        <v>432</v>
      </c>
      <c r="O14" s="28" t="s">
        <v>175</v>
      </c>
      <c r="P14" s="28" t="s">
        <v>175</v>
      </c>
      <c r="Q14" s="28" t="s">
        <v>175</v>
      </c>
      <c r="R14" s="28" t="s">
        <v>432</v>
      </c>
      <c r="S14" s="29" t="s">
        <v>21</v>
      </c>
    </row>
    <row r="15" spans="1:19">
      <c r="A15" s="48">
        <v>11</v>
      </c>
      <c r="B15" s="48" t="s">
        <v>50</v>
      </c>
      <c r="C15" s="48" t="s">
        <v>450</v>
      </c>
      <c r="D15" s="48" t="s">
        <v>451</v>
      </c>
      <c r="E15" s="48" t="s">
        <v>175</v>
      </c>
      <c r="F15" s="49">
        <v>46048</v>
      </c>
      <c r="G15" s="48" t="s">
        <v>452</v>
      </c>
      <c r="H15" s="49">
        <v>46048</v>
      </c>
      <c r="I15" s="48" t="s">
        <v>175</v>
      </c>
      <c r="J15" s="48" t="s">
        <v>432</v>
      </c>
      <c r="K15" s="48" t="s">
        <v>175</v>
      </c>
      <c r="L15" s="48" t="s">
        <v>175</v>
      </c>
      <c r="M15" s="48" t="s">
        <v>432</v>
      </c>
      <c r="N15" s="48" t="s">
        <v>175</v>
      </c>
      <c r="O15" s="48" t="s">
        <v>432</v>
      </c>
      <c r="P15" s="48" t="s">
        <v>432</v>
      </c>
      <c r="Q15" s="48" t="s">
        <v>175</v>
      </c>
      <c r="R15" s="48" t="s">
        <v>419</v>
      </c>
      <c r="S15" s="49" t="s">
        <v>21</v>
      </c>
    </row>
    <row r="16" spans="1:19">
      <c r="A16" s="60">
        <v>12</v>
      </c>
      <c r="B16" s="60" t="s">
        <v>50</v>
      </c>
      <c r="C16" s="60" t="s">
        <v>453</v>
      </c>
      <c r="D16" s="60" t="s">
        <v>454</v>
      </c>
      <c r="E16" s="60" t="s">
        <v>175</v>
      </c>
      <c r="F16" s="61">
        <v>46059</v>
      </c>
      <c r="G16" s="60" t="s">
        <v>455</v>
      </c>
      <c r="H16" s="61">
        <v>46056</v>
      </c>
      <c r="I16" s="60" t="s">
        <v>175</v>
      </c>
      <c r="J16" s="60" t="s">
        <v>432</v>
      </c>
      <c r="K16" s="60" t="s">
        <v>432</v>
      </c>
      <c r="L16" s="60" t="s">
        <v>432</v>
      </c>
      <c r="M16" s="60" t="s">
        <v>432</v>
      </c>
      <c r="N16" s="60" t="s">
        <v>432</v>
      </c>
      <c r="O16" s="60"/>
      <c r="P16" s="60" t="s">
        <v>432</v>
      </c>
      <c r="Q16" s="60" t="s">
        <v>432</v>
      </c>
      <c r="R16" s="60" t="s">
        <v>432</v>
      </c>
      <c r="S16" s="61" t="s">
        <v>456</v>
      </c>
    </row>
    <row r="17" spans="1:19">
      <c r="A17" s="48">
        <v>13</v>
      </c>
      <c r="B17" s="48" t="s">
        <v>50</v>
      </c>
      <c r="C17" s="48" t="s">
        <v>457</v>
      </c>
      <c r="D17" s="48" t="s">
        <v>458</v>
      </c>
      <c r="E17" s="48" t="s">
        <v>175</v>
      </c>
      <c r="F17" s="49">
        <v>46057</v>
      </c>
      <c r="G17" s="48" t="s">
        <v>459</v>
      </c>
      <c r="H17" s="49">
        <v>46056</v>
      </c>
      <c r="I17" s="48" t="s">
        <v>175</v>
      </c>
      <c r="J17" s="48" t="s">
        <v>432</v>
      </c>
      <c r="K17" s="48" t="s">
        <v>175</v>
      </c>
      <c r="L17" s="48" t="s">
        <v>175</v>
      </c>
      <c r="M17" s="48" t="s">
        <v>432</v>
      </c>
      <c r="N17" s="48" t="s">
        <v>175</v>
      </c>
      <c r="O17" s="48" t="s">
        <v>175</v>
      </c>
      <c r="P17" s="48" t="s">
        <v>432</v>
      </c>
      <c r="Q17" s="48" t="s">
        <v>432</v>
      </c>
      <c r="R17" s="48" t="s">
        <v>432</v>
      </c>
      <c r="S17" s="49" t="s">
        <v>456</v>
      </c>
    </row>
    <row r="18" spans="1:19">
      <c r="A18" s="28">
        <v>14</v>
      </c>
      <c r="B18" s="28"/>
      <c r="C18" s="28"/>
      <c r="D18" s="28"/>
      <c r="E18" s="28"/>
      <c r="F18" s="29"/>
      <c r="G18" s="28"/>
      <c r="H18" s="29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9"/>
    </row>
    <row r="19" spans="1:19">
      <c r="A19" s="48">
        <v>49</v>
      </c>
      <c r="B19" s="48"/>
      <c r="C19" s="48"/>
      <c r="D19" s="48"/>
      <c r="E19" s="48"/>
      <c r="F19" s="49"/>
      <c r="G19" s="48"/>
      <c r="H19" s="49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9"/>
    </row>
    <row r="20" spans="1:19">
      <c r="A20" s="28">
        <v>50</v>
      </c>
      <c r="B20" s="28"/>
      <c r="C20" s="28"/>
      <c r="D20" s="28"/>
      <c r="E20" s="28"/>
      <c r="F20" s="29"/>
      <c r="G20" s="28"/>
      <c r="H20" s="29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9"/>
    </row>
    <row r="21" spans="1:19" s="39" customFormat="1" ht="12.75" customHeight="1">
      <c r="A21" s="102" t="s">
        <v>460</v>
      </c>
      <c r="B21" s="112"/>
      <c r="C21" s="112"/>
      <c r="D21" s="7">
        <f>COUNTA(C5:C20)</f>
        <v>13</v>
      </c>
      <c r="I21" s="7" t="s">
        <v>461</v>
      </c>
      <c r="J21" s="39">
        <f t="array" ref="J21">COUNTIF(S5:S20,"Active")-SUMPRODUCT((S5:S20="Active")*(I5:I20="Yes")*(J5:J20="Yes")*(K5:K20="Yes")*(L5:L20="Yes")*(M5:M20="Yes")*(N5:N20="Yes")*(O5:O20="Yes")*(P5:P20="Yes")*(Q5:Q20="Yes")*(R5:R20="Yes"))</f>
        <v>9</v>
      </c>
      <c r="P21" s="34"/>
      <c r="Q21" s="99" t="s">
        <v>462</v>
      </c>
      <c r="R21" s="99"/>
      <c r="S21" s="39">
        <f>COUNTIF(S5:S20,"Terminated")+COUNTIF(S5:S20,"Resigned")+COUNTIF(S5:S20,"NCNS")</f>
        <v>4</v>
      </c>
    </row>
    <row r="23" spans="1:19">
      <c r="A23" s="105" t="s">
        <v>463</v>
      </c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</row>
    <row r="24" spans="1:19" ht="22.5">
      <c r="A24" s="27" t="s">
        <v>407</v>
      </c>
      <c r="B24" s="27" t="s">
        <v>408</v>
      </c>
      <c r="C24" s="27" t="s">
        <v>409</v>
      </c>
      <c r="D24" s="27" t="s">
        <v>464</v>
      </c>
      <c r="E24" s="27" t="s">
        <v>465</v>
      </c>
      <c r="F24" s="27" t="s">
        <v>466</v>
      </c>
      <c r="G24" s="27" t="s">
        <v>467</v>
      </c>
      <c r="H24" s="80" t="s">
        <v>468</v>
      </c>
      <c r="I24" s="27" t="s">
        <v>469</v>
      </c>
      <c r="J24" s="27" t="s">
        <v>470</v>
      </c>
      <c r="K24" s="27" t="s">
        <v>73</v>
      </c>
      <c r="L24" s="27" t="s">
        <v>74</v>
      </c>
      <c r="M24" s="27" t="s">
        <v>471</v>
      </c>
      <c r="N24" s="27" t="s">
        <v>76</v>
      </c>
      <c r="O24" s="27" t="s">
        <v>472</v>
      </c>
      <c r="P24" s="27" t="s">
        <v>415</v>
      </c>
    </row>
    <row r="25" spans="1:19" ht="24" customHeight="1">
      <c r="A25" s="58">
        <v>1</v>
      </c>
      <c r="B25" s="58" t="s">
        <v>50</v>
      </c>
      <c r="C25" s="58" t="s">
        <v>473</v>
      </c>
      <c r="D25" s="58" t="s">
        <v>474</v>
      </c>
      <c r="E25" s="58" t="s">
        <v>475</v>
      </c>
      <c r="F25" s="58" t="s">
        <v>476</v>
      </c>
      <c r="G25" s="59"/>
      <c r="H25" s="74"/>
      <c r="I25" s="58"/>
      <c r="J25" s="58" t="s">
        <v>419</v>
      </c>
      <c r="K25" s="58"/>
      <c r="L25" s="58"/>
      <c r="M25" s="58"/>
      <c r="N25" s="58"/>
      <c r="O25" s="58"/>
      <c r="P25" s="58" t="s">
        <v>477</v>
      </c>
    </row>
    <row r="26" spans="1:19">
      <c r="A26" s="28">
        <v>2</v>
      </c>
      <c r="B26" s="28" t="s">
        <v>50</v>
      </c>
      <c r="C26" s="28" t="s">
        <v>478</v>
      </c>
      <c r="D26" s="28" t="s">
        <v>479</v>
      </c>
      <c r="E26" s="28" t="s">
        <v>480</v>
      </c>
      <c r="F26" s="28" t="s">
        <v>481</v>
      </c>
      <c r="G26" s="29">
        <v>46028</v>
      </c>
      <c r="H26" s="75" t="s">
        <v>419</v>
      </c>
      <c r="I26" s="28" t="s">
        <v>419</v>
      </c>
      <c r="J26" s="28" t="s">
        <v>419</v>
      </c>
      <c r="K26" s="28" t="s">
        <v>175</v>
      </c>
      <c r="L26" s="28"/>
      <c r="M26" s="28" t="s">
        <v>419</v>
      </c>
      <c r="N26" s="28" t="s">
        <v>419</v>
      </c>
      <c r="O26" s="28" t="s">
        <v>419</v>
      </c>
      <c r="P26" s="28" t="s">
        <v>21</v>
      </c>
    </row>
    <row r="27" spans="1:19">
      <c r="A27" s="48">
        <v>3</v>
      </c>
      <c r="B27" s="48" t="s">
        <v>50</v>
      </c>
      <c r="C27" s="48" t="s">
        <v>482</v>
      </c>
      <c r="D27" s="48" t="s">
        <v>483</v>
      </c>
      <c r="E27" s="48" t="s">
        <v>484</v>
      </c>
      <c r="F27" s="48" t="s">
        <v>485</v>
      </c>
      <c r="G27" s="49">
        <v>46046</v>
      </c>
      <c r="H27" s="75" t="s">
        <v>419</v>
      </c>
      <c r="I27" s="48" t="s">
        <v>419</v>
      </c>
      <c r="J27" s="48" t="s">
        <v>419</v>
      </c>
      <c r="K27" s="48" t="s">
        <v>175</v>
      </c>
      <c r="L27" s="48" t="s">
        <v>175</v>
      </c>
      <c r="M27" s="48"/>
      <c r="N27" s="48" t="s">
        <v>175</v>
      </c>
      <c r="O27" s="48" t="s">
        <v>175</v>
      </c>
      <c r="P27" s="48" t="s">
        <v>21</v>
      </c>
    </row>
    <row r="28" spans="1:19">
      <c r="A28" s="28">
        <v>4</v>
      </c>
      <c r="B28" s="28" t="s">
        <v>50</v>
      </c>
      <c r="C28" s="28" t="s">
        <v>486</v>
      </c>
      <c r="D28" s="28" t="s">
        <v>487</v>
      </c>
      <c r="E28" s="28" t="s">
        <v>476</v>
      </c>
      <c r="F28" s="28" t="s">
        <v>488</v>
      </c>
      <c r="G28" s="29">
        <v>46046</v>
      </c>
      <c r="H28" s="75" t="s">
        <v>419</v>
      </c>
      <c r="I28" s="28" t="s">
        <v>419</v>
      </c>
      <c r="J28" s="28" t="s">
        <v>419</v>
      </c>
      <c r="K28" s="28" t="s">
        <v>175</v>
      </c>
      <c r="L28" s="28" t="s">
        <v>175</v>
      </c>
      <c r="M28" s="28" t="s">
        <v>419</v>
      </c>
      <c r="N28" s="28" t="s">
        <v>175</v>
      </c>
      <c r="O28" s="28" t="s">
        <v>175</v>
      </c>
      <c r="P28" s="28" t="s">
        <v>21</v>
      </c>
    </row>
    <row r="29" spans="1:19">
      <c r="A29" s="48">
        <v>5</v>
      </c>
      <c r="B29" s="48" t="s">
        <v>50</v>
      </c>
      <c r="C29" s="48" t="s">
        <v>489</v>
      </c>
      <c r="D29" s="48" t="s">
        <v>490</v>
      </c>
      <c r="E29" s="48" t="s">
        <v>491</v>
      </c>
      <c r="F29" s="48" t="s">
        <v>492</v>
      </c>
      <c r="G29" s="49">
        <v>46046</v>
      </c>
      <c r="H29" s="75" t="s">
        <v>419</v>
      </c>
      <c r="I29" s="48" t="s">
        <v>419</v>
      </c>
      <c r="J29" s="48" t="s">
        <v>419</v>
      </c>
      <c r="K29" s="48" t="s">
        <v>419</v>
      </c>
      <c r="L29" s="48"/>
      <c r="M29" s="48"/>
      <c r="N29" s="48" t="s">
        <v>175</v>
      </c>
      <c r="O29" s="48" t="s">
        <v>419</v>
      </c>
      <c r="P29" s="48" t="s">
        <v>21</v>
      </c>
    </row>
    <row r="30" spans="1:19">
      <c r="A30" s="28">
        <v>6</v>
      </c>
      <c r="B30" s="28" t="s">
        <v>50</v>
      </c>
      <c r="C30" s="28" t="s">
        <v>493</v>
      </c>
      <c r="D30" s="28" t="s">
        <v>494</v>
      </c>
      <c r="E30" s="28" t="s">
        <v>495</v>
      </c>
      <c r="F30" s="28" t="s">
        <v>496</v>
      </c>
      <c r="G30" s="29">
        <v>46046</v>
      </c>
      <c r="H30" s="75" t="s">
        <v>419</v>
      </c>
      <c r="I30" s="28" t="s">
        <v>419</v>
      </c>
      <c r="J30" s="28" t="s">
        <v>419</v>
      </c>
      <c r="K30" s="28" t="s">
        <v>175</v>
      </c>
      <c r="L30" s="28" t="s">
        <v>175</v>
      </c>
      <c r="M30" s="28" t="s">
        <v>419</v>
      </c>
      <c r="N30" s="28" t="s">
        <v>175</v>
      </c>
      <c r="O30" s="28" t="s">
        <v>175</v>
      </c>
      <c r="P30" s="28" t="s">
        <v>21</v>
      </c>
    </row>
    <row r="31" spans="1:19">
      <c r="A31" s="48">
        <v>7</v>
      </c>
      <c r="B31" s="48" t="s">
        <v>50</v>
      </c>
      <c r="C31" s="48" t="s">
        <v>497</v>
      </c>
      <c r="D31" s="48" t="s">
        <v>451</v>
      </c>
      <c r="E31" s="48"/>
      <c r="F31" s="48" t="s">
        <v>476</v>
      </c>
      <c r="G31" s="49">
        <v>46046</v>
      </c>
      <c r="H31" s="75" t="s">
        <v>419</v>
      </c>
      <c r="I31" s="48" t="s">
        <v>432</v>
      </c>
      <c r="J31" s="48" t="s">
        <v>419</v>
      </c>
      <c r="K31" s="48" t="s">
        <v>175</v>
      </c>
      <c r="L31" s="48"/>
      <c r="M31" s="48" t="s">
        <v>419</v>
      </c>
      <c r="N31" s="48" t="s">
        <v>175</v>
      </c>
      <c r="O31" s="48" t="s">
        <v>175</v>
      </c>
      <c r="P31" s="48" t="s">
        <v>21</v>
      </c>
    </row>
    <row r="32" spans="1:19">
      <c r="A32" s="28">
        <v>8</v>
      </c>
      <c r="B32" s="28"/>
      <c r="C32" s="28"/>
      <c r="D32" s="28"/>
      <c r="E32" s="28"/>
      <c r="F32" s="28"/>
      <c r="G32" s="29"/>
      <c r="H32" s="75"/>
      <c r="I32" s="28"/>
      <c r="J32" s="28"/>
      <c r="K32" s="28"/>
      <c r="L32" s="28"/>
      <c r="M32" s="28"/>
      <c r="N32" s="28"/>
      <c r="O32" s="28"/>
      <c r="P32" s="28"/>
    </row>
    <row r="33" spans="1:16">
      <c r="A33" s="48">
        <v>9</v>
      </c>
      <c r="B33" s="48"/>
      <c r="C33" s="48"/>
      <c r="D33" s="48"/>
      <c r="E33" s="48"/>
      <c r="F33" s="48"/>
      <c r="G33" s="49"/>
      <c r="H33" s="76"/>
      <c r="I33" s="48"/>
      <c r="J33" s="48"/>
      <c r="K33" s="48"/>
      <c r="L33" s="48"/>
      <c r="M33" s="48"/>
      <c r="N33" s="48"/>
      <c r="O33" s="48"/>
      <c r="P33" s="48"/>
    </row>
    <row r="34" spans="1:16">
      <c r="A34" s="28">
        <v>10</v>
      </c>
      <c r="B34" s="28"/>
      <c r="C34" s="28"/>
      <c r="D34" s="28"/>
      <c r="E34" s="28"/>
      <c r="F34" s="28"/>
      <c r="G34" s="29"/>
      <c r="H34" s="75"/>
      <c r="I34" s="28"/>
      <c r="J34" s="28"/>
      <c r="K34" s="28"/>
      <c r="L34" s="28"/>
      <c r="M34" s="28"/>
      <c r="N34" s="28"/>
      <c r="O34" s="28"/>
      <c r="P34" s="28"/>
    </row>
    <row r="35" spans="1:16">
      <c r="A35" s="48">
        <v>11</v>
      </c>
      <c r="B35" s="48"/>
      <c r="C35" s="48"/>
      <c r="D35" s="48"/>
      <c r="E35" s="48"/>
      <c r="F35" s="48"/>
      <c r="G35" s="49"/>
      <c r="H35" s="76"/>
      <c r="I35" s="48"/>
      <c r="J35" s="48"/>
      <c r="K35" s="48"/>
      <c r="L35" s="48"/>
      <c r="M35" s="48"/>
      <c r="N35" s="48"/>
      <c r="O35" s="48"/>
      <c r="P35" s="48"/>
    </row>
    <row r="36" spans="1:16">
      <c r="A36" s="28">
        <v>12</v>
      </c>
      <c r="B36" s="28"/>
      <c r="C36" s="28"/>
      <c r="D36" s="28"/>
      <c r="E36" s="28"/>
      <c r="F36" s="28"/>
      <c r="G36" s="29"/>
      <c r="H36" s="75"/>
      <c r="I36" s="28"/>
      <c r="J36" s="28"/>
      <c r="K36" s="28"/>
      <c r="L36" s="28"/>
      <c r="M36" s="28"/>
      <c r="N36" s="28"/>
      <c r="O36" s="28"/>
      <c r="P36" s="28"/>
    </row>
    <row r="37" spans="1:16">
      <c r="A37" s="48">
        <v>13</v>
      </c>
      <c r="B37" s="48"/>
      <c r="C37" s="48"/>
      <c r="D37" s="48"/>
      <c r="E37" s="48"/>
      <c r="F37" s="48"/>
      <c r="G37" s="49"/>
      <c r="H37" s="76"/>
      <c r="I37" s="48"/>
      <c r="J37" s="48"/>
      <c r="K37" s="48"/>
      <c r="L37" s="48"/>
      <c r="M37" s="48"/>
      <c r="N37" s="48"/>
      <c r="O37" s="48"/>
      <c r="P37" s="48"/>
    </row>
    <row r="38" spans="1:16">
      <c r="A38" s="28">
        <v>14</v>
      </c>
      <c r="B38" s="28"/>
      <c r="C38" s="28"/>
      <c r="D38" s="28"/>
      <c r="E38" s="28"/>
      <c r="F38" s="28"/>
      <c r="G38" s="29"/>
      <c r="H38" s="75"/>
      <c r="I38" s="28"/>
      <c r="J38" s="28"/>
      <c r="K38" s="28"/>
      <c r="L38" s="28"/>
      <c r="M38" s="28"/>
      <c r="N38" s="28"/>
      <c r="O38" s="28"/>
      <c r="P38" s="28"/>
    </row>
    <row r="39" spans="1:16">
      <c r="A39" s="48">
        <v>15</v>
      </c>
      <c r="B39" s="48"/>
      <c r="C39" s="48"/>
      <c r="D39" s="48"/>
      <c r="E39" s="48"/>
      <c r="F39" s="48"/>
      <c r="G39" s="49"/>
      <c r="H39" s="76"/>
      <c r="I39" s="48"/>
      <c r="J39" s="48"/>
      <c r="K39" s="48"/>
      <c r="L39" s="48"/>
      <c r="M39" s="48"/>
      <c r="N39" s="48"/>
      <c r="O39" s="48"/>
      <c r="P39" s="48"/>
    </row>
    <row r="40" spans="1:16">
      <c r="A40" s="28">
        <v>16</v>
      </c>
      <c r="B40" s="28"/>
      <c r="C40" s="28"/>
      <c r="D40" s="28"/>
      <c r="E40" s="28"/>
      <c r="F40" s="28"/>
      <c r="G40" s="29"/>
      <c r="H40" s="75"/>
      <c r="I40" s="28"/>
      <c r="J40" s="28"/>
      <c r="K40" s="28"/>
      <c r="L40" s="28"/>
      <c r="M40" s="28"/>
      <c r="N40" s="28"/>
      <c r="O40" s="28"/>
      <c r="P40" s="28"/>
    </row>
    <row r="41" spans="1:16">
      <c r="A41" s="48">
        <v>17</v>
      </c>
      <c r="B41" s="48"/>
      <c r="C41" s="48"/>
      <c r="D41" s="48"/>
      <c r="E41" s="48"/>
      <c r="F41" s="48"/>
      <c r="G41" s="49"/>
      <c r="H41" s="76"/>
      <c r="I41" s="48"/>
      <c r="J41" s="48"/>
      <c r="K41" s="48"/>
      <c r="L41" s="48"/>
      <c r="M41" s="48"/>
      <c r="N41" s="48"/>
      <c r="O41" s="48"/>
      <c r="P41" s="48"/>
    </row>
    <row r="42" spans="1:16">
      <c r="A42" s="28">
        <v>18</v>
      </c>
      <c r="B42" s="28"/>
      <c r="C42" s="28"/>
      <c r="D42" s="28"/>
      <c r="E42" s="28"/>
      <c r="F42" s="28"/>
      <c r="G42" s="29"/>
      <c r="H42" s="75"/>
      <c r="I42" s="28"/>
      <c r="J42" s="28"/>
      <c r="K42" s="28"/>
      <c r="L42" s="28"/>
      <c r="M42" s="28"/>
      <c r="N42" s="28"/>
      <c r="O42" s="28"/>
      <c r="P42" s="28"/>
    </row>
    <row r="43" spans="1:16">
      <c r="A43" s="48">
        <v>19</v>
      </c>
      <c r="B43" s="48"/>
      <c r="C43" s="48"/>
      <c r="D43" s="48"/>
      <c r="E43" s="48"/>
      <c r="F43" s="48"/>
      <c r="G43" s="49"/>
      <c r="H43" s="76"/>
      <c r="I43" s="48"/>
      <c r="J43" s="48"/>
      <c r="K43" s="48"/>
      <c r="L43" s="48"/>
      <c r="M43" s="48"/>
      <c r="N43" s="48"/>
      <c r="O43" s="48"/>
      <c r="P43" s="48"/>
    </row>
    <row r="44" spans="1:16">
      <c r="A44" s="28">
        <v>20</v>
      </c>
      <c r="B44" s="28"/>
      <c r="C44" s="28"/>
      <c r="D44" s="28"/>
      <c r="E44" s="28"/>
      <c r="F44" s="28"/>
      <c r="G44" s="29"/>
      <c r="H44" s="75"/>
      <c r="I44" s="28"/>
      <c r="J44" s="28"/>
      <c r="K44" s="28"/>
      <c r="L44" s="28"/>
      <c r="M44" s="28"/>
      <c r="N44" s="28"/>
      <c r="O44" s="28"/>
      <c r="P44" s="28"/>
    </row>
    <row r="45" spans="1:16">
      <c r="A45" s="48">
        <v>21</v>
      </c>
      <c r="B45" s="48"/>
      <c r="C45" s="48"/>
      <c r="D45" s="48"/>
      <c r="E45" s="48"/>
      <c r="F45" s="48"/>
      <c r="G45" s="49"/>
      <c r="H45" s="76"/>
      <c r="I45" s="48"/>
      <c r="J45" s="48"/>
      <c r="K45" s="48"/>
      <c r="L45" s="48"/>
      <c r="M45" s="48"/>
      <c r="N45" s="48"/>
      <c r="O45" s="48"/>
      <c r="P45" s="48"/>
    </row>
    <row r="46" spans="1:16">
      <c r="A46" s="28">
        <v>22</v>
      </c>
      <c r="B46" s="28"/>
      <c r="C46" s="28"/>
      <c r="D46" s="28"/>
      <c r="E46" s="28"/>
      <c r="F46" s="28"/>
      <c r="G46" s="29"/>
      <c r="H46" s="75"/>
      <c r="I46" s="28"/>
      <c r="J46" s="28"/>
      <c r="K46" s="28"/>
      <c r="L46" s="28"/>
      <c r="M46" s="28"/>
      <c r="N46" s="28"/>
      <c r="O46" s="28"/>
      <c r="P46" s="28"/>
    </row>
    <row r="47" spans="1:16">
      <c r="A47" s="48">
        <v>23</v>
      </c>
      <c r="B47" s="48"/>
      <c r="C47" s="48"/>
      <c r="D47" s="48"/>
      <c r="E47" s="48"/>
      <c r="F47" s="48"/>
      <c r="G47" s="49"/>
      <c r="H47" s="76"/>
      <c r="I47" s="48"/>
      <c r="J47" s="48"/>
      <c r="K47" s="48"/>
      <c r="L47" s="48"/>
      <c r="M47" s="48"/>
      <c r="N47" s="48"/>
      <c r="O47" s="48"/>
      <c r="P47" s="48"/>
    </row>
    <row r="48" spans="1:16">
      <c r="A48" s="28">
        <v>24</v>
      </c>
      <c r="B48" s="28"/>
      <c r="C48" s="28"/>
      <c r="D48" s="28"/>
      <c r="E48" s="28"/>
      <c r="F48" s="28"/>
      <c r="G48" s="29"/>
      <c r="H48" s="75"/>
      <c r="I48" s="28"/>
      <c r="J48" s="28"/>
      <c r="K48" s="28"/>
      <c r="L48" s="28"/>
      <c r="M48" s="28"/>
      <c r="N48" s="28"/>
      <c r="O48" s="28"/>
      <c r="P48" s="28"/>
    </row>
    <row r="49" spans="1:16">
      <c r="A49" s="48">
        <v>25</v>
      </c>
      <c r="B49" s="48"/>
      <c r="C49" s="48"/>
      <c r="D49" s="48"/>
      <c r="E49" s="48"/>
      <c r="F49" s="48"/>
      <c r="G49" s="49"/>
      <c r="H49" s="76"/>
      <c r="I49" s="48"/>
      <c r="J49" s="48"/>
      <c r="K49" s="48"/>
      <c r="L49" s="48"/>
      <c r="M49" s="48"/>
      <c r="N49" s="48"/>
      <c r="O49" s="48"/>
      <c r="P49" s="48"/>
    </row>
    <row r="50" spans="1:16">
      <c r="A50" s="28">
        <v>26</v>
      </c>
      <c r="B50" s="28"/>
      <c r="C50" s="28"/>
      <c r="D50" s="28"/>
      <c r="E50" s="28"/>
      <c r="F50" s="28"/>
      <c r="G50" s="29"/>
      <c r="H50" s="75"/>
      <c r="I50" s="28"/>
      <c r="J50" s="28"/>
      <c r="K50" s="28"/>
      <c r="L50" s="28"/>
      <c r="M50" s="28"/>
      <c r="N50" s="28"/>
      <c r="O50" s="28"/>
      <c r="P50" s="28"/>
    </row>
    <row r="51" spans="1:16">
      <c r="A51" s="48">
        <v>27</v>
      </c>
      <c r="B51" s="48"/>
      <c r="C51" s="48"/>
      <c r="D51" s="48"/>
      <c r="E51" s="48"/>
      <c r="F51" s="48"/>
      <c r="G51" s="49"/>
      <c r="H51" s="76"/>
      <c r="I51" s="48"/>
      <c r="J51" s="48"/>
      <c r="K51" s="48"/>
      <c r="L51" s="48"/>
      <c r="M51" s="48"/>
      <c r="N51" s="48"/>
      <c r="O51" s="48"/>
      <c r="P51" s="48"/>
    </row>
    <row r="52" spans="1:16">
      <c r="A52" s="28">
        <v>28</v>
      </c>
      <c r="B52" s="28"/>
      <c r="C52" s="28"/>
      <c r="D52" s="28"/>
      <c r="E52" s="28"/>
      <c r="F52" s="28"/>
      <c r="G52" s="29"/>
      <c r="H52" s="75"/>
      <c r="I52" s="28"/>
      <c r="J52" s="28"/>
      <c r="K52" s="28"/>
      <c r="L52" s="28"/>
      <c r="M52" s="28"/>
      <c r="N52" s="28"/>
      <c r="O52" s="28"/>
      <c r="P52" s="28"/>
    </row>
    <row r="53" spans="1:16">
      <c r="A53" s="48">
        <v>29</v>
      </c>
      <c r="B53" s="48"/>
      <c r="C53" s="48"/>
      <c r="D53" s="48"/>
      <c r="E53" s="48"/>
      <c r="F53" s="48"/>
      <c r="G53" s="49"/>
      <c r="H53" s="76"/>
      <c r="I53" s="48"/>
      <c r="J53" s="48"/>
      <c r="K53" s="48"/>
      <c r="L53" s="48"/>
      <c r="M53" s="48"/>
      <c r="N53" s="48"/>
      <c r="O53" s="48"/>
      <c r="P53" s="48"/>
    </row>
    <row r="54" spans="1:16">
      <c r="A54" s="28">
        <v>30</v>
      </c>
      <c r="B54" s="28"/>
      <c r="C54" s="28"/>
      <c r="D54" s="28"/>
      <c r="E54" s="28"/>
      <c r="F54" s="28"/>
      <c r="G54" s="29"/>
      <c r="H54" s="75"/>
      <c r="I54" s="28"/>
      <c r="J54" s="28"/>
      <c r="K54" s="28"/>
      <c r="L54" s="28"/>
      <c r="M54" s="28"/>
      <c r="N54" s="28"/>
      <c r="O54" s="28"/>
      <c r="P54" s="28"/>
    </row>
    <row r="55" spans="1:16">
      <c r="A55" s="48">
        <v>31</v>
      </c>
      <c r="B55" s="48"/>
      <c r="C55" s="48"/>
      <c r="D55" s="48"/>
      <c r="E55" s="48"/>
      <c r="F55" s="48"/>
      <c r="G55" s="49"/>
      <c r="H55" s="76"/>
      <c r="I55" s="48"/>
      <c r="J55" s="48"/>
      <c r="K55" s="48"/>
      <c r="L55" s="48"/>
      <c r="M55" s="48"/>
      <c r="N55" s="48"/>
      <c r="O55" s="48"/>
      <c r="P55" s="48"/>
    </row>
    <row r="56" spans="1:16">
      <c r="A56" s="28">
        <v>32</v>
      </c>
      <c r="B56" s="28"/>
      <c r="C56" s="28"/>
      <c r="D56" s="28"/>
      <c r="E56" s="28"/>
      <c r="F56" s="28"/>
      <c r="G56" s="29"/>
      <c r="H56" s="75"/>
      <c r="I56" s="28"/>
      <c r="J56" s="28"/>
      <c r="K56" s="28"/>
      <c r="L56" s="28"/>
      <c r="M56" s="28"/>
      <c r="N56" s="28"/>
      <c r="O56" s="28"/>
      <c r="P56" s="28"/>
    </row>
    <row r="57" spans="1:16">
      <c r="A57" s="48">
        <v>33</v>
      </c>
      <c r="B57" s="48"/>
      <c r="C57" s="48"/>
      <c r="D57" s="48"/>
      <c r="E57" s="48"/>
      <c r="F57" s="48"/>
      <c r="G57" s="49"/>
      <c r="H57" s="76"/>
      <c r="I57" s="48"/>
      <c r="J57" s="48"/>
      <c r="K57" s="48"/>
      <c r="L57" s="48"/>
      <c r="M57" s="48"/>
      <c r="N57" s="48"/>
      <c r="O57" s="48"/>
      <c r="P57" s="48"/>
    </row>
    <row r="58" spans="1:16">
      <c r="A58" s="28">
        <v>34</v>
      </c>
      <c r="B58" s="28"/>
      <c r="C58" s="28"/>
      <c r="D58" s="28"/>
      <c r="E58" s="28"/>
      <c r="F58" s="28"/>
      <c r="G58" s="29"/>
      <c r="H58" s="75"/>
      <c r="I58" s="28"/>
      <c r="J58" s="28"/>
      <c r="K58" s="28"/>
      <c r="L58" s="28"/>
      <c r="M58" s="28"/>
      <c r="N58" s="28"/>
      <c r="O58" s="28"/>
      <c r="P58" s="28"/>
    </row>
    <row r="59" spans="1:16">
      <c r="A59" s="48">
        <v>35</v>
      </c>
      <c r="B59" s="48"/>
      <c r="C59" s="48"/>
      <c r="D59" s="48"/>
      <c r="E59" s="48"/>
      <c r="F59" s="48"/>
      <c r="G59" s="49"/>
      <c r="H59" s="76"/>
      <c r="I59" s="48"/>
      <c r="J59" s="48"/>
      <c r="K59" s="48"/>
      <c r="L59" s="48"/>
      <c r="M59" s="48"/>
      <c r="N59" s="48"/>
      <c r="O59" s="48"/>
      <c r="P59" s="48"/>
    </row>
    <row r="60" spans="1:16">
      <c r="A60" s="28">
        <v>36</v>
      </c>
      <c r="B60" s="28"/>
      <c r="C60" s="28"/>
      <c r="D60" s="28"/>
      <c r="E60" s="28"/>
      <c r="F60" s="28"/>
      <c r="G60" s="29"/>
      <c r="H60" s="75"/>
      <c r="I60" s="28"/>
      <c r="J60" s="28"/>
      <c r="K60" s="28"/>
      <c r="L60" s="28"/>
      <c r="M60" s="28"/>
      <c r="N60" s="28"/>
      <c r="O60" s="28"/>
      <c r="P60" s="28"/>
    </row>
    <row r="61" spans="1:16">
      <c r="A61" s="48">
        <v>37</v>
      </c>
      <c r="B61" s="48"/>
      <c r="C61" s="48"/>
      <c r="D61" s="48"/>
      <c r="E61" s="48"/>
      <c r="F61" s="48"/>
      <c r="G61" s="49"/>
      <c r="H61" s="76"/>
      <c r="I61" s="48"/>
      <c r="J61" s="48"/>
      <c r="K61" s="48"/>
      <c r="L61" s="48"/>
      <c r="M61" s="48"/>
      <c r="N61" s="48"/>
      <c r="O61" s="48"/>
      <c r="P61" s="48"/>
    </row>
    <row r="62" spans="1:16">
      <c r="A62" s="28">
        <v>38</v>
      </c>
      <c r="B62" s="28"/>
      <c r="C62" s="28"/>
      <c r="D62" s="28"/>
      <c r="E62" s="28"/>
      <c r="F62" s="28"/>
      <c r="G62" s="29"/>
      <c r="H62" s="75"/>
      <c r="I62" s="28"/>
      <c r="J62" s="28"/>
      <c r="K62" s="28"/>
      <c r="L62" s="28"/>
      <c r="M62" s="28"/>
      <c r="N62" s="28"/>
      <c r="O62" s="28"/>
      <c r="P62" s="28"/>
    </row>
    <row r="63" spans="1:16">
      <c r="A63" s="48">
        <v>39</v>
      </c>
      <c r="B63" s="48"/>
      <c r="C63" s="48"/>
      <c r="D63" s="48"/>
      <c r="E63" s="48"/>
      <c r="F63" s="48"/>
      <c r="G63" s="49"/>
      <c r="H63" s="76"/>
      <c r="I63" s="48"/>
      <c r="J63" s="48"/>
      <c r="K63" s="48"/>
      <c r="L63" s="48"/>
      <c r="M63" s="48"/>
      <c r="N63" s="48"/>
      <c r="O63" s="48"/>
      <c r="P63" s="48"/>
    </row>
    <row r="64" spans="1:16">
      <c r="A64" s="28">
        <v>40</v>
      </c>
      <c r="B64" s="28"/>
      <c r="C64" s="28"/>
      <c r="D64" s="28"/>
      <c r="E64" s="28"/>
      <c r="F64" s="28"/>
      <c r="G64" s="29"/>
      <c r="H64" s="75"/>
      <c r="I64" s="28"/>
      <c r="J64" s="28"/>
      <c r="K64" s="28"/>
      <c r="L64" s="28"/>
      <c r="M64" s="28"/>
      <c r="N64" s="28"/>
      <c r="O64" s="28"/>
      <c r="P64" s="28"/>
    </row>
    <row r="65" spans="1:16">
      <c r="A65" s="48">
        <v>41</v>
      </c>
      <c r="B65" s="48"/>
      <c r="C65" s="48"/>
      <c r="D65" s="48"/>
      <c r="E65" s="48"/>
      <c r="F65" s="48"/>
      <c r="G65" s="49"/>
      <c r="H65" s="76"/>
      <c r="I65" s="48"/>
      <c r="J65" s="48"/>
      <c r="K65" s="48"/>
      <c r="L65" s="48"/>
      <c r="M65" s="48"/>
      <c r="N65" s="48"/>
      <c r="O65" s="48"/>
      <c r="P65" s="48"/>
    </row>
    <row r="66" spans="1:16">
      <c r="A66" s="28">
        <v>42</v>
      </c>
      <c r="B66" s="28"/>
      <c r="C66" s="28"/>
      <c r="D66" s="28"/>
      <c r="E66" s="28"/>
      <c r="F66" s="28"/>
      <c r="G66" s="29"/>
      <c r="H66" s="75"/>
      <c r="I66" s="28"/>
      <c r="J66" s="28"/>
      <c r="K66" s="28"/>
      <c r="L66" s="28"/>
      <c r="M66" s="28"/>
      <c r="N66" s="28"/>
      <c r="O66" s="28"/>
      <c r="P66" s="28"/>
    </row>
    <row r="67" spans="1:16">
      <c r="A67" s="48">
        <v>43</v>
      </c>
      <c r="B67" s="48"/>
      <c r="C67" s="48"/>
      <c r="D67" s="48"/>
      <c r="E67" s="48"/>
      <c r="F67" s="48"/>
      <c r="G67" s="49"/>
      <c r="H67" s="76"/>
      <c r="I67" s="48"/>
      <c r="J67" s="48"/>
      <c r="K67" s="48"/>
      <c r="L67" s="48"/>
      <c r="M67" s="48"/>
      <c r="N67" s="48"/>
      <c r="O67" s="48"/>
      <c r="P67" s="48"/>
    </row>
    <row r="68" spans="1:16">
      <c r="A68" s="28">
        <v>44</v>
      </c>
      <c r="B68" s="28"/>
      <c r="C68" s="28"/>
      <c r="D68" s="28"/>
      <c r="E68" s="28"/>
      <c r="F68" s="28"/>
      <c r="G68" s="29"/>
      <c r="H68" s="75"/>
      <c r="I68" s="28"/>
      <c r="J68" s="28"/>
      <c r="K68" s="28"/>
      <c r="L68" s="28"/>
      <c r="M68" s="28"/>
      <c r="N68" s="28"/>
      <c r="O68" s="28"/>
      <c r="P68" s="28"/>
    </row>
    <row r="69" spans="1:16">
      <c r="A69" s="48">
        <v>45</v>
      </c>
      <c r="B69" s="48"/>
      <c r="C69" s="48"/>
      <c r="D69" s="48"/>
      <c r="E69" s="48"/>
      <c r="F69" s="48"/>
      <c r="G69" s="49"/>
      <c r="H69" s="76"/>
      <c r="I69" s="48"/>
      <c r="J69" s="48"/>
      <c r="K69" s="48"/>
      <c r="L69" s="48"/>
      <c r="M69" s="48"/>
      <c r="N69" s="48"/>
      <c r="O69" s="48"/>
      <c r="P69" s="48"/>
    </row>
    <row r="70" spans="1:16">
      <c r="A70" s="28">
        <v>46</v>
      </c>
      <c r="B70" s="28"/>
      <c r="C70" s="28"/>
      <c r="D70" s="28"/>
      <c r="E70" s="28"/>
      <c r="F70" s="28"/>
      <c r="G70" s="29"/>
      <c r="H70" s="75"/>
      <c r="I70" s="28"/>
      <c r="J70" s="28"/>
      <c r="K70" s="28"/>
      <c r="L70" s="28"/>
      <c r="M70" s="28"/>
      <c r="N70" s="28"/>
      <c r="O70" s="28"/>
      <c r="P70" s="28"/>
    </row>
    <row r="71" spans="1:16">
      <c r="A71" s="48">
        <v>47</v>
      </c>
      <c r="B71" s="48"/>
      <c r="C71" s="48"/>
      <c r="D71" s="48"/>
      <c r="E71" s="48"/>
      <c r="F71" s="48"/>
      <c r="G71" s="49"/>
      <c r="H71" s="76"/>
      <c r="I71" s="48"/>
      <c r="J71" s="48"/>
      <c r="K71" s="48"/>
      <c r="L71" s="48"/>
      <c r="M71" s="48"/>
      <c r="N71" s="48"/>
      <c r="O71" s="48"/>
      <c r="P71" s="48"/>
    </row>
    <row r="72" spans="1:16">
      <c r="A72" s="28">
        <v>48</v>
      </c>
      <c r="B72" s="28"/>
      <c r="C72" s="28"/>
      <c r="D72" s="28"/>
      <c r="E72" s="28"/>
      <c r="F72" s="28"/>
      <c r="G72" s="29"/>
      <c r="H72" s="75"/>
      <c r="I72" s="28"/>
      <c r="J72" s="28"/>
      <c r="K72" s="28"/>
      <c r="L72" s="28"/>
      <c r="M72" s="28"/>
      <c r="N72" s="28"/>
      <c r="O72" s="28"/>
      <c r="P72" s="28"/>
    </row>
    <row r="73" spans="1:16">
      <c r="A73" s="48">
        <v>49</v>
      </c>
      <c r="B73" s="48"/>
      <c r="C73" s="48"/>
      <c r="D73" s="48"/>
      <c r="E73" s="48"/>
      <c r="F73" s="48"/>
      <c r="G73" s="49"/>
      <c r="H73" s="76"/>
      <c r="I73" s="48"/>
      <c r="J73" s="48"/>
      <c r="K73" s="48"/>
      <c r="L73" s="48"/>
      <c r="M73" s="48"/>
      <c r="N73" s="48"/>
      <c r="O73" s="48"/>
      <c r="P73" s="48"/>
    </row>
    <row r="74" spans="1:16">
      <c r="A74" s="28">
        <v>50</v>
      </c>
      <c r="B74" s="28"/>
      <c r="C74" s="28"/>
      <c r="D74" s="28"/>
      <c r="E74" s="28"/>
      <c r="F74" s="28"/>
      <c r="G74" s="29"/>
      <c r="H74" s="75"/>
      <c r="I74" s="28"/>
      <c r="J74" s="28"/>
      <c r="K74" s="28"/>
      <c r="L74" s="28"/>
      <c r="M74" s="28"/>
      <c r="N74" s="28"/>
      <c r="O74" s="28"/>
      <c r="P74" s="28"/>
    </row>
    <row r="75" spans="1:16" s="39" customFormat="1" ht="12.75" customHeight="1">
      <c r="A75" s="102" t="s">
        <v>498</v>
      </c>
      <c r="B75" s="112"/>
      <c r="C75" s="112"/>
      <c r="D75" s="7">
        <f>COUNTA(C25:C74)</f>
        <v>7</v>
      </c>
    </row>
  </sheetData>
  <autoFilter ref="B1:B75" xr:uid="{00000000-0001-0000-0200-000000000000}"/>
  <mergeCells count="7">
    <mergeCell ref="Q21:R21"/>
    <mergeCell ref="A1:S1"/>
    <mergeCell ref="A75:C75"/>
    <mergeCell ref="A3:S3"/>
    <mergeCell ref="A21:C21"/>
    <mergeCell ref="L2:N2"/>
    <mergeCell ref="A23:P23"/>
  </mergeCells>
  <conditionalFormatting sqref="A5:S20">
    <cfRule type="expression" dxfId="103" priority="2">
      <formula>$S5="Terminated"</formula>
    </cfRule>
    <cfRule type="expression" dxfId="102" priority="3">
      <formula>$S5="Resigned"</formula>
    </cfRule>
    <cfRule type="expression" dxfId="101" priority="4">
      <formula>$S5="NCNS"</formula>
    </cfRule>
    <cfRule type="expression" dxfId="100" priority="5">
      <formula>$S5="Suspended"</formula>
    </cfRule>
  </conditionalFormatting>
  <conditionalFormatting sqref="A25:O74">
    <cfRule type="expression" dxfId="99" priority="6">
      <formula>$O25="QUIT"</formula>
    </cfRule>
    <cfRule type="expression" dxfId="98" priority="7">
      <formula>$O25="Terminated"</formula>
    </cfRule>
    <cfRule type="expression" dxfId="97" priority="8">
      <formula>$O25="Resigned"</formula>
    </cfRule>
    <cfRule type="expression" dxfId="96" priority="9">
      <formula>$O25="NCNS"</formula>
    </cfRule>
  </conditionalFormatting>
  <dataValidations count="5">
    <dataValidation type="list" sqref="B25:B74 B5:B20" xr:uid="{00000000-0002-0000-0200-000001000000}">
      <formula1>"Residential,Administration,Finance,Facilities,HR,ELC,LLL,Prof. Services,Behavioral,IT,Other"</formula1>
    </dataValidation>
    <dataValidation type="list" sqref="I25:O74 I5:R20" xr:uid="{00000000-0002-0000-0200-000003000000}">
      <formula1>"Yes,No,N/A,In Progress"</formula1>
    </dataValidation>
    <dataValidation type="list" sqref="P25:P74" xr:uid="{00000000-0002-0000-0200-000004000000}">
      <formula1>"Active,QUIT,Terminated,Resigned,NCNS,Transferred"</formula1>
    </dataValidation>
    <dataValidation type="list" sqref="E5:E20" xr:uid="{00000000-0002-0000-0200-000000000000}">
      <formula1>"Yes,No,Pending"</formula1>
    </dataValidation>
    <dataValidation type="list" sqref="S5:S20" xr:uid="{00000000-0002-0000-0200-000002000000}">
      <formula1>"Active,Terminated,Resigned,NCNS,Suspended"</formula1>
    </dataValidation>
  </dataValidations>
  <hyperlinks>
    <hyperlink ref="A2" location="Dashboard!A1" display="← Dashboard" xr:uid="{00000000-0004-0000-0200-000000000000}"/>
  </hyperlinks>
  <pageMargins left="0.75" right="0.75" top="1" bottom="1" header="0.511811023622047" footer="0.511811023622047"/>
  <pageSetup paperSize="9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2C5282"/>
  </sheetPr>
  <dimension ref="A1:S51"/>
  <sheetViews>
    <sheetView zoomScale="80" zoomScaleNormal="80" workbookViewId="0">
      <pane ySplit="4" topLeftCell="A18" activePane="bottomLeft" state="frozen"/>
      <selection pane="bottomLeft" activeCell="T59" sqref="T59"/>
      <selection activeCell="F16" sqref="F16"/>
    </sheetView>
  </sheetViews>
  <sheetFormatPr defaultColWidth="8.7109375" defaultRowHeight="14.25"/>
  <cols>
    <col min="1" max="1" width="4" style="65" customWidth="1"/>
    <col min="2" max="2" width="15" style="65" customWidth="1"/>
    <col min="3" max="3" width="13" style="65" customWidth="1"/>
    <col min="4" max="4" width="17" style="65" customWidth="1"/>
    <col min="5" max="5" width="16.140625" style="65" customWidth="1"/>
    <col min="6" max="6" width="14" style="65" customWidth="1"/>
    <col min="7" max="7" width="22" style="65" customWidth="1"/>
    <col min="8" max="8" width="12" style="65" customWidth="1"/>
    <col min="9" max="17" width="11" style="65" customWidth="1"/>
    <col min="18" max="18" width="13.42578125" style="65" customWidth="1"/>
    <col min="19" max="19" width="10" style="65" customWidth="1"/>
    <col min="20" max="20" width="8.7109375" style="65" customWidth="1"/>
    <col min="21" max="16384" width="8.7109375" style="65"/>
  </cols>
  <sheetData>
    <row r="1" spans="1:19">
      <c r="A1" s="100" t="s">
        <v>499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</row>
    <row r="2" spans="1:19" s="67" customFormat="1" ht="63.75" customHeight="1">
      <c r="A2" s="66" t="s">
        <v>79</v>
      </c>
      <c r="E2" s="68" t="s">
        <v>402</v>
      </c>
      <c r="F2" s="68">
        <f>D33</f>
        <v>22</v>
      </c>
      <c r="G2" s="69" t="s">
        <v>403</v>
      </c>
      <c r="H2" s="69">
        <f>S33</f>
        <v>6</v>
      </c>
      <c r="I2" s="70" t="s">
        <v>404</v>
      </c>
      <c r="J2" s="70">
        <f>D51</f>
        <v>8</v>
      </c>
      <c r="L2" s="88" t="s">
        <v>405</v>
      </c>
      <c r="M2" s="109"/>
      <c r="N2" s="109"/>
      <c r="O2" s="71">
        <f t="array" ref="O2">IF(COUNTIF(S5:S32,"Active")&gt;0,SUMPRODUCT((S5:S32="Active")*(I5:R32="Yes"))/SUMPRODUCT((S5:S32="Active")*(I5:R32&lt;&gt;"N/A")*(I5:R32&lt;&gt;"")),"—")</f>
        <v>0.63846153846153841</v>
      </c>
    </row>
    <row r="3" spans="1:19">
      <c r="A3" s="103" t="s">
        <v>406</v>
      </c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</row>
    <row r="4" spans="1:19">
      <c r="A4" s="27" t="s">
        <v>407</v>
      </c>
      <c r="B4" s="27" t="s">
        <v>408</v>
      </c>
      <c r="C4" s="27" t="s">
        <v>409</v>
      </c>
      <c r="D4" s="27" t="s">
        <v>410</v>
      </c>
      <c r="E4" s="27" t="s">
        <v>411</v>
      </c>
      <c r="F4" s="27" t="s">
        <v>412</v>
      </c>
      <c r="G4" s="27" t="s">
        <v>413</v>
      </c>
      <c r="H4" s="27" t="s">
        <v>414</v>
      </c>
      <c r="I4" s="27" t="s">
        <v>357</v>
      </c>
      <c r="J4" s="27" t="s">
        <v>69</v>
      </c>
      <c r="K4" s="27" t="s">
        <v>360</v>
      </c>
      <c r="L4" s="27" t="s">
        <v>96</v>
      </c>
      <c r="M4" s="27" t="s">
        <v>72</v>
      </c>
      <c r="N4" s="27" t="s">
        <v>73</v>
      </c>
      <c r="O4" s="27" t="s">
        <v>74</v>
      </c>
      <c r="P4" s="27" t="s">
        <v>75</v>
      </c>
      <c r="Q4" s="27" t="s">
        <v>76</v>
      </c>
      <c r="R4" s="27" t="s">
        <v>77</v>
      </c>
      <c r="S4" s="27" t="s">
        <v>415</v>
      </c>
    </row>
    <row r="5" spans="1:19">
      <c r="A5" s="48">
        <v>1</v>
      </c>
      <c r="B5" s="48" t="s">
        <v>50</v>
      </c>
      <c r="C5" s="48" t="s">
        <v>500</v>
      </c>
      <c r="D5" s="48" t="s">
        <v>501</v>
      </c>
      <c r="E5" s="62" t="s">
        <v>175</v>
      </c>
      <c r="F5" s="49">
        <v>46059</v>
      </c>
      <c r="G5" s="48" t="s">
        <v>431</v>
      </c>
      <c r="H5" s="49">
        <v>46058</v>
      </c>
      <c r="I5" s="48" t="s">
        <v>175</v>
      </c>
      <c r="J5" s="48" t="s">
        <v>432</v>
      </c>
      <c r="K5" s="48" t="s">
        <v>175</v>
      </c>
      <c r="L5" s="48" t="s">
        <v>175</v>
      </c>
      <c r="M5" s="48" t="s">
        <v>432</v>
      </c>
      <c r="N5" s="48" t="s">
        <v>175</v>
      </c>
      <c r="O5" s="48" t="s">
        <v>175</v>
      </c>
      <c r="P5" s="48" t="s">
        <v>175</v>
      </c>
      <c r="Q5" s="48" t="s">
        <v>175</v>
      </c>
      <c r="R5" s="48" t="s">
        <v>432</v>
      </c>
      <c r="S5" s="49" t="s">
        <v>21</v>
      </c>
    </row>
    <row r="6" spans="1:19">
      <c r="A6" s="28">
        <v>2</v>
      </c>
      <c r="B6" s="28" t="s">
        <v>50</v>
      </c>
      <c r="C6" s="28" t="s">
        <v>502</v>
      </c>
      <c r="D6" s="28" t="s">
        <v>503</v>
      </c>
      <c r="E6" s="30" t="s">
        <v>175</v>
      </c>
      <c r="F6" s="29">
        <v>46059</v>
      </c>
      <c r="G6" s="28" t="s">
        <v>504</v>
      </c>
      <c r="H6" s="29">
        <v>46059</v>
      </c>
      <c r="I6" s="28" t="s">
        <v>175</v>
      </c>
      <c r="J6" s="28" t="s">
        <v>432</v>
      </c>
      <c r="K6" s="28" t="s">
        <v>175</v>
      </c>
      <c r="L6" s="28" t="s">
        <v>175</v>
      </c>
      <c r="M6" s="28" t="s">
        <v>175</v>
      </c>
      <c r="N6" s="28" t="s">
        <v>175</v>
      </c>
      <c r="O6" s="28" t="s">
        <v>175</v>
      </c>
      <c r="P6" s="28" t="s">
        <v>419</v>
      </c>
      <c r="Q6" s="28" t="s">
        <v>175</v>
      </c>
      <c r="R6" s="28" t="s">
        <v>419</v>
      </c>
      <c r="S6" s="29" t="s">
        <v>21</v>
      </c>
    </row>
    <row r="7" spans="1:19">
      <c r="A7" s="58">
        <v>3</v>
      </c>
      <c r="B7" s="58" t="s">
        <v>57</v>
      </c>
      <c r="C7" s="58" t="s">
        <v>505</v>
      </c>
      <c r="D7" s="58" t="s">
        <v>506</v>
      </c>
      <c r="E7" s="63">
        <v>46062</v>
      </c>
      <c r="F7" s="59">
        <v>46062</v>
      </c>
      <c r="G7" s="58" t="s">
        <v>507</v>
      </c>
      <c r="H7" s="59">
        <v>46062</v>
      </c>
      <c r="I7" s="58" t="s">
        <v>175</v>
      </c>
      <c r="J7" s="58" t="s">
        <v>432</v>
      </c>
      <c r="K7" s="58" t="s">
        <v>175</v>
      </c>
      <c r="L7" s="58" t="s">
        <v>175</v>
      </c>
      <c r="M7" s="58" t="s">
        <v>432</v>
      </c>
      <c r="N7" s="58" t="s">
        <v>432</v>
      </c>
      <c r="O7" s="58" t="s">
        <v>432</v>
      </c>
      <c r="P7" s="58" t="s">
        <v>432</v>
      </c>
      <c r="Q7" s="58" t="s">
        <v>432</v>
      </c>
      <c r="R7" s="58" t="s">
        <v>432</v>
      </c>
      <c r="S7" s="59" t="s">
        <v>443</v>
      </c>
    </row>
    <row r="8" spans="1:19">
      <c r="A8" s="28">
        <v>4</v>
      </c>
      <c r="B8" s="28" t="s">
        <v>50</v>
      </c>
      <c r="C8" s="28" t="s">
        <v>508</v>
      </c>
      <c r="D8" s="28" t="s">
        <v>509</v>
      </c>
      <c r="E8" s="30" t="s">
        <v>175</v>
      </c>
      <c r="F8" s="29">
        <v>46062</v>
      </c>
      <c r="G8" s="28" t="s">
        <v>510</v>
      </c>
      <c r="H8" s="29">
        <v>46062</v>
      </c>
      <c r="I8" s="28" t="s">
        <v>175</v>
      </c>
      <c r="J8" s="28" t="s">
        <v>175</v>
      </c>
      <c r="K8" s="28" t="s">
        <v>175</v>
      </c>
      <c r="L8" s="28" t="s">
        <v>175</v>
      </c>
      <c r="M8" s="28" t="s">
        <v>432</v>
      </c>
      <c r="N8" s="28" t="s">
        <v>432</v>
      </c>
      <c r="O8" s="28" t="s">
        <v>175</v>
      </c>
      <c r="P8" s="28" t="s">
        <v>175</v>
      </c>
      <c r="Q8" s="28" t="s">
        <v>175</v>
      </c>
      <c r="R8" s="28" t="s">
        <v>175</v>
      </c>
      <c r="S8" s="29" t="s">
        <v>21</v>
      </c>
    </row>
    <row r="9" spans="1:19">
      <c r="A9" s="58"/>
      <c r="B9" s="58" t="s">
        <v>50</v>
      </c>
      <c r="C9" s="58" t="s">
        <v>511</v>
      </c>
      <c r="D9" s="58" t="s">
        <v>512</v>
      </c>
      <c r="E9" s="64">
        <v>46072</v>
      </c>
      <c r="F9" s="59">
        <v>46065</v>
      </c>
      <c r="G9" s="58" t="s">
        <v>513</v>
      </c>
      <c r="H9" s="59"/>
      <c r="I9" s="58" t="s">
        <v>432</v>
      </c>
      <c r="J9" s="58" t="s">
        <v>432</v>
      </c>
      <c r="K9" s="58" t="s">
        <v>432</v>
      </c>
      <c r="L9" s="58" t="s">
        <v>432</v>
      </c>
      <c r="M9" s="58" t="s">
        <v>432</v>
      </c>
      <c r="N9" s="58" t="s">
        <v>432</v>
      </c>
      <c r="O9" s="58"/>
      <c r="P9" s="58" t="s">
        <v>432</v>
      </c>
      <c r="Q9" s="58" t="s">
        <v>432</v>
      </c>
      <c r="R9" s="58" t="s">
        <v>432</v>
      </c>
      <c r="S9" s="59" t="s">
        <v>439</v>
      </c>
    </row>
    <row r="10" spans="1:19">
      <c r="A10" s="28">
        <v>6</v>
      </c>
      <c r="B10" s="28" t="s">
        <v>50</v>
      </c>
      <c r="C10" s="28" t="s">
        <v>514</v>
      </c>
      <c r="D10" s="28" t="s">
        <v>515</v>
      </c>
      <c r="E10" s="40" t="s">
        <v>175</v>
      </c>
      <c r="F10" s="29">
        <v>46063</v>
      </c>
      <c r="G10" s="28" t="s">
        <v>516</v>
      </c>
      <c r="H10" s="29">
        <v>46066</v>
      </c>
      <c r="I10" s="28" t="s">
        <v>175</v>
      </c>
      <c r="J10" s="28" t="s">
        <v>432</v>
      </c>
      <c r="K10" s="28" t="s">
        <v>175</v>
      </c>
      <c r="L10" s="28" t="s">
        <v>175</v>
      </c>
      <c r="M10" s="28" t="s">
        <v>432</v>
      </c>
      <c r="N10" s="28" t="s">
        <v>175</v>
      </c>
      <c r="O10" s="28" t="s">
        <v>432</v>
      </c>
      <c r="P10" s="28" t="s">
        <v>175</v>
      </c>
      <c r="Q10" s="28" t="s">
        <v>175</v>
      </c>
      <c r="R10" s="28" t="s">
        <v>419</v>
      </c>
      <c r="S10" s="29" t="s">
        <v>21</v>
      </c>
    </row>
    <row r="11" spans="1:19">
      <c r="A11" s="48">
        <v>7</v>
      </c>
      <c r="B11" s="48" t="s">
        <v>517</v>
      </c>
      <c r="C11" s="48" t="s">
        <v>518</v>
      </c>
      <c r="D11" s="48" t="s">
        <v>451</v>
      </c>
      <c r="E11" s="62" t="s">
        <v>175</v>
      </c>
      <c r="F11" s="49">
        <v>46063</v>
      </c>
      <c r="G11" s="48" t="s">
        <v>519</v>
      </c>
      <c r="H11" s="49">
        <v>46062</v>
      </c>
      <c r="I11" s="48" t="s">
        <v>175</v>
      </c>
      <c r="J11" s="48" t="s">
        <v>432</v>
      </c>
      <c r="K11" s="48" t="s">
        <v>175</v>
      </c>
      <c r="L11" s="48" t="s">
        <v>175</v>
      </c>
      <c r="M11" s="48" t="s">
        <v>419</v>
      </c>
      <c r="N11" s="48" t="s">
        <v>419</v>
      </c>
      <c r="O11" s="48" t="s">
        <v>419</v>
      </c>
      <c r="P11" s="48" t="s">
        <v>419</v>
      </c>
      <c r="Q11" s="48" t="s">
        <v>419</v>
      </c>
      <c r="R11" s="48" t="s">
        <v>419</v>
      </c>
      <c r="S11" s="49" t="s">
        <v>21</v>
      </c>
    </row>
    <row r="12" spans="1:19">
      <c r="A12" s="28">
        <v>8</v>
      </c>
      <c r="B12" s="28" t="s">
        <v>52</v>
      </c>
      <c r="C12" s="28" t="s">
        <v>520</v>
      </c>
      <c r="D12" s="28" t="s">
        <v>424</v>
      </c>
      <c r="E12" s="30" t="s">
        <v>175</v>
      </c>
      <c r="F12" s="29">
        <v>46077</v>
      </c>
      <c r="G12" s="28" t="s">
        <v>521</v>
      </c>
      <c r="H12" s="29">
        <v>46066</v>
      </c>
      <c r="I12" s="28" t="s">
        <v>175</v>
      </c>
      <c r="J12" s="28" t="s">
        <v>432</v>
      </c>
      <c r="K12" s="28" t="s">
        <v>175</v>
      </c>
      <c r="L12" s="28" t="s">
        <v>175</v>
      </c>
      <c r="M12" s="28" t="s">
        <v>419</v>
      </c>
      <c r="N12" s="28" t="s">
        <v>419</v>
      </c>
      <c r="O12" s="28" t="s">
        <v>419</v>
      </c>
      <c r="P12" s="28" t="s">
        <v>419</v>
      </c>
      <c r="Q12" s="28" t="s">
        <v>419</v>
      </c>
      <c r="R12" s="28" t="s">
        <v>419</v>
      </c>
      <c r="S12" s="29" t="s">
        <v>21</v>
      </c>
    </row>
    <row r="13" spans="1:19">
      <c r="A13" s="48">
        <v>9</v>
      </c>
      <c r="B13" s="48" t="s">
        <v>50</v>
      </c>
      <c r="C13" s="48" t="s">
        <v>522</v>
      </c>
      <c r="D13" s="48" t="s">
        <v>523</v>
      </c>
      <c r="E13" s="62" t="s">
        <v>175</v>
      </c>
      <c r="F13" s="49">
        <v>46076</v>
      </c>
      <c r="G13" s="48" t="s">
        <v>524</v>
      </c>
      <c r="H13" s="49">
        <v>46073</v>
      </c>
      <c r="I13" s="48" t="s">
        <v>175</v>
      </c>
      <c r="J13" s="48" t="s">
        <v>432</v>
      </c>
      <c r="K13" s="48" t="s">
        <v>175</v>
      </c>
      <c r="L13" s="48" t="s">
        <v>175</v>
      </c>
      <c r="M13" s="48" t="s">
        <v>432</v>
      </c>
      <c r="N13" s="48" t="s">
        <v>175</v>
      </c>
      <c r="O13" s="48" t="s">
        <v>432</v>
      </c>
      <c r="P13" s="48" t="s">
        <v>432</v>
      </c>
      <c r="Q13" s="48" t="s">
        <v>432</v>
      </c>
      <c r="R13" s="48" t="s">
        <v>432</v>
      </c>
      <c r="S13" s="49" t="s">
        <v>21</v>
      </c>
    </row>
    <row r="14" spans="1:19">
      <c r="A14" s="28">
        <v>10</v>
      </c>
      <c r="B14" s="28" t="s">
        <v>51</v>
      </c>
      <c r="C14" s="28" t="s">
        <v>525</v>
      </c>
      <c r="D14" s="28" t="s">
        <v>526</v>
      </c>
      <c r="E14" s="30" t="s">
        <v>175</v>
      </c>
      <c r="F14" s="29">
        <v>46069</v>
      </c>
      <c r="G14" s="28" t="s">
        <v>527</v>
      </c>
      <c r="H14" s="29">
        <v>46069</v>
      </c>
      <c r="I14" s="28" t="s">
        <v>175</v>
      </c>
      <c r="J14" s="28" t="s">
        <v>432</v>
      </c>
      <c r="K14" s="28" t="s">
        <v>175</v>
      </c>
      <c r="L14" s="28" t="s">
        <v>175</v>
      </c>
      <c r="M14" s="28" t="s">
        <v>419</v>
      </c>
      <c r="N14" s="28" t="s">
        <v>175</v>
      </c>
      <c r="O14" s="28" t="s">
        <v>419</v>
      </c>
      <c r="P14" s="28" t="s">
        <v>419</v>
      </c>
      <c r="Q14" s="28" t="s">
        <v>419</v>
      </c>
      <c r="R14" s="28" t="s">
        <v>419</v>
      </c>
      <c r="S14" s="29" t="s">
        <v>21</v>
      </c>
    </row>
    <row r="15" spans="1:19">
      <c r="A15" s="48">
        <v>11</v>
      </c>
      <c r="B15" s="48" t="s">
        <v>50</v>
      </c>
      <c r="C15" s="48" t="s">
        <v>528</v>
      </c>
      <c r="D15" s="48" t="s">
        <v>529</v>
      </c>
      <c r="E15" s="62" t="s">
        <v>175</v>
      </c>
      <c r="F15" s="49">
        <v>46077</v>
      </c>
      <c r="G15" s="48" t="s">
        <v>530</v>
      </c>
      <c r="H15" s="49">
        <v>46076</v>
      </c>
      <c r="I15" s="48" t="s">
        <v>432</v>
      </c>
      <c r="J15" s="48" t="s">
        <v>432</v>
      </c>
      <c r="K15" s="48" t="s">
        <v>175</v>
      </c>
      <c r="L15" s="48" t="s">
        <v>432</v>
      </c>
      <c r="M15" s="48" t="s">
        <v>432</v>
      </c>
      <c r="N15" s="48" t="s">
        <v>175</v>
      </c>
      <c r="O15" s="48" t="s">
        <v>432</v>
      </c>
      <c r="P15" s="48" t="s">
        <v>432</v>
      </c>
      <c r="Q15" s="48" t="s">
        <v>432</v>
      </c>
      <c r="R15" s="48" t="s">
        <v>432</v>
      </c>
      <c r="S15" s="49" t="s">
        <v>456</v>
      </c>
    </row>
    <row r="16" spans="1:19">
      <c r="A16" s="28">
        <v>12</v>
      </c>
      <c r="B16" s="28" t="s">
        <v>50</v>
      </c>
      <c r="C16" s="28" t="s">
        <v>531</v>
      </c>
      <c r="D16" s="28" t="s">
        <v>532</v>
      </c>
      <c r="E16" s="30" t="s">
        <v>175</v>
      </c>
      <c r="F16" s="29">
        <v>46072</v>
      </c>
      <c r="G16" s="28" t="s">
        <v>533</v>
      </c>
      <c r="H16" s="29">
        <v>46072</v>
      </c>
      <c r="I16" s="28" t="s">
        <v>175</v>
      </c>
      <c r="J16" s="28" t="s">
        <v>432</v>
      </c>
      <c r="K16" s="28" t="s">
        <v>175</v>
      </c>
      <c r="L16" s="28" t="s">
        <v>175</v>
      </c>
      <c r="M16" s="28" t="s">
        <v>432</v>
      </c>
      <c r="N16" s="28" t="s">
        <v>175</v>
      </c>
      <c r="O16" s="28" t="s">
        <v>175</v>
      </c>
      <c r="P16" s="28" t="s">
        <v>175</v>
      </c>
      <c r="Q16" s="28" t="s">
        <v>175</v>
      </c>
      <c r="R16" s="31" t="s">
        <v>419</v>
      </c>
      <c r="S16" s="29" t="s">
        <v>21</v>
      </c>
    </row>
    <row r="17" spans="1:19">
      <c r="A17" s="48">
        <v>13</v>
      </c>
      <c r="B17" s="48" t="s">
        <v>50</v>
      </c>
      <c r="C17" s="48" t="s">
        <v>534</v>
      </c>
      <c r="D17" s="48" t="s">
        <v>535</v>
      </c>
      <c r="E17" s="62" t="s">
        <v>175</v>
      </c>
      <c r="F17" s="49">
        <v>46076</v>
      </c>
      <c r="G17" s="48" t="s">
        <v>536</v>
      </c>
      <c r="H17" s="49">
        <v>46073</v>
      </c>
      <c r="I17" s="48" t="s">
        <v>175</v>
      </c>
      <c r="J17" s="48" t="s">
        <v>175</v>
      </c>
      <c r="K17" s="48" t="s">
        <v>175</v>
      </c>
      <c r="L17" s="48" t="s">
        <v>175</v>
      </c>
      <c r="M17" s="48" t="s">
        <v>432</v>
      </c>
      <c r="N17" s="48" t="s">
        <v>175</v>
      </c>
      <c r="O17" s="48" t="s">
        <v>175</v>
      </c>
      <c r="P17" s="48" t="s">
        <v>419</v>
      </c>
      <c r="Q17" s="48" t="s">
        <v>175</v>
      </c>
      <c r="R17" s="48" t="s">
        <v>419</v>
      </c>
      <c r="S17" s="49" t="s">
        <v>21</v>
      </c>
    </row>
    <row r="18" spans="1:19">
      <c r="A18" s="28">
        <v>14</v>
      </c>
      <c r="B18" s="28" t="s">
        <v>50</v>
      </c>
      <c r="C18" s="28" t="s">
        <v>537</v>
      </c>
      <c r="D18" s="28" t="s">
        <v>538</v>
      </c>
      <c r="E18" s="30" t="s">
        <v>175</v>
      </c>
      <c r="F18" s="29">
        <v>46077</v>
      </c>
      <c r="G18" s="28" t="s">
        <v>539</v>
      </c>
      <c r="H18" s="29">
        <v>46076</v>
      </c>
      <c r="I18" s="28" t="s">
        <v>175</v>
      </c>
      <c r="J18" s="28" t="s">
        <v>432</v>
      </c>
      <c r="K18" s="28" t="s">
        <v>175</v>
      </c>
      <c r="L18" s="28" t="s">
        <v>175</v>
      </c>
      <c r="M18" s="28" t="s">
        <v>175</v>
      </c>
      <c r="N18" s="28" t="s">
        <v>175</v>
      </c>
      <c r="O18" s="28" t="s">
        <v>175</v>
      </c>
      <c r="P18" s="28" t="s">
        <v>419</v>
      </c>
      <c r="Q18" s="28" t="s">
        <v>175</v>
      </c>
      <c r="R18" s="31" t="s">
        <v>419</v>
      </c>
      <c r="S18" s="29" t="s">
        <v>21</v>
      </c>
    </row>
    <row r="19" spans="1:19">
      <c r="A19" s="48">
        <v>15</v>
      </c>
      <c r="B19" s="48" t="s">
        <v>50</v>
      </c>
      <c r="C19" s="48" t="s">
        <v>540</v>
      </c>
      <c r="D19" s="48" t="s">
        <v>541</v>
      </c>
      <c r="E19" s="62" t="s">
        <v>175</v>
      </c>
      <c r="F19" s="49">
        <v>46077</v>
      </c>
      <c r="G19" s="48" t="s">
        <v>539</v>
      </c>
      <c r="H19" s="49">
        <v>46073</v>
      </c>
      <c r="I19" s="48" t="s">
        <v>175</v>
      </c>
      <c r="J19" s="48" t="s">
        <v>175</v>
      </c>
      <c r="K19" s="48" t="s">
        <v>175</v>
      </c>
      <c r="L19" s="48" t="s">
        <v>175</v>
      </c>
      <c r="M19" s="48" t="s">
        <v>432</v>
      </c>
      <c r="N19" s="48" t="s">
        <v>175</v>
      </c>
      <c r="O19" s="48" t="s">
        <v>432</v>
      </c>
      <c r="P19" s="48" t="s">
        <v>419</v>
      </c>
      <c r="Q19" s="48" t="s">
        <v>175</v>
      </c>
      <c r="R19" s="48" t="s">
        <v>419</v>
      </c>
      <c r="S19" s="49" t="s">
        <v>21</v>
      </c>
    </row>
    <row r="20" spans="1:19">
      <c r="A20" s="28">
        <v>16</v>
      </c>
      <c r="B20" s="28" t="s">
        <v>50</v>
      </c>
      <c r="C20" s="28" t="s">
        <v>542</v>
      </c>
      <c r="D20" s="28" t="s">
        <v>543</v>
      </c>
      <c r="E20" s="30" t="s">
        <v>175</v>
      </c>
      <c r="F20" s="29">
        <v>46077</v>
      </c>
      <c r="G20" s="28" t="s">
        <v>539</v>
      </c>
      <c r="H20" s="29">
        <v>46077</v>
      </c>
      <c r="I20" s="28" t="s">
        <v>175</v>
      </c>
      <c r="J20" s="28" t="s">
        <v>432</v>
      </c>
      <c r="K20" s="28" t="s">
        <v>175</v>
      </c>
      <c r="L20" s="28" t="s">
        <v>175</v>
      </c>
      <c r="M20" s="28" t="s">
        <v>432</v>
      </c>
      <c r="N20" s="28" t="s">
        <v>175</v>
      </c>
      <c r="O20" s="28" t="s">
        <v>175</v>
      </c>
      <c r="P20" s="28" t="s">
        <v>419</v>
      </c>
      <c r="Q20" s="28" t="s">
        <v>175</v>
      </c>
      <c r="R20" s="28" t="s">
        <v>419</v>
      </c>
      <c r="S20" s="29" t="s">
        <v>21</v>
      </c>
    </row>
    <row r="21" spans="1:19">
      <c r="A21" s="48">
        <v>17</v>
      </c>
      <c r="B21" s="48" t="s">
        <v>50</v>
      </c>
      <c r="C21" s="48" t="s">
        <v>544</v>
      </c>
      <c r="D21" s="48" t="s">
        <v>545</v>
      </c>
      <c r="E21" s="62" t="s">
        <v>175</v>
      </c>
      <c r="F21" s="49">
        <v>46083</v>
      </c>
      <c r="G21" s="48" t="s">
        <v>546</v>
      </c>
      <c r="H21" s="49">
        <v>46083</v>
      </c>
      <c r="I21" s="48" t="s">
        <v>175</v>
      </c>
      <c r="J21" s="48" t="s">
        <v>432</v>
      </c>
      <c r="K21" s="48" t="s">
        <v>432</v>
      </c>
      <c r="L21" s="48" t="s">
        <v>175</v>
      </c>
      <c r="M21" s="48" t="s">
        <v>432</v>
      </c>
      <c r="N21" s="48" t="s">
        <v>432</v>
      </c>
      <c r="O21" s="48" t="s">
        <v>175</v>
      </c>
      <c r="P21" s="48" t="s">
        <v>432</v>
      </c>
      <c r="Q21" s="48" t="s">
        <v>432</v>
      </c>
      <c r="R21" s="48" t="s">
        <v>419</v>
      </c>
      <c r="S21" s="49" t="s">
        <v>21</v>
      </c>
    </row>
    <row r="22" spans="1:19">
      <c r="A22" s="28">
        <v>18</v>
      </c>
      <c r="B22" s="28" t="s">
        <v>50</v>
      </c>
      <c r="C22" s="28" t="s">
        <v>547</v>
      </c>
      <c r="D22" s="28" t="s">
        <v>548</v>
      </c>
      <c r="E22" s="28" t="s">
        <v>175</v>
      </c>
      <c r="F22" s="29">
        <v>46091</v>
      </c>
      <c r="G22" s="28" t="s">
        <v>549</v>
      </c>
      <c r="H22" s="29">
        <v>46090</v>
      </c>
      <c r="I22" s="28" t="s">
        <v>175</v>
      </c>
      <c r="J22" s="28" t="s">
        <v>432</v>
      </c>
      <c r="K22" s="28" t="s">
        <v>432</v>
      </c>
      <c r="L22" s="28" t="s">
        <v>175</v>
      </c>
      <c r="M22" s="28" t="s">
        <v>432</v>
      </c>
      <c r="N22" s="28" t="s">
        <v>432</v>
      </c>
      <c r="O22" s="28" t="s">
        <v>432</v>
      </c>
      <c r="P22" s="28" t="s">
        <v>432</v>
      </c>
      <c r="Q22" s="28" t="s">
        <v>432</v>
      </c>
      <c r="R22" s="28" t="s">
        <v>432</v>
      </c>
      <c r="S22" s="29" t="s">
        <v>21</v>
      </c>
    </row>
    <row r="23" spans="1:19">
      <c r="A23" s="48">
        <v>19</v>
      </c>
      <c r="B23" s="48" t="s">
        <v>50</v>
      </c>
      <c r="C23" s="48" t="s">
        <v>550</v>
      </c>
      <c r="D23" s="48" t="s">
        <v>551</v>
      </c>
      <c r="E23" s="48" t="s">
        <v>175</v>
      </c>
      <c r="F23" s="49">
        <v>46084</v>
      </c>
      <c r="G23" s="48" t="s">
        <v>552</v>
      </c>
      <c r="H23" s="49">
        <v>46084</v>
      </c>
      <c r="I23" s="48" t="s">
        <v>175</v>
      </c>
      <c r="J23" s="48" t="s">
        <v>432</v>
      </c>
      <c r="K23" s="48" t="s">
        <v>432</v>
      </c>
      <c r="L23" s="48" t="s">
        <v>175</v>
      </c>
      <c r="M23" s="48" t="s">
        <v>432</v>
      </c>
      <c r="N23" s="48" t="s">
        <v>432</v>
      </c>
      <c r="O23" s="48" t="s">
        <v>175</v>
      </c>
      <c r="P23" s="48" t="s">
        <v>432</v>
      </c>
      <c r="Q23" s="48" t="s">
        <v>432</v>
      </c>
      <c r="R23" s="48" t="s">
        <v>419</v>
      </c>
      <c r="S23" s="49" t="s">
        <v>456</v>
      </c>
    </row>
    <row r="24" spans="1:19">
      <c r="A24" s="28">
        <v>20</v>
      </c>
      <c r="B24" s="28" t="s">
        <v>50</v>
      </c>
      <c r="C24" s="28" t="s">
        <v>553</v>
      </c>
      <c r="D24" s="28" t="s">
        <v>554</v>
      </c>
      <c r="E24" s="57" t="s">
        <v>175</v>
      </c>
      <c r="F24" s="29">
        <v>46080</v>
      </c>
      <c r="G24" s="28" t="s">
        <v>555</v>
      </c>
      <c r="H24" s="29">
        <v>46080</v>
      </c>
      <c r="I24" s="28" t="s">
        <v>175</v>
      </c>
      <c r="J24" s="28" t="s">
        <v>432</v>
      </c>
      <c r="K24" s="28" t="s">
        <v>432</v>
      </c>
      <c r="L24" s="28" t="s">
        <v>175</v>
      </c>
      <c r="M24" s="28" t="s">
        <v>432</v>
      </c>
      <c r="N24" s="28" t="s">
        <v>432</v>
      </c>
      <c r="O24" s="28" t="s">
        <v>175</v>
      </c>
      <c r="P24" s="28" t="s">
        <v>432</v>
      </c>
      <c r="Q24" s="28" t="s">
        <v>432</v>
      </c>
      <c r="R24" s="28" t="s">
        <v>432</v>
      </c>
      <c r="S24" s="29" t="s">
        <v>21</v>
      </c>
    </row>
    <row r="25" spans="1:19">
      <c r="A25" s="48">
        <v>21</v>
      </c>
      <c r="B25" s="48" t="s">
        <v>50</v>
      </c>
      <c r="C25" s="48" t="s">
        <v>556</v>
      </c>
      <c r="D25" s="48" t="s">
        <v>557</v>
      </c>
      <c r="E25" s="48" t="s">
        <v>175</v>
      </c>
      <c r="F25" s="49">
        <v>46085</v>
      </c>
      <c r="G25" s="48" t="s">
        <v>558</v>
      </c>
      <c r="H25" s="49">
        <v>46086</v>
      </c>
      <c r="I25" s="48" t="s">
        <v>432</v>
      </c>
      <c r="J25" s="48"/>
      <c r="K25" s="48"/>
      <c r="L25" s="48"/>
      <c r="M25" s="48"/>
      <c r="N25" s="48"/>
      <c r="O25" s="48"/>
      <c r="P25" s="48"/>
      <c r="Q25" s="48"/>
      <c r="R25" s="48"/>
      <c r="S25" s="49" t="s">
        <v>456</v>
      </c>
    </row>
    <row r="26" spans="1:19">
      <c r="A26" s="28">
        <v>22</v>
      </c>
      <c r="B26" s="78" t="s">
        <v>50</v>
      </c>
      <c r="C26" s="78" t="s">
        <v>559</v>
      </c>
      <c r="D26" s="78" t="s">
        <v>560</v>
      </c>
      <c r="E26" s="78" t="s">
        <v>175</v>
      </c>
      <c r="F26" s="79">
        <v>46087</v>
      </c>
      <c r="G26" s="78" t="s">
        <v>524</v>
      </c>
      <c r="H26" s="79">
        <v>46087</v>
      </c>
      <c r="I26" s="78" t="s">
        <v>432</v>
      </c>
      <c r="J26" s="78"/>
      <c r="K26" s="78"/>
      <c r="L26" s="78"/>
      <c r="M26" s="78"/>
      <c r="N26" s="78"/>
      <c r="O26" s="78"/>
      <c r="P26" s="78"/>
      <c r="Q26" s="78"/>
      <c r="R26" s="78"/>
      <c r="S26" s="79" t="s">
        <v>456</v>
      </c>
    </row>
    <row r="27" spans="1:19">
      <c r="A27" s="48">
        <v>45</v>
      </c>
      <c r="B27" s="48"/>
      <c r="C27" s="48"/>
      <c r="D27" s="48"/>
      <c r="E27" s="48"/>
      <c r="F27" s="49"/>
      <c r="G27" s="48"/>
      <c r="H27" s="49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9"/>
    </row>
    <row r="28" spans="1:19">
      <c r="A28" s="28">
        <v>46</v>
      </c>
      <c r="B28" s="28"/>
      <c r="C28" s="28"/>
      <c r="D28" s="28"/>
      <c r="E28" s="28"/>
      <c r="F28" s="29"/>
      <c r="G28" s="28"/>
      <c r="H28" s="29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9"/>
    </row>
    <row r="29" spans="1:19">
      <c r="A29" s="48">
        <v>47</v>
      </c>
      <c r="B29" s="48"/>
      <c r="C29" s="48"/>
      <c r="D29" s="48"/>
      <c r="E29" s="48"/>
      <c r="F29" s="49"/>
      <c r="G29" s="48"/>
      <c r="H29" s="49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9"/>
    </row>
    <row r="30" spans="1:19">
      <c r="A30" s="28">
        <v>48</v>
      </c>
      <c r="B30" s="28"/>
      <c r="C30" s="28"/>
      <c r="D30" s="28"/>
      <c r="E30" s="28"/>
      <c r="F30" s="29"/>
      <c r="G30" s="28"/>
      <c r="H30" s="29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9"/>
    </row>
    <row r="31" spans="1:19">
      <c r="A31" s="48">
        <v>49</v>
      </c>
      <c r="B31" s="48"/>
      <c r="C31" s="48"/>
      <c r="D31" s="48"/>
      <c r="E31" s="48"/>
      <c r="F31" s="49"/>
      <c r="G31" s="48"/>
      <c r="H31" s="49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9"/>
    </row>
    <row r="32" spans="1:19">
      <c r="A32" s="28">
        <v>50</v>
      </c>
      <c r="B32" s="28"/>
      <c r="C32" s="28"/>
      <c r="D32" s="28"/>
      <c r="E32" s="28"/>
      <c r="F32" s="29"/>
      <c r="G32" s="28"/>
      <c r="H32" s="29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9"/>
    </row>
    <row r="33" spans="1:19" s="73" customFormat="1" ht="12.75" customHeight="1">
      <c r="A33" s="106" t="s">
        <v>460</v>
      </c>
      <c r="B33" s="112"/>
      <c r="C33" s="112"/>
      <c r="D33" s="8">
        <f>COUNTA(C5:C32)</f>
        <v>22</v>
      </c>
      <c r="I33" s="8" t="s">
        <v>461</v>
      </c>
      <c r="J33" s="84">
        <f t="array" ref="J33">COUNTIF(S5:S32,"Active")-SUMPRODUCT((S5:S32="Active")*(I5:I32="Yes")*(J5:J32="Yes")*(K5:K32="Yes")*(L5:L32="Yes")*(M5:M32="Yes")*(N5:N32="Yes")*(O5:O32="Yes")*(P5:P32="Yes")*(Q5:Q32="Yes")*(R5:R32="Yes"))</f>
        <v>16</v>
      </c>
      <c r="P33" s="72"/>
      <c r="Q33" s="106" t="s">
        <v>462</v>
      </c>
      <c r="R33" s="107"/>
      <c r="S33" s="84">
        <f>COUNTIF(S5:S32,"Terminated")+COUNTIF(S5:S32,"Resigned")+COUNTIF(S5:S32,"NCNS")</f>
        <v>6</v>
      </c>
    </row>
    <row r="35" spans="1:19">
      <c r="A35" s="105" t="s">
        <v>463</v>
      </c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</row>
    <row r="36" spans="1:19" ht="22.5" customHeight="1">
      <c r="A36" s="27" t="s">
        <v>407</v>
      </c>
      <c r="B36" s="27" t="s">
        <v>408</v>
      </c>
      <c r="C36" s="27" t="s">
        <v>409</v>
      </c>
      <c r="D36" s="27" t="s">
        <v>464</v>
      </c>
      <c r="E36" s="27" t="s">
        <v>465</v>
      </c>
      <c r="F36" s="27" t="s">
        <v>466</v>
      </c>
      <c r="G36" s="27" t="s">
        <v>467</v>
      </c>
      <c r="H36" s="80" t="s">
        <v>468</v>
      </c>
      <c r="I36" s="27" t="s">
        <v>469</v>
      </c>
      <c r="J36" s="27" t="s">
        <v>470</v>
      </c>
      <c r="K36" s="27" t="s">
        <v>73</v>
      </c>
      <c r="L36" s="27" t="s">
        <v>74</v>
      </c>
      <c r="M36" s="27" t="s">
        <v>471</v>
      </c>
      <c r="N36" s="27" t="s">
        <v>76</v>
      </c>
      <c r="O36" s="27" t="s">
        <v>472</v>
      </c>
      <c r="P36" s="27" t="s">
        <v>415</v>
      </c>
    </row>
    <row r="37" spans="1:19">
      <c r="A37" s="48">
        <v>1</v>
      </c>
      <c r="B37" s="48" t="s">
        <v>58</v>
      </c>
      <c r="C37" s="48" t="s">
        <v>561</v>
      </c>
      <c r="D37" s="48" t="s">
        <v>562</v>
      </c>
      <c r="E37" s="48" t="s">
        <v>563</v>
      </c>
      <c r="F37" s="48" t="s">
        <v>564</v>
      </c>
      <c r="G37" s="49">
        <v>46049</v>
      </c>
      <c r="H37" s="76" t="s">
        <v>419</v>
      </c>
      <c r="I37" s="48" t="s">
        <v>419</v>
      </c>
      <c r="J37" s="48" t="s">
        <v>432</v>
      </c>
      <c r="K37" s="48" t="s">
        <v>175</v>
      </c>
      <c r="L37" s="48" t="s">
        <v>419</v>
      </c>
      <c r="M37" s="48" t="s">
        <v>419</v>
      </c>
      <c r="N37" s="48" t="s">
        <v>419</v>
      </c>
      <c r="O37" s="48" t="s">
        <v>419</v>
      </c>
      <c r="P37" s="48" t="s">
        <v>21</v>
      </c>
    </row>
    <row r="38" spans="1:19" ht="22.5" customHeight="1">
      <c r="A38" s="28">
        <v>2</v>
      </c>
      <c r="B38" s="28" t="s">
        <v>55</v>
      </c>
      <c r="C38" s="28" t="s">
        <v>565</v>
      </c>
      <c r="D38" s="28" t="s">
        <v>566</v>
      </c>
      <c r="E38" s="28" t="s">
        <v>567</v>
      </c>
      <c r="F38" s="28" t="s">
        <v>568</v>
      </c>
      <c r="G38" s="29">
        <v>46049</v>
      </c>
      <c r="H38" s="76" t="s">
        <v>419</v>
      </c>
      <c r="I38" s="28" t="s">
        <v>419</v>
      </c>
      <c r="J38" s="28" t="s">
        <v>432</v>
      </c>
      <c r="K38" s="28" t="s">
        <v>419</v>
      </c>
      <c r="L38" s="28" t="s">
        <v>419</v>
      </c>
      <c r="M38" s="28" t="s">
        <v>419</v>
      </c>
      <c r="N38" s="28" t="s">
        <v>419</v>
      </c>
      <c r="O38" s="31" t="s">
        <v>419</v>
      </c>
      <c r="P38" s="31" t="s">
        <v>21</v>
      </c>
    </row>
    <row r="39" spans="1:19">
      <c r="A39" s="48">
        <v>3</v>
      </c>
      <c r="B39" s="48" t="s">
        <v>53</v>
      </c>
      <c r="C39" s="48" t="s">
        <v>569</v>
      </c>
      <c r="D39" s="48" t="s">
        <v>570</v>
      </c>
      <c r="E39" s="48" t="s">
        <v>571</v>
      </c>
      <c r="F39" s="48" t="s">
        <v>572</v>
      </c>
      <c r="G39" s="49">
        <v>46054</v>
      </c>
      <c r="H39" s="76" t="s">
        <v>419</v>
      </c>
      <c r="I39" s="48" t="s">
        <v>419</v>
      </c>
      <c r="J39" s="48" t="s">
        <v>175</v>
      </c>
      <c r="K39" s="48" t="s">
        <v>419</v>
      </c>
      <c r="L39" s="48" t="s">
        <v>419</v>
      </c>
      <c r="M39" s="48" t="s">
        <v>419</v>
      </c>
      <c r="N39" s="48" t="s">
        <v>419</v>
      </c>
      <c r="O39" s="48" t="s">
        <v>419</v>
      </c>
      <c r="P39" s="48" t="s">
        <v>21</v>
      </c>
    </row>
    <row r="40" spans="1:19">
      <c r="A40" s="28">
        <v>4</v>
      </c>
      <c r="B40" s="28" t="s">
        <v>57</v>
      </c>
      <c r="C40" s="28" t="s">
        <v>573</v>
      </c>
      <c r="D40" s="28" t="s">
        <v>574</v>
      </c>
      <c r="E40" s="28" t="s">
        <v>564</v>
      </c>
      <c r="F40" s="28" t="s">
        <v>575</v>
      </c>
      <c r="G40" s="29">
        <v>46069</v>
      </c>
      <c r="H40" s="76" t="s">
        <v>419</v>
      </c>
      <c r="I40" s="28" t="s">
        <v>419</v>
      </c>
      <c r="J40" s="28" t="s">
        <v>432</v>
      </c>
      <c r="K40" s="28" t="s">
        <v>419</v>
      </c>
      <c r="L40" s="28" t="s">
        <v>419</v>
      </c>
      <c r="M40" s="28" t="s">
        <v>419</v>
      </c>
      <c r="N40" s="28" t="s">
        <v>419</v>
      </c>
      <c r="O40" s="31" t="s">
        <v>419</v>
      </c>
      <c r="P40" s="31" t="s">
        <v>21</v>
      </c>
    </row>
    <row r="41" spans="1:19">
      <c r="A41" s="48">
        <v>5</v>
      </c>
      <c r="B41" s="48" t="s">
        <v>55</v>
      </c>
      <c r="C41" s="48" t="s">
        <v>576</v>
      </c>
      <c r="D41" s="48" t="s">
        <v>577</v>
      </c>
      <c r="E41" s="48" t="s">
        <v>578</v>
      </c>
      <c r="F41" s="48" t="s">
        <v>579</v>
      </c>
      <c r="G41" s="49">
        <v>46069</v>
      </c>
      <c r="H41" s="76" t="s">
        <v>419</v>
      </c>
      <c r="I41" s="48" t="s">
        <v>419</v>
      </c>
      <c r="J41" s="48" t="s">
        <v>432</v>
      </c>
      <c r="K41" s="48" t="s">
        <v>419</v>
      </c>
      <c r="L41" s="48" t="s">
        <v>419</v>
      </c>
      <c r="M41" s="48" t="s">
        <v>419</v>
      </c>
      <c r="N41" s="48" t="s">
        <v>419</v>
      </c>
      <c r="O41" s="48" t="s">
        <v>419</v>
      </c>
      <c r="P41" s="48" t="s">
        <v>21</v>
      </c>
    </row>
    <row r="42" spans="1:19">
      <c r="A42" s="28">
        <v>6</v>
      </c>
      <c r="B42" s="28" t="s">
        <v>50</v>
      </c>
      <c r="C42" s="28" t="s">
        <v>580</v>
      </c>
      <c r="D42" s="28" t="s">
        <v>581</v>
      </c>
      <c r="E42" s="28" t="s">
        <v>491</v>
      </c>
      <c r="F42" s="28" t="s">
        <v>582</v>
      </c>
      <c r="G42" s="29">
        <v>46077</v>
      </c>
      <c r="H42" s="76" t="s">
        <v>419</v>
      </c>
      <c r="I42" s="28" t="s">
        <v>432</v>
      </c>
      <c r="J42" s="28" t="s">
        <v>419</v>
      </c>
      <c r="K42" s="28" t="s">
        <v>419</v>
      </c>
      <c r="L42" s="28" t="s">
        <v>175</v>
      </c>
      <c r="M42" s="28"/>
      <c r="N42" s="28"/>
      <c r="O42" s="31"/>
      <c r="P42" s="31" t="s">
        <v>21</v>
      </c>
    </row>
    <row r="43" spans="1:19">
      <c r="A43" s="48">
        <v>7</v>
      </c>
      <c r="B43" s="48" t="s">
        <v>50</v>
      </c>
      <c r="C43" s="48" t="s">
        <v>583</v>
      </c>
      <c r="D43" s="48" t="s">
        <v>584</v>
      </c>
      <c r="E43" s="48" t="s">
        <v>485</v>
      </c>
      <c r="F43" s="48" t="s">
        <v>585</v>
      </c>
      <c r="G43" s="49">
        <v>46069</v>
      </c>
      <c r="H43" s="76" t="s">
        <v>419</v>
      </c>
      <c r="I43" s="48" t="s">
        <v>419</v>
      </c>
      <c r="J43" s="48" t="s">
        <v>419</v>
      </c>
      <c r="K43" s="48" t="s">
        <v>175</v>
      </c>
      <c r="L43" s="48" t="s">
        <v>175</v>
      </c>
      <c r="M43" s="48"/>
      <c r="N43" s="48"/>
      <c r="O43" s="48"/>
      <c r="P43" s="48" t="s">
        <v>21</v>
      </c>
    </row>
    <row r="44" spans="1:19">
      <c r="A44" s="28">
        <v>8</v>
      </c>
      <c r="B44" s="28" t="s">
        <v>50</v>
      </c>
      <c r="C44" s="28" t="s">
        <v>586</v>
      </c>
      <c r="D44" s="28" t="s">
        <v>587</v>
      </c>
      <c r="E44" s="28" t="s">
        <v>585</v>
      </c>
      <c r="F44" s="28" t="s">
        <v>475</v>
      </c>
      <c r="G44" s="29">
        <v>46069</v>
      </c>
      <c r="H44" s="76" t="s">
        <v>419</v>
      </c>
      <c r="I44" s="28" t="s">
        <v>419</v>
      </c>
      <c r="J44" s="28" t="s">
        <v>419</v>
      </c>
      <c r="K44" s="28" t="s">
        <v>175</v>
      </c>
      <c r="L44" s="28" t="s">
        <v>419</v>
      </c>
      <c r="M44" s="28"/>
      <c r="N44" s="28"/>
      <c r="O44" s="31"/>
      <c r="P44" s="31" t="s">
        <v>21</v>
      </c>
    </row>
    <row r="45" spans="1:19">
      <c r="A45" s="48">
        <v>9</v>
      </c>
      <c r="B45" s="48"/>
      <c r="C45" s="48"/>
      <c r="D45" s="48"/>
      <c r="E45" s="48"/>
      <c r="F45" s="48"/>
      <c r="G45" s="49"/>
      <c r="H45" s="76"/>
      <c r="I45" s="48"/>
      <c r="J45" s="48"/>
      <c r="K45" s="48"/>
      <c r="L45" s="48"/>
      <c r="M45" s="48"/>
      <c r="N45" s="48"/>
      <c r="O45" s="48"/>
      <c r="P45" s="48"/>
    </row>
    <row r="46" spans="1:19">
      <c r="A46" s="28">
        <v>10</v>
      </c>
      <c r="B46" s="28"/>
      <c r="C46" s="28"/>
      <c r="D46" s="28"/>
      <c r="E46" s="28"/>
      <c r="F46" s="28"/>
      <c r="G46" s="29"/>
      <c r="H46" s="75"/>
      <c r="I46" s="28"/>
      <c r="J46" s="28"/>
      <c r="K46" s="28"/>
      <c r="L46" s="28"/>
      <c r="M46" s="28"/>
      <c r="N46" s="28"/>
      <c r="O46" s="28"/>
      <c r="P46" s="28"/>
    </row>
    <row r="47" spans="1:19">
      <c r="A47" s="48">
        <v>11</v>
      </c>
      <c r="B47" s="48"/>
      <c r="C47" s="48"/>
      <c r="D47" s="48"/>
      <c r="E47" s="48"/>
      <c r="F47" s="48"/>
      <c r="G47" s="49"/>
      <c r="H47" s="76"/>
      <c r="I47" s="48"/>
      <c r="J47" s="48"/>
      <c r="K47" s="48"/>
      <c r="L47" s="48"/>
      <c r="M47" s="48"/>
      <c r="N47" s="48"/>
      <c r="O47" s="48"/>
      <c r="P47" s="48"/>
    </row>
    <row r="48" spans="1:19">
      <c r="A48" s="48">
        <v>33</v>
      </c>
      <c r="B48" s="48"/>
      <c r="C48" s="48"/>
      <c r="D48" s="48"/>
      <c r="E48" s="48"/>
      <c r="F48" s="48"/>
      <c r="G48" s="49"/>
      <c r="H48" s="76"/>
      <c r="I48" s="48"/>
      <c r="J48" s="48"/>
      <c r="K48" s="48"/>
      <c r="L48" s="48"/>
      <c r="M48" s="48"/>
      <c r="N48" s="48"/>
      <c r="O48" s="48"/>
      <c r="P48" s="48"/>
    </row>
    <row r="49" spans="1:16">
      <c r="A49" s="28">
        <v>34</v>
      </c>
      <c r="B49" s="28"/>
      <c r="C49" s="28"/>
      <c r="D49" s="28"/>
      <c r="E49" s="28"/>
      <c r="F49" s="28"/>
      <c r="G49" s="29"/>
      <c r="H49" s="75"/>
      <c r="I49" s="28"/>
      <c r="J49" s="28"/>
      <c r="K49" s="28"/>
      <c r="L49" s="28"/>
      <c r="M49" s="28"/>
      <c r="N49" s="28"/>
      <c r="O49" s="28"/>
      <c r="P49" s="28"/>
    </row>
    <row r="50" spans="1:16">
      <c r="A50" s="48">
        <v>35</v>
      </c>
      <c r="B50" s="48"/>
      <c r="C50" s="48"/>
      <c r="D50" s="48"/>
      <c r="E50" s="48"/>
      <c r="F50" s="48"/>
      <c r="G50" s="49"/>
      <c r="H50" s="76"/>
      <c r="I50" s="48"/>
      <c r="J50" s="48"/>
      <c r="K50" s="48"/>
      <c r="L50" s="48"/>
      <c r="M50" s="48"/>
      <c r="N50" s="48"/>
      <c r="O50" s="48"/>
      <c r="P50" s="48"/>
    </row>
    <row r="51" spans="1:16" s="73" customFormat="1" ht="12.75" customHeight="1">
      <c r="A51" s="106" t="s">
        <v>498</v>
      </c>
      <c r="B51" s="112"/>
      <c r="C51" s="112"/>
      <c r="D51" s="8">
        <f>COUNTA(C37:C50)</f>
        <v>8</v>
      </c>
    </row>
  </sheetData>
  <mergeCells count="7">
    <mergeCell ref="Q33:R33"/>
    <mergeCell ref="A1:S1"/>
    <mergeCell ref="A51:C51"/>
    <mergeCell ref="A3:S3"/>
    <mergeCell ref="A33:C33"/>
    <mergeCell ref="L2:N2"/>
    <mergeCell ref="A35:P35"/>
  </mergeCells>
  <conditionalFormatting sqref="A5:S32">
    <cfRule type="expression" dxfId="95" priority="10">
      <formula>$S5="Terminated"</formula>
    </cfRule>
    <cfRule type="expression" dxfId="94" priority="11">
      <formula>$S5="Resigned"</formula>
    </cfRule>
    <cfRule type="expression" dxfId="93" priority="12">
      <formula>$S5="NCNS"</formula>
    </cfRule>
    <cfRule type="expression" dxfId="92" priority="13">
      <formula>$S5="Suspended"</formula>
    </cfRule>
  </conditionalFormatting>
  <conditionalFormatting sqref="A37:O50">
    <cfRule type="expression" dxfId="91" priority="14">
      <formula>$O37="QUIT"</formula>
    </cfRule>
    <cfRule type="expression" dxfId="90" priority="15">
      <formula>$O37="Terminated"</formula>
    </cfRule>
    <cfRule type="expression" dxfId="89" priority="16">
      <formula>$O37="Resigned"</formula>
    </cfRule>
    <cfRule type="expression" dxfId="88" priority="17">
      <formula>$O37="NCNS"</formula>
    </cfRule>
  </conditionalFormatting>
  <conditionalFormatting sqref="J33">
    <cfRule type="expression" dxfId="87" priority="5">
      <formula>$S33="Terminated"</formula>
    </cfRule>
    <cfRule type="expression" dxfId="86" priority="6">
      <formula>$S33="Resigned"</formula>
    </cfRule>
    <cfRule type="expression" dxfId="85" priority="7">
      <formula>$S33="NCNS"</formula>
    </cfRule>
    <cfRule type="expression" dxfId="84" priority="8">
      <formula>$S33="Suspended"</formula>
    </cfRule>
  </conditionalFormatting>
  <conditionalFormatting sqref="S33">
    <cfRule type="expression" dxfId="83" priority="1">
      <formula>$S33="Terminated"</formula>
    </cfRule>
    <cfRule type="expression" dxfId="82" priority="2">
      <formula>$S33="Resigned"</formula>
    </cfRule>
    <cfRule type="expression" dxfId="81" priority="3">
      <formula>$S33="NCNS"</formula>
    </cfRule>
    <cfRule type="expression" dxfId="80" priority="4">
      <formula>$S33="Suspended"</formula>
    </cfRule>
  </conditionalFormatting>
  <dataValidations count="5">
    <dataValidation type="list" sqref="B5:B32 B37:B50" xr:uid="{00000000-0002-0000-0300-000001000000}">
      <formula1>"Residential,Administration,Finance,Facilities,HR,ELC,LLL,Prof. Services,Behavioral,IT,Other"</formula1>
    </dataValidation>
    <dataValidation type="list" sqref="I5:R32 I37:O50" xr:uid="{00000000-0002-0000-0300-000003000000}">
      <formula1>"Yes,No,N/A,In Progress"</formula1>
    </dataValidation>
    <dataValidation type="list" sqref="E5:E32" xr:uid="{00000000-0002-0000-0300-000000000000}">
      <formula1>"Yes,No,Pending"</formula1>
    </dataValidation>
    <dataValidation type="list" sqref="S5:S32" xr:uid="{00000000-0002-0000-0300-000002000000}">
      <formula1>"Active,Terminated,Resigned,NCNS,Suspended"</formula1>
    </dataValidation>
    <dataValidation type="list" sqref="P37:P50" xr:uid="{00000000-0002-0000-0300-000004000000}">
      <formula1>"Active,QUIT,Terminated,Resigned,NCNS,Transferred"</formula1>
    </dataValidation>
  </dataValidations>
  <hyperlinks>
    <hyperlink ref="A2" location="Dashboard!A1" display="← Dashboard" xr:uid="{00000000-0004-0000-0300-000000000000}"/>
  </hyperlinks>
  <pageMargins left="0.75" right="0.75" top="1" bottom="1" header="0.511811023622047" footer="0.511811023622047"/>
  <pageSetup paperSize="9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2C5282"/>
  </sheetPr>
  <dimension ref="A1:S38"/>
  <sheetViews>
    <sheetView zoomScale="70" zoomScaleNormal="70" workbookViewId="0">
      <pane ySplit="4" topLeftCell="A23" activePane="bottomLeft" state="frozen"/>
      <selection pane="bottomLeft" activeCell="V25" sqref="V25"/>
      <selection activeCell="F16" sqref="F16"/>
    </sheetView>
  </sheetViews>
  <sheetFormatPr defaultColWidth="8.7109375" defaultRowHeight="14.25"/>
  <cols>
    <col min="1" max="1" width="4" style="32" customWidth="1"/>
    <col min="2" max="2" width="15" style="32" customWidth="1"/>
    <col min="3" max="3" width="13" style="32" customWidth="1"/>
    <col min="4" max="4" width="17" style="32" customWidth="1"/>
    <col min="5" max="5" width="11" style="32" customWidth="1"/>
    <col min="6" max="6" width="14" style="32" customWidth="1"/>
    <col min="7" max="7" width="22" style="32" customWidth="1"/>
    <col min="8" max="8" width="12" style="32" customWidth="1"/>
    <col min="9" max="17" width="11" style="32" customWidth="1"/>
    <col min="18" max="19" width="10" style="32" customWidth="1"/>
    <col min="20" max="20" width="8.7109375" style="32" customWidth="1"/>
    <col min="21" max="16384" width="8.7109375" style="32"/>
  </cols>
  <sheetData>
    <row r="1" spans="1:19">
      <c r="A1" s="100" t="s">
        <v>588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</row>
    <row r="2" spans="1:19" s="1" customFormat="1" ht="12.75" customHeight="1">
      <c r="A2" s="33" t="s">
        <v>79</v>
      </c>
      <c r="E2" s="35" t="s">
        <v>402</v>
      </c>
      <c r="F2" s="35">
        <f>D21</f>
        <v>10</v>
      </c>
      <c r="G2" s="36" t="s">
        <v>403</v>
      </c>
      <c r="H2" s="36">
        <f>S21</f>
        <v>1</v>
      </c>
      <c r="I2" s="37" t="s">
        <v>404</v>
      </c>
      <c r="J2" s="37">
        <f>D38</f>
        <v>9</v>
      </c>
      <c r="L2" s="104" t="s">
        <v>405</v>
      </c>
      <c r="M2" s="87"/>
      <c r="N2" s="87"/>
      <c r="O2" s="38">
        <f t="array" ref="O2">IF(COUNTIF(S5:S20,"Active")&gt;0,SUMPRODUCT((S5:S20="Active")*(I5:R20="Yes"))/SUMPRODUCT((S5:S20="Active")*(I5:R20&lt;&gt;"N/A")*(I5:R20&lt;&gt;"")),"—")</f>
        <v>0.26229508196721313</v>
      </c>
    </row>
    <row r="3" spans="1:19">
      <c r="A3" s="103" t="s">
        <v>406</v>
      </c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</row>
    <row r="4" spans="1:19">
      <c r="A4" s="27" t="s">
        <v>407</v>
      </c>
      <c r="B4" s="27" t="s">
        <v>408</v>
      </c>
      <c r="C4" s="27" t="s">
        <v>409</v>
      </c>
      <c r="D4" s="27" t="s">
        <v>410</v>
      </c>
      <c r="E4" s="27" t="s">
        <v>411</v>
      </c>
      <c r="F4" s="27" t="s">
        <v>412</v>
      </c>
      <c r="G4" s="27" t="s">
        <v>413</v>
      </c>
      <c r="H4" s="27" t="s">
        <v>414</v>
      </c>
      <c r="I4" s="27" t="s">
        <v>357</v>
      </c>
      <c r="J4" s="27" t="s">
        <v>69</v>
      </c>
      <c r="K4" s="27" t="s">
        <v>360</v>
      </c>
      <c r="L4" s="27" t="s">
        <v>96</v>
      </c>
      <c r="M4" s="27" t="s">
        <v>72</v>
      </c>
      <c r="N4" s="27" t="s">
        <v>73</v>
      </c>
      <c r="O4" s="27" t="s">
        <v>74</v>
      </c>
      <c r="P4" s="27" t="s">
        <v>75</v>
      </c>
      <c r="Q4" s="27" t="s">
        <v>76</v>
      </c>
      <c r="R4" s="27" t="s">
        <v>77</v>
      </c>
      <c r="S4" s="27" t="s">
        <v>415</v>
      </c>
    </row>
    <row r="5" spans="1:19">
      <c r="A5" s="48">
        <v>1</v>
      </c>
      <c r="B5" s="48" t="s">
        <v>50</v>
      </c>
      <c r="C5" s="48" t="s">
        <v>589</v>
      </c>
      <c r="D5" s="48" t="s">
        <v>590</v>
      </c>
      <c r="E5" s="48" t="s">
        <v>175</v>
      </c>
      <c r="F5" s="49">
        <v>46092</v>
      </c>
      <c r="G5" s="48" t="s">
        <v>533</v>
      </c>
      <c r="H5" s="49">
        <v>46092</v>
      </c>
      <c r="I5" s="48" t="s">
        <v>175</v>
      </c>
      <c r="J5" s="48" t="s">
        <v>432</v>
      </c>
      <c r="K5" s="48" t="s">
        <v>175</v>
      </c>
      <c r="L5" s="48" t="s">
        <v>175</v>
      </c>
      <c r="M5" s="48" t="s">
        <v>432</v>
      </c>
      <c r="N5" s="48" t="s">
        <v>175</v>
      </c>
      <c r="O5" s="48" t="s">
        <v>175</v>
      </c>
      <c r="P5" s="48" t="s">
        <v>432</v>
      </c>
      <c r="Q5" s="48" t="s">
        <v>432</v>
      </c>
      <c r="R5" s="48" t="s">
        <v>419</v>
      </c>
      <c r="S5" s="49" t="s">
        <v>21</v>
      </c>
    </row>
    <row r="6" spans="1:19">
      <c r="A6" s="28">
        <v>2</v>
      </c>
      <c r="B6" s="28" t="s">
        <v>55</v>
      </c>
      <c r="C6" s="28" t="s">
        <v>591</v>
      </c>
      <c r="D6" s="28" t="s">
        <v>545</v>
      </c>
      <c r="E6" s="28" t="s">
        <v>175</v>
      </c>
      <c r="F6" s="29">
        <v>46097</v>
      </c>
      <c r="G6" s="28" t="s">
        <v>425</v>
      </c>
      <c r="H6" s="29">
        <v>46094</v>
      </c>
      <c r="I6" s="28" t="s">
        <v>432</v>
      </c>
      <c r="J6" s="28" t="s">
        <v>432</v>
      </c>
      <c r="K6" s="28" t="s">
        <v>432</v>
      </c>
      <c r="L6" s="28" t="s">
        <v>432</v>
      </c>
      <c r="M6" s="28" t="s">
        <v>419</v>
      </c>
      <c r="N6" s="28" t="s">
        <v>419</v>
      </c>
      <c r="O6" s="28" t="s">
        <v>419</v>
      </c>
      <c r="P6" s="28" t="s">
        <v>419</v>
      </c>
      <c r="Q6" s="28" t="s">
        <v>419</v>
      </c>
      <c r="R6" s="28" t="s">
        <v>419</v>
      </c>
      <c r="S6" s="29" t="s">
        <v>443</v>
      </c>
    </row>
    <row r="7" spans="1:19" ht="22.5">
      <c r="A7" s="48">
        <v>3</v>
      </c>
      <c r="B7" s="48" t="s">
        <v>50</v>
      </c>
      <c r="C7" s="48" t="s">
        <v>592</v>
      </c>
      <c r="D7" s="48" t="s">
        <v>593</v>
      </c>
      <c r="E7" s="48" t="s">
        <v>175</v>
      </c>
      <c r="F7" s="49">
        <v>46097</v>
      </c>
      <c r="G7" s="48" t="s">
        <v>594</v>
      </c>
      <c r="H7" s="49">
        <v>46097</v>
      </c>
      <c r="I7" s="48" t="s">
        <v>175</v>
      </c>
      <c r="J7" s="48" t="s">
        <v>432</v>
      </c>
      <c r="K7" s="48" t="s">
        <v>175</v>
      </c>
      <c r="L7" s="48" t="s">
        <v>175</v>
      </c>
      <c r="M7" s="48" t="s">
        <v>432</v>
      </c>
      <c r="N7" s="48" t="s">
        <v>175</v>
      </c>
      <c r="O7" s="48" t="s">
        <v>432</v>
      </c>
      <c r="P7" s="48" t="s">
        <v>432</v>
      </c>
      <c r="Q7" s="48" t="s">
        <v>432</v>
      </c>
      <c r="R7" s="48" t="s">
        <v>432</v>
      </c>
      <c r="S7" s="49" t="s">
        <v>21</v>
      </c>
    </row>
    <row r="8" spans="1:19" ht="22.5">
      <c r="A8" s="28">
        <v>4</v>
      </c>
      <c r="B8" s="28" t="s">
        <v>50</v>
      </c>
      <c r="C8" s="28" t="s">
        <v>595</v>
      </c>
      <c r="D8" s="28" t="s">
        <v>596</v>
      </c>
      <c r="E8" s="28" t="s">
        <v>175</v>
      </c>
      <c r="F8" s="29">
        <v>46097</v>
      </c>
      <c r="G8" s="28" t="s">
        <v>594</v>
      </c>
      <c r="H8" s="29">
        <v>46101</v>
      </c>
      <c r="I8" s="28" t="s">
        <v>175</v>
      </c>
      <c r="J8" s="28" t="s">
        <v>432</v>
      </c>
      <c r="K8" s="28" t="s">
        <v>175</v>
      </c>
      <c r="L8" s="28" t="s">
        <v>175</v>
      </c>
      <c r="M8" s="28" t="s">
        <v>432</v>
      </c>
      <c r="N8" s="28" t="s">
        <v>432</v>
      </c>
      <c r="O8" s="28" t="s">
        <v>432</v>
      </c>
      <c r="P8" s="28" t="s">
        <v>432</v>
      </c>
      <c r="Q8" s="28" t="s">
        <v>432</v>
      </c>
      <c r="R8" s="28" t="s">
        <v>432</v>
      </c>
      <c r="S8" s="29" t="s">
        <v>21</v>
      </c>
    </row>
    <row r="9" spans="1:19">
      <c r="A9" s="48">
        <v>5</v>
      </c>
      <c r="B9" s="48" t="s">
        <v>50</v>
      </c>
      <c r="C9" s="48" t="s">
        <v>597</v>
      </c>
      <c r="D9" s="48" t="s">
        <v>598</v>
      </c>
      <c r="E9" s="48" t="s">
        <v>175</v>
      </c>
      <c r="F9" s="49">
        <v>46104</v>
      </c>
      <c r="G9" s="48" t="s">
        <v>599</v>
      </c>
      <c r="H9" s="49">
        <v>46104</v>
      </c>
      <c r="I9" s="48" t="s">
        <v>175</v>
      </c>
      <c r="J9" s="48" t="s">
        <v>432</v>
      </c>
      <c r="K9" s="48" t="s">
        <v>432</v>
      </c>
      <c r="L9" s="48" t="s">
        <v>432</v>
      </c>
      <c r="M9" s="48" t="s">
        <v>432</v>
      </c>
      <c r="N9" s="48" t="s">
        <v>432</v>
      </c>
      <c r="O9" s="48" t="s">
        <v>432</v>
      </c>
      <c r="P9" s="48" t="s">
        <v>432</v>
      </c>
      <c r="Q9" s="48" t="s">
        <v>432</v>
      </c>
      <c r="R9" s="48" t="s">
        <v>432</v>
      </c>
      <c r="S9" s="49" t="s">
        <v>21</v>
      </c>
    </row>
    <row r="10" spans="1:19" ht="22.5">
      <c r="A10" s="28">
        <v>6</v>
      </c>
      <c r="B10" s="28" t="s">
        <v>50</v>
      </c>
      <c r="C10" s="28" t="s">
        <v>600</v>
      </c>
      <c r="D10" s="28" t="s">
        <v>601</v>
      </c>
      <c r="E10" s="28" t="s">
        <v>175</v>
      </c>
      <c r="F10" s="29">
        <v>46111</v>
      </c>
      <c r="G10" s="28" t="s">
        <v>602</v>
      </c>
      <c r="H10" s="29">
        <v>46105</v>
      </c>
      <c r="I10" s="28" t="s">
        <v>175</v>
      </c>
      <c r="J10" s="28" t="s">
        <v>432</v>
      </c>
      <c r="K10" s="28" t="s">
        <v>432</v>
      </c>
      <c r="L10" s="28" t="s">
        <v>432</v>
      </c>
      <c r="M10" s="28" t="s">
        <v>432</v>
      </c>
      <c r="N10" s="28" t="s">
        <v>432</v>
      </c>
      <c r="O10" s="28" t="s">
        <v>432</v>
      </c>
      <c r="P10" s="28" t="s">
        <v>432</v>
      </c>
      <c r="Q10" s="28" t="s">
        <v>432</v>
      </c>
      <c r="R10" s="28" t="s">
        <v>432</v>
      </c>
      <c r="S10" s="29" t="s">
        <v>21</v>
      </c>
    </row>
    <row r="11" spans="1:19" ht="22.5">
      <c r="A11" s="48">
        <v>7</v>
      </c>
      <c r="B11" s="48" t="s">
        <v>50</v>
      </c>
      <c r="C11" s="48" t="s">
        <v>603</v>
      </c>
      <c r="D11" s="48" t="s">
        <v>604</v>
      </c>
      <c r="E11" s="48" t="s">
        <v>175</v>
      </c>
      <c r="F11" s="49">
        <v>46125</v>
      </c>
      <c r="G11" s="48" t="s">
        <v>452</v>
      </c>
      <c r="H11" s="49">
        <v>46114</v>
      </c>
      <c r="I11" s="48" t="s">
        <v>432</v>
      </c>
      <c r="J11" s="48" t="s">
        <v>432</v>
      </c>
      <c r="K11" s="48" t="s">
        <v>432</v>
      </c>
      <c r="L11" s="48" t="s">
        <v>432</v>
      </c>
      <c r="M11" s="48" t="s">
        <v>432</v>
      </c>
      <c r="N11" s="48" t="s">
        <v>432</v>
      </c>
      <c r="O11" s="48" t="s">
        <v>432</v>
      </c>
      <c r="P11" s="48" t="s">
        <v>432</v>
      </c>
      <c r="Q11" s="48" t="s">
        <v>432</v>
      </c>
      <c r="R11" s="48" t="s">
        <v>432</v>
      </c>
      <c r="S11" s="49" t="s">
        <v>21</v>
      </c>
    </row>
    <row r="12" spans="1:19">
      <c r="A12" s="28">
        <v>8</v>
      </c>
      <c r="B12" s="28" t="s">
        <v>60</v>
      </c>
      <c r="C12" s="28" t="s">
        <v>605</v>
      </c>
      <c r="D12" s="28" t="s">
        <v>606</v>
      </c>
      <c r="E12" s="28" t="s">
        <v>175</v>
      </c>
      <c r="F12" s="29">
        <v>46111</v>
      </c>
      <c r="G12" s="28" t="s">
        <v>607</v>
      </c>
      <c r="H12" s="29">
        <v>46111</v>
      </c>
      <c r="I12" s="28" t="s">
        <v>175</v>
      </c>
      <c r="J12" s="28"/>
      <c r="K12" s="28"/>
      <c r="L12" s="28"/>
      <c r="M12" s="28"/>
      <c r="N12" s="28"/>
      <c r="O12" s="28"/>
      <c r="P12" s="28"/>
      <c r="Q12" s="28"/>
      <c r="R12" s="28"/>
      <c r="S12" s="29" t="s">
        <v>21</v>
      </c>
    </row>
    <row r="13" spans="1:19">
      <c r="A13" s="48">
        <v>9</v>
      </c>
      <c r="B13" s="48" t="s">
        <v>60</v>
      </c>
      <c r="C13" s="48" t="s">
        <v>608</v>
      </c>
      <c r="D13" s="48" t="s">
        <v>609</v>
      </c>
      <c r="E13" s="48" t="s">
        <v>175</v>
      </c>
      <c r="F13" s="49">
        <v>46119</v>
      </c>
      <c r="G13" s="48" t="s">
        <v>610</v>
      </c>
      <c r="H13" s="49">
        <v>46114</v>
      </c>
      <c r="I13" s="48" t="s">
        <v>175</v>
      </c>
      <c r="J13" s="48"/>
      <c r="K13" s="48"/>
      <c r="L13" s="48"/>
      <c r="M13" s="48"/>
      <c r="N13" s="48"/>
      <c r="O13" s="48"/>
      <c r="P13" s="48"/>
      <c r="Q13" s="48"/>
      <c r="R13" s="48"/>
      <c r="S13" s="49" t="s">
        <v>21</v>
      </c>
    </row>
    <row r="14" spans="1:19">
      <c r="A14" s="48">
        <v>10</v>
      </c>
      <c r="B14" s="48" t="s">
        <v>50</v>
      </c>
      <c r="C14" s="48" t="s">
        <v>611</v>
      </c>
      <c r="D14" s="48" t="s">
        <v>612</v>
      </c>
      <c r="E14" s="48" t="s">
        <v>175</v>
      </c>
      <c r="F14" s="49"/>
      <c r="G14" s="48" t="s">
        <v>602</v>
      </c>
      <c r="H14" s="49">
        <v>46118</v>
      </c>
      <c r="I14" s="48" t="s">
        <v>432</v>
      </c>
      <c r="J14" s="48"/>
      <c r="K14" s="48"/>
      <c r="L14" s="48"/>
      <c r="M14" s="48"/>
      <c r="N14" s="48"/>
      <c r="O14" s="48"/>
      <c r="P14" s="48"/>
      <c r="Q14" s="48"/>
      <c r="R14" s="48"/>
      <c r="S14" s="49"/>
    </row>
    <row r="15" spans="1:19">
      <c r="A15" s="48">
        <v>28</v>
      </c>
      <c r="B15" s="48"/>
      <c r="C15" s="48"/>
      <c r="D15" s="48"/>
      <c r="E15" s="48"/>
      <c r="F15" s="49"/>
      <c r="G15" s="48"/>
      <c r="H15" s="49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9"/>
    </row>
    <row r="16" spans="1:19">
      <c r="A16" s="48">
        <v>46</v>
      </c>
      <c r="B16" s="28"/>
      <c r="C16" s="28"/>
      <c r="D16" s="28"/>
      <c r="E16" s="28"/>
      <c r="F16" s="29"/>
      <c r="G16" s="28"/>
      <c r="H16" s="29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9"/>
    </row>
    <row r="17" spans="1:19">
      <c r="A17" s="48">
        <v>47</v>
      </c>
      <c r="B17" s="48"/>
      <c r="C17" s="48"/>
      <c r="D17" s="48"/>
      <c r="E17" s="48"/>
      <c r="F17" s="49"/>
      <c r="G17" s="48"/>
      <c r="H17" s="49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9"/>
    </row>
    <row r="18" spans="1:19">
      <c r="A18" s="48">
        <v>48</v>
      </c>
      <c r="B18" s="28"/>
      <c r="C18" s="28"/>
      <c r="D18" s="28"/>
      <c r="E18" s="28"/>
      <c r="F18" s="29"/>
      <c r="G18" s="28"/>
      <c r="H18" s="29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9"/>
    </row>
    <row r="19" spans="1:19">
      <c r="A19" s="48">
        <v>49</v>
      </c>
      <c r="B19" s="48"/>
      <c r="C19" s="48"/>
      <c r="D19" s="48"/>
      <c r="E19" s="48"/>
      <c r="F19" s="49"/>
      <c r="G19" s="48"/>
      <c r="H19" s="49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9"/>
    </row>
    <row r="20" spans="1:19">
      <c r="A20" s="48">
        <v>50</v>
      </c>
      <c r="B20" s="28"/>
      <c r="C20" s="28"/>
      <c r="D20" s="28"/>
      <c r="E20" s="28"/>
      <c r="F20" s="29"/>
      <c r="G20" s="28"/>
      <c r="H20" s="29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9"/>
    </row>
    <row r="21" spans="1:19" s="39" customFormat="1" ht="12.75" customHeight="1">
      <c r="A21" s="102" t="s">
        <v>460</v>
      </c>
      <c r="B21" s="112"/>
      <c r="C21" s="112"/>
      <c r="D21" s="7">
        <f>COUNTA(C5:C20)</f>
        <v>10</v>
      </c>
      <c r="I21" s="7" t="s">
        <v>461</v>
      </c>
      <c r="J21" s="39">
        <f t="array" ref="J21">COUNTIF(S5:S20,"Active")-SUMPRODUCT((S5:S20="Active")*(I5:I20="Yes")*(J5:J20="Yes")*(K5:K20="Yes")*(L5:L20="Yes")*(M5:M20="Yes")*(N5:N20="Yes")*(O5:O20="Yes")*(P5:P20="Yes")*(Q5:Q20="Yes")*(R5:R20="Yes"))</f>
        <v>8</v>
      </c>
      <c r="P21" s="34"/>
      <c r="Q21" s="99" t="s">
        <v>462</v>
      </c>
      <c r="R21" s="99"/>
      <c r="S21" s="39">
        <f>COUNTIF(S5:S20,"Terminated")+COUNTIF(S5:S20,"Resigned")+COUNTIF(S5:S20,"NCNS")</f>
        <v>1</v>
      </c>
    </row>
    <row r="23" spans="1:19">
      <c r="A23" s="105" t="s">
        <v>463</v>
      </c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</row>
    <row r="24" spans="1:19" ht="22.5" customHeight="1">
      <c r="A24" s="27" t="s">
        <v>407</v>
      </c>
      <c r="B24" s="27" t="s">
        <v>408</v>
      </c>
      <c r="C24" s="27" t="s">
        <v>409</v>
      </c>
      <c r="D24" s="27" t="s">
        <v>464</v>
      </c>
      <c r="E24" s="27" t="s">
        <v>465</v>
      </c>
      <c r="F24" s="27" t="s">
        <v>466</v>
      </c>
      <c r="G24" s="27" t="s">
        <v>467</v>
      </c>
      <c r="H24" s="80" t="s">
        <v>468</v>
      </c>
      <c r="I24" s="27" t="s">
        <v>469</v>
      </c>
      <c r="J24" s="27" t="s">
        <v>470</v>
      </c>
      <c r="K24" s="27" t="s">
        <v>73</v>
      </c>
      <c r="L24" s="27" t="s">
        <v>74</v>
      </c>
      <c r="M24" s="27" t="s">
        <v>471</v>
      </c>
      <c r="N24" s="27" t="s">
        <v>76</v>
      </c>
      <c r="O24" s="27" t="s">
        <v>472</v>
      </c>
      <c r="P24" s="27" t="s">
        <v>415</v>
      </c>
    </row>
    <row r="25" spans="1:19" ht="22.5" customHeight="1">
      <c r="A25" s="48">
        <v>1</v>
      </c>
      <c r="B25" s="48" t="s">
        <v>50</v>
      </c>
      <c r="C25" s="48" t="s">
        <v>613</v>
      </c>
      <c r="D25" s="48" t="s">
        <v>614</v>
      </c>
      <c r="E25" s="48" t="s">
        <v>615</v>
      </c>
      <c r="F25" s="48" t="s">
        <v>616</v>
      </c>
      <c r="G25" s="49">
        <v>46077</v>
      </c>
      <c r="H25" s="76" t="s">
        <v>419</v>
      </c>
      <c r="I25" s="48" t="s">
        <v>419</v>
      </c>
      <c r="J25" s="48" t="s">
        <v>175</v>
      </c>
      <c r="K25" s="48" t="s">
        <v>175</v>
      </c>
      <c r="L25" s="48" t="s">
        <v>175</v>
      </c>
      <c r="M25" s="48" t="s">
        <v>175</v>
      </c>
      <c r="N25" s="48" t="s">
        <v>175</v>
      </c>
      <c r="O25" s="48"/>
      <c r="P25" s="48" t="s">
        <v>21</v>
      </c>
    </row>
    <row r="26" spans="1:19" ht="22.5" customHeight="1">
      <c r="A26" s="28">
        <v>2</v>
      </c>
      <c r="B26" s="28" t="s">
        <v>50</v>
      </c>
      <c r="C26" s="28" t="s">
        <v>617</v>
      </c>
      <c r="D26" s="28" t="s">
        <v>618</v>
      </c>
      <c r="E26" s="28" t="s">
        <v>619</v>
      </c>
      <c r="F26" s="28" t="s">
        <v>620</v>
      </c>
      <c r="G26" s="29">
        <v>46069</v>
      </c>
      <c r="H26" s="75" t="s">
        <v>419</v>
      </c>
      <c r="I26" s="28" t="s">
        <v>419</v>
      </c>
      <c r="J26" s="28" t="s">
        <v>432</v>
      </c>
      <c r="K26" s="28" t="s">
        <v>175</v>
      </c>
      <c r="L26" s="28" t="s">
        <v>175</v>
      </c>
      <c r="M26" s="28" t="s">
        <v>175</v>
      </c>
      <c r="N26" s="28" t="s">
        <v>175</v>
      </c>
      <c r="O26" s="28" t="s">
        <v>175</v>
      </c>
      <c r="P26" s="28" t="s">
        <v>21</v>
      </c>
    </row>
    <row r="27" spans="1:19">
      <c r="A27" s="48">
        <v>3</v>
      </c>
      <c r="B27" s="48" t="s">
        <v>50</v>
      </c>
      <c r="C27" s="48" t="s">
        <v>621</v>
      </c>
      <c r="D27" s="48" t="s">
        <v>622</v>
      </c>
      <c r="E27" s="48" t="s">
        <v>616</v>
      </c>
      <c r="F27" s="48" t="s">
        <v>623</v>
      </c>
      <c r="G27" s="49">
        <v>46069</v>
      </c>
      <c r="H27" s="76" t="s">
        <v>419</v>
      </c>
      <c r="I27" s="48" t="s">
        <v>419</v>
      </c>
      <c r="J27" s="48" t="s">
        <v>432</v>
      </c>
      <c r="K27" s="48" t="s">
        <v>175</v>
      </c>
      <c r="L27" s="48" t="s">
        <v>175</v>
      </c>
      <c r="M27" s="48" t="s">
        <v>175</v>
      </c>
      <c r="N27" s="48" t="s">
        <v>175</v>
      </c>
      <c r="O27" s="48"/>
      <c r="P27" s="48" t="s">
        <v>21</v>
      </c>
    </row>
    <row r="28" spans="1:19" ht="22.5" customHeight="1">
      <c r="A28" s="28">
        <v>4</v>
      </c>
      <c r="B28" s="28" t="s">
        <v>50</v>
      </c>
      <c r="C28" s="28" t="s">
        <v>624</v>
      </c>
      <c r="D28" s="28" t="s">
        <v>625</v>
      </c>
      <c r="E28" s="28" t="s">
        <v>626</v>
      </c>
      <c r="F28" s="28" t="s">
        <v>585</v>
      </c>
      <c r="G28" s="29">
        <v>46069</v>
      </c>
      <c r="H28" s="75" t="s">
        <v>419</v>
      </c>
      <c r="I28" s="28" t="s">
        <v>419</v>
      </c>
      <c r="J28" s="28" t="s">
        <v>419</v>
      </c>
      <c r="K28" s="28" t="s">
        <v>175</v>
      </c>
      <c r="L28" s="28" t="s">
        <v>175</v>
      </c>
      <c r="M28" s="28" t="s">
        <v>175</v>
      </c>
      <c r="N28" s="28" t="s">
        <v>175</v>
      </c>
      <c r="O28" s="28"/>
      <c r="P28" s="28" t="s">
        <v>21</v>
      </c>
    </row>
    <row r="29" spans="1:19">
      <c r="A29" s="48">
        <v>5</v>
      </c>
      <c r="B29" s="48" t="s">
        <v>50</v>
      </c>
      <c r="C29" s="48" t="s">
        <v>544</v>
      </c>
      <c r="D29" s="48" t="s">
        <v>545</v>
      </c>
      <c r="E29" s="48" t="s">
        <v>50</v>
      </c>
      <c r="F29" s="48" t="s">
        <v>627</v>
      </c>
      <c r="G29" s="49">
        <v>46097</v>
      </c>
      <c r="H29" s="76">
        <v>46097</v>
      </c>
      <c r="I29" s="48"/>
      <c r="J29" s="48"/>
      <c r="K29" s="48"/>
      <c r="L29" s="48" t="s">
        <v>175</v>
      </c>
      <c r="M29" s="48"/>
      <c r="N29" s="48"/>
      <c r="O29" s="48" t="s">
        <v>175</v>
      </c>
      <c r="P29" s="48" t="s">
        <v>21</v>
      </c>
    </row>
    <row r="30" spans="1:19">
      <c r="A30" s="28">
        <v>6</v>
      </c>
      <c r="B30" s="28" t="s">
        <v>50</v>
      </c>
      <c r="C30" s="28" t="s">
        <v>628</v>
      </c>
      <c r="D30" s="28" t="s">
        <v>629</v>
      </c>
      <c r="E30" s="28" t="s">
        <v>50</v>
      </c>
      <c r="F30" s="28" t="s">
        <v>630</v>
      </c>
      <c r="G30" s="29">
        <v>46097</v>
      </c>
      <c r="H30" s="75">
        <v>46097</v>
      </c>
      <c r="I30" s="28"/>
      <c r="J30" s="28"/>
      <c r="K30" s="28"/>
      <c r="L30" s="28" t="s">
        <v>175</v>
      </c>
      <c r="M30" s="28" t="s">
        <v>175</v>
      </c>
      <c r="N30" s="28" t="s">
        <v>175</v>
      </c>
      <c r="O30" s="28" t="s">
        <v>175</v>
      </c>
      <c r="P30" s="28" t="s">
        <v>21</v>
      </c>
    </row>
    <row r="31" spans="1:19">
      <c r="A31" s="48">
        <v>7</v>
      </c>
      <c r="B31" s="48" t="s">
        <v>50</v>
      </c>
      <c r="C31" s="48" t="s">
        <v>416</v>
      </c>
      <c r="D31" s="48" t="s">
        <v>541</v>
      </c>
      <c r="E31" s="48" t="s">
        <v>50</v>
      </c>
      <c r="F31" s="48" t="s">
        <v>631</v>
      </c>
      <c r="G31" s="49">
        <v>46097</v>
      </c>
      <c r="H31" s="76">
        <v>46097</v>
      </c>
      <c r="I31" s="48"/>
      <c r="J31" s="48"/>
      <c r="K31" s="48" t="s">
        <v>175</v>
      </c>
      <c r="L31" s="48" t="s">
        <v>175</v>
      </c>
      <c r="M31" s="48"/>
      <c r="N31" s="48" t="s">
        <v>175</v>
      </c>
      <c r="O31" s="48" t="s">
        <v>175</v>
      </c>
      <c r="P31" s="48" t="s">
        <v>21</v>
      </c>
    </row>
    <row r="32" spans="1:19">
      <c r="A32" s="28">
        <v>8</v>
      </c>
      <c r="B32" s="28" t="s">
        <v>50</v>
      </c>
      <c r="C32" s="28" t="s">
        <v>632</v>
      </c>
      <c r="D32" s="28" t="s">
        <v>633</v>
      </c>
      <c r="E32" s="28" t="s">
        <v>50</v>
      </c>
      <c r="F32" s="28" t="s">
        <v>631</v>
      </c>
      <c r="G32" s="29">
        <v>46097</v>
      </c>
      <c r="H32" s="75">
        <v>46097</v>
      </c>
      <c r="I32" s="28"/>
      <c r="J32" s="28"/>
      <c r="K32" s="28" t="s">
        <v>175</v>
      </c>
      <c r="L32" s="28" t="s">
        <v>175</v>
      </c>
      <c r="M32" s="28" t="s">
        <v>175</v>
      </c>
      <c r="N32" s="28" t="s">
        <v>175</v>
      </c>
      <c r="O32" s="28"/>
      <c r="P32" s="28" t="s">
        <v>21</v>
      </c>
    </row>
    <row r="33" spans="1:16">
      <c r="A33" s="48">
        <v>9</v>
      </c>
      <c r="B33" s="48" t="s">
        <v>50</v>
      </c>
      <c r="C33" s="48" t="s">
        <v>634</v>
      </c>
      <c r="D33" s="48" t="s">
        <v>635</v>
      </c>
      <c r="E33" s="48" t="s">
        <v>50</v>
      </c>
      <c r="F33" s="48" t="s">
        <v>631</v>
      </c>
      <c r="G33" s="49">
        <v>46097</v>
      </c>
      <c r="H33" s="76">
        <v>46097</v>
      </c>
      <c r="I33" s="48"/>
      <c r="J33" s="48"/>
      <c r="K33" s="48" t="s">
        <v>175</v>
      </c>
      <c r="L33" s="48" t="s">
        <v>175</v>
      </c>
      <c r="M33" s="48" t="s">
        <v>175</v>
      </c>
      <c r="N33" s="48" t="s">
        <v>175</v>
      </c>
      <c r="O33" s="48"/>
      <c r="P33" s="48" t="s">
        <v>21</v>
      </c>
    </row>
    <row r="34" spans="1:16">
      <c r="A34" s="28">
        <v>30</v>
      </c>
      <c r="B34" s="28"/>
      <c r="C34" s="28"/>
      <c r="D34" s="28"/>
      <c r="E34" s="28"/>
      <c r="F34" s="28"/>
      <c r="G34" s="29"/>
      <c r="H34" s="75"/>
      <c r="I34" s="28"/>
      <c r="J34" s="28"/>
      <c r="K34" s="28"/>
      <c r="L34" s="28"/>
      <c r="M34" s="28"/>
      <c r="N34" s="28"/>
      <c r="O34" s="28"/>
      <c r="P34" s="28"/>
    </row>
    <row r="35" spans="1:16">
      <c r="A35" s="48">
        <v>31</v>
      </c>
      <c r="B35" s="48"/>
      <c r="C35" s="48"/>
      <c r="D35" s="48"/>
      <c r="E35" s="48"/>
      <c r="F35" s="48"/>
      <c r="G35" s="49"/>
      <c r="H35" s="76"/>
      <c r="I35" s="48"/>
      <c r="J35" s="48"/>
      <c r="K35" s="48"/>
      <c r="L35" s="48"/>
      <c r="M35" s="48"/>
      <c r="N35" s="48"/>
      <c r="O35" s="48"/>
      <c r="P35" s="48"/>
    </row>
    <row r="36" spans="1:16">
      <c r="A36" s="28">
        <v>32</v>
      </c>
      <c r="B36" s="28"/>
      <c r="C36" s="28"/>
      <c r="D36" s="28"/>
      <c r="E36" s="28"/>
      <c r="F36" s="28"/>
      <c r="G36" s="29"/>
      <c r="H36" s="75"/>
      <c r="I36" s="28"/>
      <c r="J36" s="28"/>
      <c r="K36" s="28"/>
      <c r="L36" s="28"/>
      <c r="M36" s="28"/>
      <c r="N36" s="28"/>
      <c r="O36" s="28"/>
      <c r="P36" s="28"/>
    </row>
    <row r="37" spans="1:16">
      <c r="A37" s="48">
        <v>33</v>
      </c>
      <c r="B37" s="48"/>
      <c r="C37" s="48"/>
      <c r="D37" s="48"/>
      <c r="E37" s="48"/>
      <c r="F37" s="48"/>
      <c r="G37" s="49"/>
      <c r="H37" s="76"/>
      <c r="I37" s="48"/>
      <c r="J37" s="48"/>
      <c r="K37" s="48"/>
      <c r="L37" s="48"/>
      <c r="M37" s="48"/>
      <c r="N37" s="48"/>
      <c r="O37" s="48"/>
      <c r="P37" s="48"/>
    </row>
    <row r="38" spans="1:16" s="39" customFormat="1" ht="12.75" customHeight="1">
      <c r="A38" s="102" t="s">
        <v>498</v>
      </c>
      <c r="B38" s="112"/>
      <c r="C38" s="112"/>
      <c r="D38" s="7">
        <f>COUNTA(C25:C37)</f>
        <v>9</v>
      </c>
    </row>
  </sheetData>
  <mergeCells count="7">
    <mergeCell ref="Q21:R21"/>
    <mergeCell ref="A1:S1"/>
    <mergeCell ref="A38:C38"/>
    <mergeCell ref="A3:S3"/>
    <mergeCell ref="A21:C21"/>
    <mergeCell ref="L2:N2"/>
    <mergeCell ref="A23:P23"/>
  </mergeCells>
  <conditionalFormatting sqref="A5:S20">
    <cfRule type="expression" dxfId="79" priority="2">
      <formula>$S5="Terminated"</formula>
    </cfRule>
    <cfRule type="expression" dxfId="78" priority="3">
      <formula>$S5="Resigned"</formula>
    </cfRule>
    <cfRule type="expression" dxfId="77" priority="4">
      <formula>$S5="NCNS"</formula>
    </cfRule>
    <cfRule type="expression" dxfId="76" priority="5">
      <formula>$S5="Suspended"</formula>
    </cfRule>
  </conditionalFormatting>
  <conditionalFormatting sqref="A25:O37">
    <cfRule type="expression" dxfId="75" priority="6">
      <formula>$O25="QUIT"</formula>
    </cfRule>
    <cfRule type="expression" dxfId="74" priority="7">
      <formula>$O25="Terminated"</formula>
    </cfRule>
    <cfRule type="expression" dxfId="73" priority="8">
      <formula>$O25="Resigned"</formula>
    </cfRule>
    <cfRule type="expression" dxfId="72" priority="9">
      <formula>$O25="NCNS"</formula>
    </cfRule>
  </conditionalFormatting>
  <dataValidations count="5">
    <dataValidation type="list" sqref="B5:B20 B25:B37" xr:uid="{00000000-0002-0000-0400-000001000000}">
      <formula1>"Residential,Administration,Finance,Facilities,HR,ELC,LLL,Prof. Services,Behavioral,IT,Other"</formula1>
    </dataValidation>
    <dataValidation type="list" sqref="I5:R20 I25:O37" xr:uid="{00000000-0002-0000-0400-000003000000}">
      <formula1>"Yes,No,N/A,In Progress"</formula1>
    </dataValidation>
    <dataValidation type="list" sqref="E5:E20" xr:uid="{00000000-0002-0000-0400-000000000000}">
      <formula1>"Yes,No,Pending"</formula1>
    </dataValidation>
    <dataValidation type="list" sqref="S5:S20" xr:uid="{00000000-0002-0000-0400-000002000000}">
      <formula1>"Active,Terminated,Resigned,NCNS,Suspended"</formula1>
    </dataValidation>
    <dataValidation type="list" sqref="P25:P37" xr:uid="{00000000-0002-0000-0400-000004000000}">
      <formula1>"Active,QUIT,Terminated,Resigned,NCNS,Transferred"</formula1>
    </dataValidation>
  </dataValidations>
  <hyperlinks>
    <hyperlink ref="A2" location="Dashboard!A1" display="← Dashboard" xr:uid="{00000000-0004-0000-0400-000000000000}"/>
  </hyperlinks>
  <pageMargins left="0.75" right="0.75" top="1" bottom="1" header="0.511811023622047" footer="0.511811023622047"/>
  <pageSetup paperSize="9" orientation="portrait" horizontalDpi="300" verticalDpi="30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2C5282"/>
  </sheetPr>
  <dimension ref="A1:S42"/>
  <sheetViews>
    <sheetView tabSelected="1" zoomScale="80" zoomScaleNormal="80" workbookViewId="0">
      <pane ySplit="4" topLeftCell="A5" activePane="bottomLeft" state="frozen"/>
      <selection pane="bottomLeft" activeCell="G12" sqref="G12"/>
      <selection activeCell="F16" sqref="F16"/>
    </sheetView>
  </sheetViews>
  <sheetFormatPr defaultColWidth="8.7109375" defaultRowHeight="14.25"/>
  <cols>
    <col min="1" max="1" width="4" style="32" customWidth="1"/>
    <col min="2" max="2" width="15" style="32" customWidth="1"/>
    <col min="3" max="3" width="13" style="32" customWidth="1"/>
    <col min="4" max="4" width="17" style="32" customWidth="1"/>
    <col min="5" max="5" width="11" style="32" customWidth="1"/>
    <col min="6" max="6" width="14" style="32" customWidth="1"/>
    <col min="7" max="7" width="22" style="32" customWidth="1"/>
    <col min="8" max="8" width="12" style="32" customWidth="1"/>
    <col min="9" max="9" width="11" style="32" customWidth="1"/>
    <col min="10" max="10" width="14.42578125" style="32" customWidth="1"/>
    <col min="11" max="17" width="11" style="32" customWidth="1"/>
    <col min="18" max="19" width="10" style="32" customWidth="1"/>
    <col min="20" max="20" width="8.7109375" style="32" customWidth="1"/>
    <col min="21" max="16384" width="8.7109375" style="32"/>
  </cols>
  <sheetData>
    <row r="1" spans="1:19" ht="33.75" customHeight="1">
      <c r="A1" s="100" t="s">
        <v>636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</row>
    <row r="2" spans="1:19" s="1" customFormat="1" ht="18" customHeight="1">
      <c r="A2" s="33" t="s">
        <v>79</v>
      </c>
      <c r="E2" s="35" t="s">
        <v>402</v>
      </c>
      <c r="F2" s="35">
        <f>D23</f>
        <v>8</v>
      </c>
      <c r="G2" s="36" t="s">
        <v>403</v>
      </c>
      <c r="H2" s="36">
        <f>S23</f>
        <v>1</v>
      </c>
      <c r="I2" s="37" t="s">
        <v>404</v>
      </c>
      <c r="J2" s="37">
        <f>D42</f>
        <v>3</v>
      </c>
      <c r="L2" s="104" t="s">
        <v>405</v>
      </c>
      <c r="M2" s="87"/>
      <c r="N2" s="87"/>
      <c r="O2" s="38" t="str">
        <f t="array" ref="O2">IF(COUNTIF(S5:S22,"Active")&gt;0,SUMPRODUCT((S5:S22="Active")*(I5:R22="Yes"))/SUMPRODUCT((S5:S22="Active")*(I5:R22&lt;&gt;"N/A")*(I5:R22&lt;&gt;"")),"—")</f>
        <v>—</v>
      </c>
    </row>
    <row r="3" spans="1:19" ht="24" customHeight="1">
      <c r="A3" s="103" t="s">
        <v>406</v>
      </c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</row>
    <row r="4" spans="1:19" ht="27.75" customHeight="1">
      <c r="A4" s="27" t="s">
        <v>407</v>
      </c>
      <c r="B4" s="27" t="s">
        <v>408</v>
      </c>
      <c r="C4" s="27" t="s">
        <v>409</v>
      </c>
      <c r="D4" s="27" t="s">
        <v>410</v>
      </c>
      <c r="E4" s="27" t="s">
        <v>411</v>
      </c>
      <c r="F4" s="27" t="s">
        <v>412</v>
      </c>
      <c r="G4" s="27" t="s">
        <v>413</v>
      </c>
      <c r="H4" s="27" t="s">
        <v>414</v>
      </c>
      <c r="I4" s="27" t="s">
        <v>357</v>
      </c>
      <c r="J4" s="27" t="s">
        <v>69</v>
      </c>
      <c r="K4" s="27" t="s">
        <v>360</v>
      </c>
      <c r="L4" s="27" t="s">
        <v>96</v>
      </c>
      <c r="M4" s="27" t="s">
        <v>72</v>
      </c>
      <c r="N4" s="27" t="s">
        <v>73</v>
      </c>
      <c r="O4" s="27" t="s">
        <v>74</v>
      </c>
      <c r="P4" s="27" t="s">
        <v>75</v>
      </c>
      <c r="Q4" s="27" t="s">
        <v>76</v>
      </c>
      <c r="R4" s="27" t="s">
        <v>77</v>
      </c>
      <c r="S4" s="27" t="s">
        <v>415</v>
      </c>
    </row>
    <row r="5" spans="1:19">
      <c r="A5" s="48">
        <v>1</v>
      </c>
      <c r="B5" s="48" t="s">
        <v>57</v>
      </c>
      <c r="C5" s="48" t="s">
        <v>637</v>
      </c>
      <c r="D5" s="48" t="s">
        <v>638</v>
      </c>
      <c r="E5" s="48" t="s">
        <v>175</v>
      </c>
      <c r="F5" s="49"/>
      <c r="G5" s="48" t="s">
        <v>639</v>
      </c>
      <c r="H5" s="49"/>
      <c r="I5" s="48"/>
      <c r="J5" s="48"/>
      <c r="K5" s="48"/>
      <c r="L5" s="48"/>
      <c r="M5" s="48"/>
      <c r="N5" s="48"/>
      <c r="O5" s="48"/>
      <c r="P5" s="48"/>
      <c r="Q5" s="48"/>
      <c r="R5" s="48"/>
      <c r="S5" s="49"/>
    </row>
    <row r="6" spans="1:19">
      <c r="A6" s="28">
        <v>2</v>
      </c>
      <c r="B6" s="28" t="s">
        <v>56</v>
      </c>
      <c r="C6" s="28" t="s">
        <v>640</v>
      </c>
      <c r="D6" s="28" t="s">
        <v>550</v>
      </c>
      <c r="E6" s="28" t="s">
        <v>641</v>
      </c>
      <c r="F6" s="29"/>
      <c r="G6" s="28" t="s">
        <v>642</v>
      </c>
      <c r="H6" s="29"/>
      <c r="I6" s="28"/>
      <c r="J6" s="28"/>
      <c r="K6" s="28"/>
      <c r="L6" s="28"/>
      <c r="M6" s="28"/>
      <c r="N6" s="28"/>
      <c r="O6" s="28"/>
      <c r="P6" s="28"/>
      <c r="Q6" s="28"/>
      <c r="R6" s="28"/>
      <c r="S6" s="29"/>
    </row>
    <row r="7" spans="1:19">
      <c r="A7" s="48">
        <v>3</v>
      </c>
      <c r="B7" s="48" t="s">
        <v>58</v>
      </c>
      <c r="C7" s="48" t="s">
        <v>643</v>
      </c>
      <c r="D7" s="48" t="s">
        <v>644</v>
      </c>
      <c r="E7" s="48" t="s">
        <v>641</v>
      </c>
      <c r="F7" s="49"/>
      <c r="G7" s="48" t="s">
        <v>645</v>
      </c>
      <c r="H7" s="49"/>
      <c r="I7" s="48"/>
      <c r="J7" s="48"/>
      <c r="K7" s="48"/>
      <c r="L7" s="48"/>
      <c r="M7" s="48"/>
      <c r="N7" s="48"/>
      <c r="O7" s="48"/>
      <c r="P7" s="48"/>
      <c r="Q7" s="48"/>
      <c r="R7" s="48"/>
      <c r="S7" s="49"/>
    </row>
    <row r="8" spans="1:19">
      <c r="A8" s="28">
        <v>4</v>
      </c>
      <c r="B8" s="28" t="s">
        <v>51</v>
      </c>
      <c r="C8" s="28" t="s">
        <v>646</v>
      </c>
      <c r="D8" s="28" t="s">
        <v>647</v>
      </c>
      <c r="E8" s="28"/>
      <c r="F8" s="29"/>
      <c r="G8" s="28" t="s">
        <v>521</v>
      </c>
      <c r="H8" s="29"/>
      <c r="I8" s="28"/>
      <c r="J8" s="28"/>
      <c r="K8" s="28"/>
      <c r="L8" s="28"/>
      <c r="M8" s="28"/>
      <c r="N8" s="28"/>
      <c r="O8" s="28"/>
      <c r="P8" s="28"/>
      <c r="Q8" s="28"/>
      <c r="R8" s="28"/>
      <c r="S8" s="29" t="s">
        <v>456</v>
      </c>
    </row>
    <row r="9" spans="1:19">
      <c r="A9" s="48">
        <v>5</v>
      </c>
      <c r="B9" s="48" t="s">
        <v>50</v>
      </c>
      <c r="C9" s="48" t="s">
        <v>648</v>
      </c>
      <c r="D9" s="48" t="s">
        <v>649</v>
      </c>
      <c r="E9" s="48" t="s">
        <v>175</v>
      </c>
      <c r="F9" s="49"/>
      <c r="G9" s="48" t="s">
        <v>650</v>
      </c>
      <c r="H9" s="49"/>
      <c r="I9" s="48"/>
      <c r="J9" s="48"/>
      <c r="K9" s="48"/>
      <c r="L9" s="48"/>
      <c r="M9" s="48"/>
      <c r="N9" s="48"/>
      <c r="O9" s="48"/>
      <c r="P9" s="48"/>
      <c r="Q9" s="48"/>
      <c r="R9" s="48"/>
      <c r="S9" s="49"/>
    </row>
    <row r="10" spans="1:19">
      <c r="A10" s="28">
        <v>6</v>
      </c>
      <c r="B10" s="28" t="s">
        <v>50</v>
      </c>
      <c r="C10" s="28" t="s">
        <v>651</v>
      </c>
      <c r="D10" s="28" t="s">
        <v>523</v>
      </c>
      <c r="E10" s="28" t="s">
        <v>175</v>
      </c>
      <c r="F10" s="29"/>
      <c r="G10" s="28" t="s">
        <v>652</v>
      </c>
      <c r="H10" s="29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9"/>
    </row>
    <row r="11" spans="1:19">
      <c r="A11" s="48">
        <v>7</v>
      </c>
      <c r="B11" s="48" t="s">
        <v>58</v>
      </c>
      <c r="C11" s="48" t="s">
        <v>653</v>
      </c>
      <c r="D11" s="48" t="s">
        <v>654</v>
      </c>
      <c r="E11" s="48" t="s">
        <v>641</v>
      </c>
      <c r="F11" s="49"/>
      <c r="G11" s="48" t="s">
        <v>645</v>
      </c>
      <c r="H11" s="49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9"/>
    </row>
    <row r="12" spans="1:19">
      <c r="A12" s="28">
        <v>8</v>
      </c>
      <c r="B12" s="28" t="s">
        <v>655</v>
      </c>
      <c r="C12" s="28" t="s">
        <v>656</v>
      </c>
      <c r="D12" s="28" t="s">
        <v>657</v>
      </c>
      <c r="E12" s="28" t="s">
        <v>641</v>
      </c>
      <c r="F12" s="29"/>
      <c r="G12" s="28"/>
      <c r="H12" s="29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9"/>
    </row>
    <row r="13" spans="1:19">
      <c r="A13" s="48">
        <v>9</v>
      </c>
      <c r="B13" s="48"/>
      <c r="C13" s="48"/>
      <c r="D13" s="48"/>
      <c r="E13" s="48"/>
      <c r="F13" s="49"/>
      <c r="G13" s="48"/>
      <c r="H13" s="49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9"/>
    </row>
    <row r="14" spans="1:19">
      <c r="A14" s="28">
        <v>10</v>
      </c>
      <c r="B14" s="28"/>
      <c r="C14" s="28"/>
      <c r="D14" s="28"/>
      <c r="E14" s="28"/>
      <c r="F14" s="29"/>
      <c r="G14" s="28"/>
      <c r="H14" s="29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9"/>
    </row>
    <row r="15" spans="1:19">
      <c r="A15" s="48">
        <v>11</v>
      </c>
      <c r="B15" s="48"/>
      <c r="C15" s="48"/>
      <c r="D15" s="48"/>
      <c r="E15" s="48"/>
      <c r="F15" s="49"/>
      <c r="G15" s="48"/>
      <c r="H15" s="49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9"/>
    </row>
    <row r="16" spans="1:19">
      <c r="A16" s="28">
        <v>24</v>
      </c>
      <c r="B16" s="28"/>
      <c r="C16" s="28"/>
      <c r="D16" s="28"/>
      <c r="E16" s="28"/>
      <c r="F16" s="29"/>
      <c r="G16" s="28"/>
      <c r="H16" s="29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9"/>
    </row>
    <row r="17" spans="1:19">
      <c r="A17" s="48">
        <v>25</v>
      </c>
      <c r="B17" s="48"/>
      <c r="C17" s="48"/>
      <c r="D17" s="48"/>
      <c r="E17" s="48"/>
      <c r="F17" s="49"/>
      <c r="G17" s="48"/>
      <c r="H17" s="49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9"/>
    </row>
    <row r="18" spans="1:19">
      <c r="A18" s="28">
        <v>26</v>
      </c>
      <c r="B18" s="28"/>
      <c r="C18" s="28"/>
      <c r="D18" s="28"/>
      <c r="E18" s="28"/>
      <c r="F18" s="29"/>
      <c r="G18" s="28"/>
      <c r="H18" s="29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9"/>
    </row>
    <row r="19" spans="1:19">
      <c r="A19" s="48">
        <v>27</v>
      </c>
      <c r="B19" s="48"/>
      <c r="C19" s="48"/>
      <c r="D19" s="48"/>
      <c r="E19" s="48"/>
      <c r="F19" s="49"/>
      <c r="G19" s="48"/>
      <c r="H19" s="49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9"/>
    </row>
    <row r="20" spans="1:19">
      <c r="A20" s="28">
        <v>28</v>
      </c>
      <c r="B20" s="28"/>
      <c r="C20" s="28"/>
      <c r="D20" s="28"/>
      <c r="E20" s="28"/>
      <c r="F20" s="29"/>
      <c r="G20" s="28"/>
      <c r="H20" s="29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9"/>
    </row>
    <row r="21" spans="1:19">
      <c r="A21" s="48">
        <v>29</v>
      </c>
      <c r="B21" s="48"/>
      <c r="C21" s="48"/>
      <c r="D21" s="48"/>
      <c r="E21" s="48"/>
      <c r="F21" s="49"/>
      <c r="G21" s="48"/>
      <c r="H21" s="49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9"/>
    </row>
    <row r="22" spans="1:19">
      <c r="A22" s="28">
        <v>50</v>
      </c>
      <c r="B22" s="28"/>
      <c r="C22" s="28"/>
      <c r="D22" s="28"/>
      <c r="E22" s="28"/>
      <c r="F22" s="29"/>
      <c r="G22" s="28"/>
      <c r="H22" s="29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9"/>
    </row>
    <row r="23" spans="1:19" s="39" customFormat="1" ht="21.75" customHeight="1">
      <c r="A23" s="102" t="s">
        <v>460</v>
      </c>
      <c r="B23" s="112"/>
      <c r="C23" s="112"/>
      <c r="D23" s="7">
        <f>COUNTA(C5:C22)</f>
        <v>8</v>
      </c>
      <c r="I23" s="7" t="s">
        <v>461</v>
      </c>
      <c r="J23" s="39">
        <f t="array" ref="J23">COUNTIF(S5:S22,"Active")-SUMPRODUCT((S5:S22="Active")*(I5:I22="Yes")*(J5:J22="Yes")*(K5:K22="Yes")*(L5:L22="Yes")*(M5:M22="Yes")*(N5:N22="Yes")*(O5:O22="Yes")*(P5:P22="Yes")*(Q5:Q22="Yes")*(R5:R22="Yes"))</f>
        <v>0</v>
      </c>
      <c r="P23" s="34"/>
      <c r="Q23" s="99" t="s">
        <v>462</v>
      </c>
      <c r="R23" s="99"/>
      <c r="S23" s="39">
        <f>COUNTIF(S5:S22,"Terminated")+COUNTIF(S5:S22,"Resigned")+COUNTIF(S5:S22,"NCNS")</f>
        <v>1</v>
      </c>
    </row>
    <row r="24" spans="1:19" ht="7.5" customHeight="1"/>
    <row r="25" spans="1:19" ht="24" customHeight="1">
      <c r="A25" s="105" t="s">
        <v>463</v>
      </c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</row>
    <row r="26" spans="1:19" ht="24" customHeight="1">
      <c r="A26" s="27" t="s">
        <v>407</v>
      </c>
      <c r="B26" s="27" t="s">
        <v>408</v>
      </c>
      <c r="C26" s="27" t="s">
        <v>409</v>
      </c>
      <c r="D26" s="27" t="s">
        <v>464</v>
      </c>
      <c r="E26" s="27" t="s">
        <v>465</v>
      </c>
      <c r="F26" s="27" t="s">
        <v>466</v>
      </c>
      <c r="G26" s="27" t="s">
        <v>467</v>
      </c>
      <c r="H26" s="80" t="s">
        <v>468</v>
      </c>
      <c r="I26" s="27" t="s">
        <v>469</v>
      </c>
      <c r="J26" s="27" t="s">
        <v>470</v>
      </c>
      <c r="K26" s="27" t="s">
        <v>73</v>
      </c>
      <c r="L26" s="27" t="s">
        <v>74</v>
      </c>
      <c r="M26" s="27" t="s">
        <v>471</v>
      </c>
      <c r="N26" s="27" t="s">
        <v>76</v>
      </c>
      <c r="O26" s="27" t="s">
        <v>472</v>
      </c>
      <c r="P26" s="27" t="s">
        <v>415</v>
      </c>
    </row>
    <row r="27" spans="1:19" ht="22.5">
      <c r="A27" s="48">
        <v>1</v>
      </c>
      <c r="B27" s="48" t="s">
        <v>50</v>
      </c>
      <c r="C27" s="48" t="s">
        <v>658</v>
      </c>
      <c r="D27" s="48" t="s">
        <v>659</v>
      </c>
      <c r="E27" s="48" t="s">
        <v>615</v>
      </c>
      <c r="F27" s="48" t="s">
        <v>660</v>
      </c>
      <c r="G27" s="49">
        <v>46106</v>
      </c>
      <c r="H27" s="76">
        <v>46113</v>
      </c>
      <c r="I27" s="48"/>
      <c r="J27" s="48"/>
      <c r="K27" s="48" t="s">
        <v>175</v>
      </c>
      <c r="L27" s="48"/>
      <c r="M27" s="48"/>
      <c r="N27" s="48"/>
      <c r="O27" s="48"/>
      <c r="P27" s="48" t="s">
        <v>21</v>
      </c>
    </row>
    <row r="28" spans="1:19">
      <c r="A28" s="28">
        <v>2</v>
      </c>
      <c r="B28" s="28" t="s">
        <v>50</v>
      </c>
      <c r="C28" s="28" t="s">
        <v>661</v>
      </c>
      <c r="D28" s="28" t="s">
        <v>437</v>
      </c>
      <c r="E28" s="28" t="s">
        <v>485</v>
      </c>
      <c r="F28" s="28" t="s">
        <v>585</v>
      </c>
      <c r="G28" s="29">
        <v>46106</v>
      </c>
      <c r="H28" s="75">
        <v>46113</v>
      </c>
      <c r="I28" s="28"/>
      <c r="J28" s="28"/>
      <c r="K28" s="28" t="s">
        <v>175</v>
      </c>
      <c r="L28" s="28"/>
      <c r="M28" s="28"/>
      <c r="N28" s="28"/>
      <c r="O28" s="28"/>
      <c r="P28" s="28" t="s">
        <v>21</v>
      </c>
    </row>
    <row r="29" spans="1:19">
      <c r="A29" s="48">
        <v>3</v>
      </c>
      <c r="B29" s="48" t="s">
        <v>50</v>
      </c>
      <c r="C29" s="48" t="s">
        <v>583</v>
      </c>
      <c r="D29" s="48" t="s">
        <v>584</v>
      </c>
      <c r="E29" s="48" t="s">
        <v>585</v>
      </c>
      <c r="F29" s="48" t="s">
        <v>485</v>
      </c>
      <c r="G29" s="49">
        <v>46106</v>
      </c>
      <c r="H29" s="76">
        <v>46113</v>
      </c>
      <c r="I29" s="48"/>
      <c r="J29" s="48"/>
      <c r="K29" s="48" t="s">
        <v>175</v>
      </c>
      <c r="L29" s="48" t="s">
        <v>175</v>
      </c>
      <c r="M29" s="48"/>
      <c r="N29" s="48"/>
      <c r="O29" s="48"/>
      <c r="P29" s="48" t="s">
        <v>21</v>
      </c>
    </row>
    <row r="30" spans="1:19">
      <c r="A30" s="28">
        <v>4</v>
      </c>
      <c r="B30" s="28"/>
      <c r="C30" s="28"/>
      <c r="D30" s="28"/>
      <c r="E30" s="28"/>
      <c r="F30" s="28"/>
      <c r="G30" s="29"/>
      <c r="H30" s="75"/>
      <c r="I30" s="28"/>
      <c r="J30" s="28"/>
      <c r="K30" s="28"/>
      <c r="L30" s="28"/>
      <c r="M30" s="28"/>
      <c r="N30" s="28"/>
      <c r="O30" s="28"/>
      <c r="P30" s="28"/>
    </row>
    <row r="31" spans="1:19">
      <c r="A31" s="48">
        <v>5</v>
      </c>
      <c r="B31" s="48"/>
      <c r="C31" s="48"/>
      <c r="D31" s="48"/>
      <c r="E31" s="48"/>
      <c r="F31" s="48"/>
      <c r="G31" s="49"/>
      <c r="H31" s="76"/>
      <c r="I31" s="48"/>
      <c r="J31" s="48"/>
      <c r="K31" s="48"/>
      <c r="L31" s="48"/>
      <c r="M31" s="48"/>
      <c r="N31" s="48"/>
      <c r="O31" s="48"/>
      <c r="P31" s="48"/>
    </row>
    <row r="32" spans="1:19">
      <c r="A32" s="28">
        <v>6</v>
      </c>
      <c r="B32" s="28"/>
      <c r="C32" s="28"/>
      <c r="D32" s="28"/>
      <c r="E32" s="28"/>
      <c r="F32" s="28"/>
      <c r="G32" s="29"/>
      <c r="H32" s="75"/>
      <c r="I32" s="28"/>
      <c r="J32" s="28"/>
      <c r="K32" s="28"/>
      <c r="L32" s="28"/>
      <c r="M32" s="28"/>
      <c r="N32" s="28"/>
      <c r="O32" s="28"/>
      <c r="P32" s="28"/>
    </row>
    <row r="33" spans="1:16">
      <c r="A33" s="48">
        <v>7</v>
      </c>
      <c r="B33" s="48"/>
      <c r="C33" s="48"/>
      <c r="D33" s="48"/>
      <c r="E33" s="48"/>
      <c r="F33" s="48"/>
      <c r="G33" s="49"/>
      <c r="H33" s="76"/>
      <c r="I33" s="48"/>
      <c r="J33" s="48"/>
      <c r="K33" s="48"/>
      <c r="L33" s="48"/>
      <c r="M33" s="48"/>
      <c r="N33" s="48"/>
      <c r="O33" s="48"/>
      <c r="P33" s="48"/>
    </row>
    <row r="34" spans="1:16">
      <c r="A34" s="28">
        <v>8</v>
      </c>
      <c r="B34" s="28"/>
      <c r="C34" s="28"/>
      <c r="D34" s="28"/>
      <c r="E34" s="28"/>
      <c r="F34" s="28"/>
      <c r="G34" s="29"/>
      <c r="H34" s="75"/>
      <c r="I34" s="28"/>
      <c r="J34" s="28"/>
      <c r="K34" s="28"/>
      <c r="L34" s="28"/>
      <c r="M34" s="28"/>
      <c r="N34" s="28"/>
      <c r="O34" s="28"/>
      <c r="P34" s="28"/>
    </row>
    <row r="35" spans="1:16">
      <c r="A35" s="48">
        <v>9</v>
      </c>
      <c r="B35" s="48"/>
      <c r="C35" s="48"/>
      <c r="D35" s="48"/>
      <c r="E35" s="48"/>
      <c r="F35" s="48"/>
      <c r="G35" s="49"/>
      <c r="H35" s="76"/>
      <c r="I35" s="48"/>
      <c r="J35" s="48"/>
      <c r="K35" s="48"/>
      <c r="L35" s="48"/>
      <c r="M35" s="48"/>
      <c r="N35" s="48"/>
      <c r="O35" s="48"/>
      <c r="P35" s="48"/>
    </row>
    <row r="36" spans="1:16">
      <c r="A36" s="28">
        <v>10</v>
      </c>
      <c r="B36" s="28"/>
      <c r="C36" s="28"/>
      <c r="D36" s="28"/>
      <c r="E36" s="28"/>
      <c r="F36" s="28"/>
      <c r="G36" s="29"/>
      <c r="H36" s="75"/>
      <c r="I36" s="28"/>
      <c r="J36" s="28"/>
      <c r="K36" s="28"/>
      <c r="L36" s="28"/>
      <c r="M36" s="28"/>
      <c r="N36" s="28"/>
      <c r="O36" s="28"/>
      <c r="P36" s="28"/>
    </row>
    <row r="37" spans="1:16">
      <c r="A37" s="48">
        <v>11</v>
      </c>
      <c r="B37" s="48"/>
      <c r="C37" s="48"/>
      <c r="D37" s="48"/>
      <c r="E37" s="48"/>
      <c r="F37" s="48"/>
      <c r="G37" s="49"/>
      <c r="H37" s="76"/>
      <c r="I37" s="48"/>
      <c r="J37" s="48"/>
      <c r="K37" s="48"/>
      <c r="L37" s="48"/>
      <c r="M37" s="48"/>
      <c r="N37" s="48"/>
      <c r="O37" s="48"/>
      <c r="P37" s="48"/>
    </row>
    <row r="38" spans="1:16">
      <c r="A38" s="48">
        <v>33</v>
      </c>
      <c r="B38" s="48"/>
      <c r="C38" s="48"/>
      <c r="D38" s="48"/>
      <c r="E38" s="48"/>
      <c r="F38" s="48"/>
      <c r="G38" s="49"/>
      <c r="H38" s="76"/>
      <c r="I38" s="48"/>
      <c r="J38" s="48"/>
      <c r="K38" s="48"/>
      <c r="L38" s="48"/>
      <c r="M38" s="48"/>
      <c r="N38" s="48"/>
      <c r="O38" s="48"/>
      <c r="P38" s="48"/>
    </row>
    <row r="39" spans="1:16">
      <c r="A39" s="28">
        <v>34</v>
      </c>
      <c r="B39" s="28"/>
      <c r="C39" s="28"/>
      <c r="D39" s="28"/>
      <c r="E39" s="28"/>
      <c r="F39" s="28"/>
      <c r="G39" s="29"/>
      <c r="H39" s="75"/>
      <c r="I39" s="28"/>
      <c r="J39" s="28"/>
      <c r="K39" s="28"/>
      <c r="L39" s="28"/>
      <c r="M39" s="28"/>
      <c r="N39" s="28"/>
      <c r="O39" s="28"/>
      <c r="P39" s="28"/>
    </row>
    <row r="40" spans="1:16">
      <c r="A40" s="48">
        <v>35</v>
      </c>
      <c r="B40" s="48"/>
      <c r="C40" s="48"/>
      <c r="D40" s="48"/>
      <c r="E40" s="48"/>
      <c r="F40" s="48"/>
      <c r="G40" s="49"/>
      <c r="H40" s="76"/>
      <c r="I40" s="48"/>
      <c r="J40" s="48"/>
      <c r="K40" s="48"/>
      <c r="L40" s="48"/>
      <c r="M40" s="48"/>
      <c r="N40" s="48"/>
      <c r="O40" s="48"/>
      <c r="P40" s="48"/>
    </row>
    <row r="41" spans="1:16">
      <c r="A41" s="28">
        <v>50</v>
      </c>
      <c r="B41" s="28"/>
      <c r="C41" s="28"/>
      <c r="D41" s="28"/>
      <c r="E41" s="28"/>
      <c r="F41" s="28"/>
      <c r="G41" s="29"/>
      <c r="H41" s="75"/>
      <c r="I41" s="28"/>
      <c r="J41" s="28"/>
      <c r="K41" s="28"/>
      <c r="L41" s="28"/>
      <c r="M41" s="28"/>
      <c r="N41" s="28"/>
      <c r="O41" s="28"/>
      <c r="P41" s="28"/>
    </row>
    <row r="42" spans="1:16" s="39" customFormat="1" ht="12.75" customHeight="1">
      <c r="A42" s="102" t="s">
        <v>498</v>
      </c>
      <c r="B42" s="112"/>
      <c r="C42" s="112"/>
      <c r="D42" s="7">
        <f>COUNTA(C27:C41)</f>
        <v>3</v>
      </c>
    </row>
  </sheetData>
  <mergeCells count="7">
    <mergeCell ref="Q23:R23"/>
    <mergeCell ref="A1:S1"/>
    <mergeCell ref="A42:C42"/>
    <mergeCell ref="A3:S3"/>
    <mergeCell ref="A23:C23"/>
    <mergeCell ref="L2:N2"/>
    <mergeCell ref="A25:P25"/>
  </mergeCells>
  <conditionalFormatting sqref="A5:S22">
    <cfRule type="expression" dxfId="71" priority="2">
      <formula>$S5="Terminated"</formula>
    </cfRule>
    <cfRule type="expression" dxfId="70" priority="3">
      <formula>$S5="Resigned"</formula>
    </cfRule>
    <cfRule type="expression" dxfId="69" priority="4">
      <formula>$S5="NCNS"</formula>
    </cfRule>
    <cfRule type="expression" dxfId="68" priority="5">
      <formula>$S5="Suspended"</formula>
    </cfRule>
  </conditionalFormatting>
  <conditionalFormatting sqref="A27:O41">
    <cfRule type="expression" dxfId="67" priority="6">
      <formula>$O27="QUIT"</formula>
    </cfRule>
    <cfRule type="expression" dxfId="66" priority="7">
      <formula>$O27="Terminated"</formula>
    </cfRule>
    <cfRule type="expression" dxfId="65" priority="8">
      <formula>$O27="Resigned"</formula>
    </cfRule>
    <cfRule type="expression" dxfId="64" priority="9">
      <formula>$O27="NCNS"</formula>
    </cfRule>
  </conditionalFormatting>
  <dataValidations count="5">
    <dataValidation type="list" sqref="B5:B22 B27:B41" xr:uid="{00000000-0002-0000-0500-000001000000}">
      <formula1>"Residential,Administration,Finance,Facilities,HR,ELC,LLL,Prof. Services,Behavioral,IT,Other"</formula1>
    </dataValidation>
    <dataValidation type="list" sqref="I5:R22 I27:O41" xr:uid="{00000000-0002-0000-0500-000003000000}">
      <formula1>"Yes,No,N/A,In Progress"</formula1>
    </dataValidation>
    <dataValidation type="list" sqref="E5:E22" xr:uid="{00000000-0002-0000-0500-000000000000}">
      <formula1>"Yes,No,Pending"</formula1>
    </dataValidation>
    <dataValidation type="list" sqref="S5:S22" xr:uid="{00000000-0002-0000-0500-000002000000}">
      <formula1>"Active,Terminated,Resigned,NCNS,Suspended"</formula1>
    </dataValidation>
    <dataValidation type="list" sqref="P27:P41" xr:uid="{00000000-0002-0000-0500-000004000000}">
      <formula1>"Active,QUIT,Terminated,Resigned,NCNS,Transferred"</formula1>
    </dataValidation>
  </dataValidations>
  <hyperlinks>
    <hyperlink ref="A2" location="Dashboard!A1" display="← Dashboard" xr:uid="{00000000-0004-0000-0500-000000000000}"/>
  </hyperlinks>
  <pageMargins left="0.75" right="0.75" top="1" bottom="1" header="0.511811023622047" footer="0.511811023622047"/>
  <pageSetup paperSize="9" orientation="portrait" horizontalDpi="300" verticalDpi="300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2C5282"/>
  </sheetPr>
  <dimension ref="A1:S109"/>
  <sheetViews>
    <sheetView zoomScale="80" zoomScaleNormal="80" workbookViewId="0">
      <pane ySplit="4" topLeftCell="A44" activePane="bottomLeft" state="frozen"/>
      <selection pane="bottomLeft" activeCell="F16" sqref="F16"/>
      <selection activeCell="F16" sqref="F16"/>
    </sheetView>
  </sheetViews>
  <sheetFormatPr defaultColWidth="8.7109375" defaultRowHeight="14.25"/>
  <cols>
    <col min="1" max="1" width="4" style="32" customWidth="1"/>
    <col min="2" max="2" width="15" style="32" customWidth="1"/>
    <col min="3" max="3" width="13" style="32" customWidth="1"/>
    <col min="4" max="4" width="17" style="32" customWidth="1"/>
    <col min="5" max="5" width="11" style="32" customWidth="1"/>
    <col min="6" max="6" width="14" style="32" customWidth="1"/>
    <col min="7" max="7" width="22" style="32" customWidth="1"/>
    <col min="8" max="8" width="12" style="32" customWidth="1"/>
    <col min="9" max="17" width="11" style="32" customWidth="1"/>
    <col min="18" max="19" width="10" style="32" customWidth="1"/>
    <col min="20" max="20" width="8.7109375" style="32" customWidth="1"/>
    <col min="21" max="16384" width="8.7109375" style="32"/>
  </cols>
  <sheetData>
    <row r="1" spans="1:19" ht="33.75" customHeight="1">
      <c r="A1" s="100" t="s">
        <v>662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</row>
    <row r="2" spans="1:19" s="1" customFormat="1" ht="18" customHeight="1">
      <c r="A2" s="33" t="s">
        <v>79</v>
      </c>
      <c r="E2" s="35" t="s">
        <v>402</v>
      </c>
      <c r="F2" s="35">
        <f>D55</f>
        <v>0</v>
      </c>
      <c r="G2" s="36" t="s">
        <v>403</v>
      </c>
      <c r="H2" s="36">
        <f>S55</f>
        <v>0</v>
      </c>
      <c r="I2" s="37" t="s">
        <v>404</v>
      </c>
      <c r="J2" s="37">
        <f>D109</f>
        <v>0</v>
      </c>
      <c r="L2" s="104" t="s">
        <v>405</v>
      </c>
      <c r="M2" s="87"/>
      <c r="N2" s="87"/>
      <c r="O2" s="38" t="str">
        <f t="array" ref="O2">IF(COUNTIF(S5:S54,"Active")&gt;0,SUMPRODUCT((S5:S54="Active")*(I5:R54="Yes"))/SUMPRODUCT((S5:S54="Active")*(I5:R54&lt;&gt;"N/A")*(I5:R54&lt;&gt;"")),"—")</f>
        <v>—</v>
      </c>
    </row>
    <row r="3" spans="1:19" ht="24" customHeight="1">
      <c r="A3" s="103" t="s">
        <v>406</v>
      </c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</row>
    <row r="4" spans="1:19" ht="27.75" customHeight="1">
      <c r="A4" s="27" t="s">
        <v>407</v>
      </c>
      <c r="B4" s="27" t="s">
        <v>408</v>
      </c>
      <c r="C4" s="27" t="s">
        <v>409</v>
      </c>
      <c r="D4" s="27" t="s">
        <v>410</v>
      </c>
      <c r="E4" s="27" t="s">
        <v>411</v>
      </c>
      <c r="F4" s="27" t="s">
        <v>412</v>
      </c>
      <c r="G4" s="27" t="s">
        <v>413</v>
      </c>
      <c r="H4" s="27" t="s">
        <v>414</v>
      </c>
      <c r="I4" s="27" t="s">
        <v>357</v>
      </c>
      <c r="J4" s="27" t="s">
        <v>69</v>
      </c>
      <c r="K4" s="27" t="s">
        <v>360</v>
      </c>
      <c r="L4" s="27" t="s">
        <v>96</v>
      </c>
      <c r="M4" s="27" t="s">
        <v>72</v>
      </c>
      <c r="N4" s="27" t="s">
        <v>73</v>
      </c>
      <c r="O4" s="27" t="s">
        <v>74</v>
      </c>
      <c r="P4" s="27" t="s">
        <v>75</v>
      </c>
      <c r="Q4" s="27" t="s">
        <v>76</v>
      </c>
      <c r="R4" s="27" t="s">
        <v>77</v>
      </c>
      <c r="S4" s="27" t="s">
        <v>415</v>
      </c>
    </row>
    <row r="5" spans="1:19">
      <c r="A5" s="48">
        <v>1</v>
      </c>
      <c r="B5" s="48"/>
      <c r="C5" s="48"/>
      <c r="D5" s="48"/>
      <c r="E5" s="48"/>
      <c r="F5" s="49"/>
      <c r="G5" s="48"/>
      <c r="H5" s="49"/>
      <c r="I5" s="48"/>
      <c r="J5" s="48"/>
      <c r="K5" s="48"/>
      <c r="L5" s="48"/>
      <c r="M5" s="48"/>
      <c r="N5" s="48"/>
      <c r="O5" s="48"/>
      <c r="P5" s="48"/>
      <c r="Q5" s="48"/>
      <c r="R5" s="48"/>
      <c r="S5" s="49"/>
    </row>
    <row r="6" spans="1:19">
      <c r="A6" s="28">
        <v>2</v>
      </c>
      <c r="B6" s="28"/>
      <c r="C6" s="28"/>
      <c r="D6" s="28"/>
      <c r="E6" s="28"/>
      <c r="F6" s="29"/>
      <c r="G6" s="28"/>
      <c r="H6" s="29"/>
      <c r="I6" s="28"/>
      <c r="J6" s="28"/>
      <c r="K6" s="28"/>
      <c r="L6" s="28"/>
      <c r="M6" s="28"/>
      <c r="N6" s="28"/>
      <c r="O6" s="28"/>
      <c r="P6" s="28"/>
      <c r="Q6" s="28"/>
      <c r="R6" s="28"/>
      <c r="S6" s="29"/>
    </row>
    <row r="7" spans="1:19">
      <c r="A7" s="48">
        <v>3</v>
      </c>
      <c r="B7" s="48"/>
      <c r="C7" s="48"/>
      <c r="D7" s="48"/>
      <c r="E7" s="48"/>
      <c r="F7" s="49"/>
      <c r="G7" s="48"/>
      <c r="H7" s="49"/>
      <c r="I7" s="48"/>
      <c r="J7" s="48"/>
      <c r="K7" s="48"/>
      <c r="L7" s="48"/>
      <c r="M7" s="48"/>
      <c r="N7" s="48"/>
      <c r="O7" s="48"/>
      <c r="P7" s="48"/>
      <c r="Q7" s="48"/>
      <c r="R7" s="48"/>
      <c r="S7" s="49"/>
    </row>
    <row r="8" spans="1:19">
      <c r="A8" s="28">
        <v>4</v>
      </c>
      <c r="B8" s="28"/>
      <c r="C8" s="28"/>
      <c r="D8" s="28"/>
      <c r="E8" s="28"/>
      <c r="F8" s="29"/>
      <c r="G8" s="28"/>
      <c r="H8" s="29"/>
      <c r="I8" s="28"/>
      <c r="J8" s="28"/>
      <c r="K8" s="28"/>
      <c r="L8" s="28"/>
      <c r="M8" s="28"/>
      <c r="N8" s="28"/>
      <c r="O8" s="28"/>
      <c r="P8" s="28"/>
      <c r="Q8" s="28"/>
      <c r="R8" s="28"/>
      <c r="S8" s="29"/>
    </row>
    <row r="9" spans="1:19">
      <c r="A9" s="48">
        <v>5</v>
      </c>
      <c r="B9" s="48"/>
      <c r="C9" s="48"/>
      <c r="D9" s="48"/>
      <c r="E9" s="48"/>
      <c r="F9" s="49"/>
      <c r="G9" s="48"/>
      <c r="H9" s="49"/>
      <c r="I9" s="48"/>
      <c r="J9" s="48"/>
      <c r="K9" s="48"/>
      <c r="L9" s="48"/>
      <c r="M9" s="48"/>
      <c r="N9" s="48"/>
      <c r="O9" s="48"/>
      <c r="P9" s="48"/>
      <c r="Q9" s="48"/>
      <c r="R9" s="48"/>
      <c r="S9" s="49"/>
    </row>
    <row r="10" spans="1:19">
      <c r="A10" s="28">
        <v>6</v>
      </c>
      <c r="B10" s="28"/>
      <c r="C10" s="28"/>
      <c r="D10" s="28"/>
      <c r="E10" s="28"/>
      <c r="F10" s="29"/>
      <c r="G10" s="28"/>
      <c r="H10" s="29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9"/>
    </row>
    <row r="11" spans="1:19">
      <c r="A11" s="48">
        <v>7</v>
      </c>
      <c r="B11" s="48"/>
      <c r="C11" s="48"/>
      <c r="D11" s="48"/>
      <c r="E11" s="48"/>
      <c r="F11" s="49"/>
      <c r="G11" s="48"/>
      <c r="H11" s="49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9"/>
    </row>
    <row r="12" spans="1:19">
      <c r="A12" s="28">
        <v>8</v>
      </c>
      <c r="B12" s="28"/>
      <c r="C12" s="28"/>
      <c r="D12" s="28"/>
      <c r="E12" s="28"/>
      <c r="F12" s="29"/>
      <c r="G12" s="28"/>
      <c r="H12" s="29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9"/>
    </row>
    <row r="13" spans="1:19">
      <c r="A13" s="48">
        <v>9</v>
      </c>
      <c r="B13" s="48"/>
      <c r="C13" s="48"/>
      <c r="D13" s="48"/>
      <c r="E13" s="48"/>
      <c r="F13" s="49"/>
      <c r="G13" s="48"/>
      <c r="H13" s="49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9"/>
    </row>
    <row r="14" spans="1:19">
      <c r="A14" s="28">
        <v>10</v>
      </c>
      <c r="B14" s="28"/>
      <c r="C14" s="28"/>
      <c r="D14" s="28"/>
      <c r="E14" s="28"/>
      <c r="F14" s="29"/>
      <c r="G14" s="28"/>
      <c r="H14" s="29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9"/>
    </row>
    <row r="15" spans="1:19">
      <c r="A15" s="48">
        <v>11</v>
      </c>
      <c r="B15" s="48"/>
      <c r="C15" s="48"/>
      <c r="D15" s="48"/>
      <c r="E15" s="48"/>
      <c r="F15" s="49"/>
      <c r="G15" s="48"/>
      <c r="H15" s="49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9"/>
    </row>
    <row r="16" spans="1:19">
      <c r="A16" s="28">
        <v>12</v>
      </c>
      <c r="B16" s="28"/>
      <c r="C16" s="28"/>
      <c r="D16" s="28"/>
      <c r="E16" s="28"/>
      <c r="F16" s="29"/>
      <c r="G16" s="28"/>
      <c r="H16" s="29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9"/>
    </row>
    <row r="17" spans="1:19">
      <c r="A17" s="48">
        <v>13</v>
      </c>
      <c r="B17" s="48"/>
      <c r="C17" s="48"/>
      <c r="D17" s="48"/>
      <c r="E17" s="48"/>
      <c r="F17" s="49"/>
      <c r="G17" s="48"/>
      <c r="H17" s="49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9"/>
    </row>
    <row r="18" spans="1:19">
      <c r="A18" s="28">
        <v>14</v>
      </c>
      <c r="B18" s="28"/>
      <c r="C18" s="28"/>
      <c r="D18" s="28"/>
      <c r="E18" s="28"/>
      <c r="F18" s="29"/>
      <c r="G18" s="28"/>
      <c r="H18" s="29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9"/>
    </row>
    <row r="19" spans="1:19">
      <c r="A19" s="48">
        <v>15</v>
      </c>
      <c r="B19" s="48"/>
      <c r="C19" s="48"/>
      <c r="D19" s="48"/>
      <c r="E19" s="48"/>
      <c r="F19" s="49"/>
      <c r="G19" s="48"/>
      <c r="H19" s="49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9"/>
    </row>
    <row r="20" spans="1:19">
      <c r="A20" s="28">
        <v>16</v>
      </c>
      <c r="B20" s="28"/>
      <c r="C20" s="28"/>
      <c r="D20" s="28"/>
      <c r="E20" s="28"/>
      <c r="F20" s="29"/>
      <c r="G20" s="28"/>
      <c r="H20" s="29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9"/>
    </row>
    <row r="21" spans="1:19">
      <c r="A21" s="48">
        <v>17</v>
      </c>
      <c r="B21" s="48"/>
      <c r="C21" s="48"/>
      <c r="D21" s="48"/>
      <c r="E21" s="48"/>
      <c r="F21" s="49"/>
      <c r="G21" s="48"/>
      <c r="H21" s="49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9"/>
    </row>
    <row r="22" spans="1:19">
      <c r="A22" s="28">
        <v>18</v>
      </c>
      <c r="B22" s="28"/>
      <c r="C22" s="28"/>
      <c r="D22" s="28"/>
      <c r="E22" s="28"/>
      <c r="F22" s="29"/>
      <c r="G22" s="28"/>
      <c r="H22" s="29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9"/>
    </row>
    <row r="23" spans="1:19">
      <c r="A23" s="48">
        <v>19</v>
      </c>
      <c r="B23" s="48"/>
      <c r="C23" s="48"/>
      <c r="D23" s="48"/>
      <c r="E23" s="48"/>
      <c r="F23" s="49"/>
      <c r="G23" s="48"/>
      <c r="H23" s="49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9"/>
    </row>
    <row r="24" spans="1:19">
      <c r="A24" s="28">
        <v>20</v>
      </c>
      <c r="B24" s="28"/>
      <c r="C24" s="28"/>
      <c r="D24" s="28"/>
      <c r="E24" s="28"/>
      <c r="F24" s="29"/>
      <c r="G24" s="28"/>
      <c r="H24" s="29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</row>
    <row r="25" spans="1:19">
      <c r="A25" s="48">
        <v>21</v>
      </c>
      <c r="B25" s="48"/>
      <c r="C25" s="48"/>
      <c r="D25" s="48"/>
      <c r="E25" s="48"/>
      <c r="F25" s="49"/>
      <c r="G25" s="48"/>
      <c r="H25" s="49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9"/>
    </row>
    <row r="26" spans="1:19">
      <c r="A26" s="28">
        <v>22</v>
      </c>
      <c r="B26" s="28"/>
      <c r="C26" s="28"/>
      <c r="D26" s="28"/>
      <c r="E26" s="28"/>
      <c r="F26" s="29"/>
      <c r="G26" s="28"/>
      <c r="H26" s="29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9"/>
    </row>
    <row r="27" spans="1:19">
      <c r="A27" s="48">
        <v>23</v>
      </c>
      <c r="B27" s="48"/>
      <c r="C27" s="48"/>
      <c r="D27" s="48"/>
      <c r="E27" s="48"/>
      <c r="F27" s="49"/>
      <c r="G27" s="48"/>
      <c r="H27" s="49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9"/>
    </row>
    <row r="28" spans="1:19">
      <c r="A28" s="28">
        <v>24</v>
      </c>
      <c r="B28" s="28"/>
      <c r="C28" s="28"/>
      <c r="D28" s="28"/>
      <c r="E28" s="28"/>
      <c r="F28" s="29"/>
      <c r="G28" s="28"/>
      <c r="H28" s="29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9"/>
    </row>
    <row r="29" spans="1:19">
      <c r="A29" s="48">
        <v>25</v>
      </c>
      <c r="B29" s="48"/>
      <c r="C29" s="48"/>
      <c r="D29" s="48"/>
      <c r="E29" s="48"/>
      <c r="F29" s="49"/>
      <c r="G29" s="48"/>
      <c r="H29" s="49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9"/>
    </row>
    <row r="30" spans="1:19">
      <c r="A30" s="28">
        <v>26</v>
      </c>
      <c r="B30" s="28"/>
      <c r="C30" s="28"/>
      <c r="D30" s="28"/>
      <c r="E30" s="28"/>
      <c r="F30" s="29"/>
      <c r="G30" s="28"/>
      <c r="H30" s="29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9"/>
    </row>
    <row r="31" spans="1:19">
      <c r="A31" s="48">
        <v>27</v>
      </c>
      <c r="B31" s="48"/>
      <c r="C31" s="48"/>
      <c r="D31" s="48"/>
      <c r="E31" s="48"/>
      <c r="F31" s="49"/>
      <c r="G31" s="48"/>
      <c r="H31" s="49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9"/>
    </row>
    <row r="32" spans="1:19">
      <c r="A32" s="28">
        <v>28</v>
      </c>
      <c r="B32" s="28"/>
      <c r="C32" s="28"/>
      <c r="D32" s="28"/>
      <c r="E32" s="28"/>
      <c r="F32" s="29"/>
      <c r="G32" s="28"/>
      <c r="H32" s="29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9"/>
    </row>
    <row r="33" spans="1:19">
      <c r="A33" s="48">
        <v>29</v>
      </c>
      <c r="B33" s="48"/>
      <c r="C33" s="48"/>
      <c r="D33" s="48"/>
      <c r="E33" s="48"/>
      <c r="F33" s="49"/>
      <c r="G33" s="48"/>
      <c r="H33" s="49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9"/>
    </row>
    <row r="34" spans="1:19">
      <c r="A34" s="28">
        <v>30</v>
      </c>
      <c r="B34" s="28"/>
      <c r="C34" s="28"/>
      <c r="D34" s="28"/>
      <c r="E34" s="28"/>
      <c r="F34" s="29"/>
      <c r="G34" s="28"/>
      <c r="H34" s="29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9"/>
    </row>
    <row r="35" spans="1:19">
      <c r="A35" s="48">
        <v>31</v>
      </c>
      <c r="B35" s="48"/>
      <c r="C35" s="48"/>
      <c r="D35" s="48"/>
      <c r="E35" s="48"/>
      <c r="F35" s="49"/>
      <c r="G35" s="48"/>
      <c r="H35" s="49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9"/>
    </row>
    <row r="36" spans="1:19">
      <c r="A36" s="28">
        <v>32</v>
      </c>
      <c r="B36" s="28"/>
      <c r="C36" s="28"/>
      <c r="D36" s="28"/>
      <c r="E36" s="28"/>
      <c r="F36" s="29"/>
      <c r="G36" s="28"/>
      <c r="H36" s="29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9"/>
    </row>
    <row r="37" spans="1:19">
      <c r="A37" s="48">
        <v>33</v>
      </c>
      <c r="B37" s="48"/>
      <c r="C37" s="48"/>
      <c r="D37" s="48"/>
      <c r="E37" s="48"/>
      <c r="F37" s="49"/>
      <c r="G37" s="48"/>
      <c r="H37" s="49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9"/>
    </row>
    <row r="38" spans="1:19">
      <c r="A38" s="28">
        <v>34</v>
      </c>
      <c r="B38" s="28"/>
      <c r="C38" s="28"/>
      <c r="D38" s="28"/>
      <c r="E38" s="28"/>
      <c r="F38" s="29"/>
      <c r="G38" s="28"/>
      <c r="H38" s="29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9"/>
    </row>
    <row r="39" spans="1:19">
      <c r="A39" s="48">
        <v>35</v>
      </c>
      <c r="B39" s="48"/>
      <c r="C39" s="48"/>
      <c r="D39" s="48"/>
      <c r="E39" s="48"/>
      <c r="F39" s="49"/>
      <c r="G39" s="48"/>
      <c r="H39" s="49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9"/>
    </row>
    <row r="40" spans="1:19">
      <c r="A40" s="28">
        <v>36</v>
      </c>
      <c r="B40" s="28"/>
      <c r="C40" s="28"/>
      <c r="D40" s="28"/>
      <c r="E40" s="28"/>
      <c r="F40" s="29"/>
      <c r="G40" s="28"/>
      <c r="H40" s="29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9"/>
    </row>
    <row r="41" spans="1:19">
      <c r="A41" s="48">
        <v>37</v>
      </c>
      <c r="B41" s="48"/>
      <c r="C41" s="48"/>
      <c r="D41" s="48"/>
      <c r="E41" s="48"/>
      <c r="F41" s="49"/>
      <c r="G41" s="48"/>
      <c r="H41" s="49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9"/>
    </row>
    <row r="42" spans="1:19">
      <c r="A42" s="28">
        <v>38</v>
      </c>
      <c r="B42" s="28"/>
      <c r="C42" s="28"/>
      <c r="D42" s="28"/>
      <c r="E42" s="28"/>
      <c r="F42" s="29"/>
      <c r="G42" s="28"/>
      <c r="H42" s="29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9"/>
    </row>
    <row r="43" spans="1:19">
      <c r="A43" s="48">
        <v>39</v>
      </c>
      <c r="B43" s="48"/>
      <c r="C43" s="48"/>
      <c r="D43" s="48"/>
      <c r="E43" s="48"/>
      <c r="F43" s="49"/>
      <c r="G43" s="48"/>
      <c r="H43" s="49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9"/>
    </row>
    <row r="44" spans="1:19">
      <c r="A44" s="28">
        <v>40</v>
      </c>
      <c r="B44" s="28"/>
      <c r="C44" s="28"/>
      <c r="D44" s="28"/>
      <c r="E44" s="28"/>
      <c r="F44" s="29"/>
      <c r="G44" s="28"/>
      <c r="H44" s="29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9"/>
    </row>
    <row r="45" spans="1:19">
      <c r="A45" s="48">
        <v>41</v>
      </c>
      <c r="B45" s="48"/>
      <c r="C45" s="48"/>
      <c r="D45" s="48"/>
      <c r="E45" s="48"/>
      <c r="F45" s="49"/>
      <c r="G45" s="48"/>
      <c r="H45" s="49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9"/>
    </row>
    <row r="46" spans="1:19">
      <c r="A46" s="28">
        <v>42</v>
      </c>
      <c r="B46" s="28"/>
      <c r="C46" s="28"/>
      <c r="D46" s="28"/>
      <c r="E46" s="28"/>
      <c r="F46" s="29"/>
      <c r="G46" s="28"/>
      <c r="H46" s="29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9"/>
    </row>
    <row r="47" spans="1:19">
      <c r="A47" s="48">
        <v>43</v>
      </c>
      <c r="B47" s="48"/>
      <c r="C47" s="48"/>
      <c r="D47" s="48"/>
      <c r="E47" s="48"/>
      <c r="F47" s="49"/>
      <c r="G47" s="48"/>
      <c r="H47" s="49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9"/>
    </row>
    <row r="48" spans="1:19">
      <c r="A48" s="28">
        <v>44</v>
      </c>
      <c r="B48" s="28"/>
      <c r="C48" s="28"/>
      <c r="D48" s="28"/>
      <c r="E48" s="28"/>
      <c r="F48" s="29"/>
      <c r="G48" s="28"/>
      <c r="H48" s="29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9"/>
    </row>
    <row r="49" spans="1:19">
      <c r="A49" s="48">
        <v>45</v>
      </c>
      <c r="B49" s="48"/>
      <c r="C49" s="48"/>
      <c r="D49" s="48"/>
      <c r="E49" s="48"/>
      <c r="F49" s="49"/>
      <c r="G49" s="48"/>
      <c r="H49" s="49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9"/>
    </row>
    <row r="50" spans="1:19">
      <c r="A50" s="28">
        <v>46</v>
      </c>
      <c r="B50" s="28"/>
      <c r="C50" s="28"/>
      <c r="D50" s="28"/>
      <c r="E50" s="28"/>
      <c r="F50" s="29"/>
      <c r="G50" s="28"/>
      <c r="H50" s="29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9"/>
    </row>
    <row r="51" spans="1:19">
      <c r="A51" s="48">
        <v>47</v>
      </c>
      <c r="B51" s="48"/>
      <c r="C51" s="48"/>
      <c r="D51" s="48"/>
      <c r="E51" s="48"/>
      <c r="F51" s="49"/>
      <c r="G51" s="48"/>
      <c r="H51" s="49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9"/>
    </row>
    <row r="52" spans="1:19">
      <c r="A52" s="28">
        <v>48</v>
      </c>
      <c r="B52" s="28"/>
      <c r="C52" s="28"/>
      <c r="D52" s="28"/>
      <c r="E52" s="28"/>
      <c r="F52" s="29"/>
      <c r="G52" s="28"/>
      <c r="H52" s="29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9"/>
    </row>
    <row r="53" spans="1:19">
      <c r="A53" s="48">
        <v>49</v>
      </c>
      <c r="B53" s="48"/>
      <c r="C53" s="48"/>
      <c r="D53" s="48"/>
      <c r="E53" s="48"/>
      <c r="F53" s="49"/>
      <c r="G53" s="48"/>
      <c r="H53" s="49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9"/>
    </row>
    <row r="54" spans="1:19">
      <c r="A54" s="28">
        <v>50</v>
      </c>
      <c r="B54" s="28"/>
      <c r="C54" s="28"/>
      <c r="D54" s="28"/>
      <c r="E54" s="28"/>
      <c r="F54" s="29"/>
      <c r="G54" s="28"/>
      <c r="H54" s="29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9"/>
    </row>
    <row r="55" spans="1:19" s="39" customFormat="1" ht="21.75" customHeight="1">
      <c r="A55" s="102" t="s">
        <v>460</v>
      </c>
      <c r="B55" s="112"/>
      <c r="C55" s="112"/>
      <c r="D55" s="7">
        <f>COUNTA(C5:C54)</f>
        <v>0</v>
      </c>
      <c r="I55" s="7" t="s">
        <v>461</v>
      </c>
      <c r="J55" s="39">
        <f t="array" ref="J55">COUNTIF(S5:S54,"Active")-SUMPRODUCT((S5:S54="Active")*(I5:I54="Yes")*(J5:J54="Yes")*(K5:K54="Yes")*(L5:L54="Yes")*(M5:M54="Yes")*(N5:N54="Yes")*(O5:O54="Yes")*(P5:P54="Yes")*(Q5:Q54="Yes")*(R5:R54="Yes"))</f>
        <v>0</v>
      </c>
      <c r="P55" s="34"/>
      <c r="Q55" s="99" t="s">
        <v>462</v>
      </c>
      <c r="R55" s="99"/>
      <c r="S55" s="39">
        <f>COUNTIF(S5:S54,"Terminated")+COUNTIF(S5:S54,"Resigned")+COUNTIF(S5:S54,"NCNS")</f>
        <v>0</v>
      </c>
    </row>
    <row r="56" spans="1:19" ht="7.5" customHeight="1"/>
    <row r="57" spans="1:19" ht="24" customHeight="1">
      <c r="A57" s="105" t="s">
        <v>463</v>
      </c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1"/>
      <c r="O57" s="101"/>
      <c r="P57" s="101"/>
    </row>
    <row r="58" spans="1:19" ht="24" customHeight="1">
      <c r="A58" s="27" t="s">
        <v>407</v>
      </c>
      <c r="B58" s="27" t="s">
        <v>408</v>
      </c>
      <c r="C58" s="27" t="s">
        <v>409</v>
      </c>
      <c r="D58" s="27" t="s">
        <v>464</v>
      </c>
      <c r="E58" s="27" t="s">
        <v>465</v>
      </c>
      <c r="F58" s="27" t="s">
        <v>466</v>
      </c>
      <c r="G58" s="27" t="s">
        <v>467</v>
      </c>
      <c r="H58" s="80" t="s">
        <v>468</v>
      </c>
      <c r="I58" s="27" t="s">
        <v>469</v>
      </c>
      <c r="J58" s="27" t="s">
        <v>470</v>
      </c>
      <c r="K58" s="27" t="s">
        <v>73</v>
      </c>
      <c r="L58" s="27" t="s">
        <v>74</v>
      </c>
      <c r="M58" s="27" t="s">
        <v>471</v>
      </c>
      <c r="N58" s="27" t="s">
        <v>76</v>
      </c>
      <c r="O58" s="27" t="s">
        <v>472</v>
      </c>
      <c r="P58" s="27" t="s">
        <v>415</v>
      </c>
    </row>
    <row r="59" spans="1:19">
      <c r="A59" s="48">
        <v>1</v>
      </c>
      <c r="B59" s="48"/>
      <c r="C59" s="48"/>
      <c r="D59" s="48"/>
      <c r="E59" s="48"/>
      <c r="F59" s="48"/>
      <c r="G59" s="49"/>
      <c r="H59" s="76"/>
      <c r="I59" s="48"/>
      <c r="J59" s="48"/>
      <c r="K59" s="48"/>
      <c r="L59" s="48"/>
      <c r="M59" s="48"/>
      <c r="N59" s="48"/>
      <c r="O59" s="48"/>
      <c r="P59" s="48"/>
    </row>
    <row r="60" spans="1:19">
      <c r="A60" s="28">
        <v>2</v>
      </c>
      <c r="B60" s="28"/>
      <c r="C60" s="28"/>
      <c r="D60" s="28"/>
      <c r="E60" s="28"/>
      <c r="F60" s="28"/>
      <c r="G60" s="29"/>
      <c r="H60" s="75"/>
      <c r="I60" s="28"/>
      <c r="J60" s="28"/>
      <c r="K60" s="28"/>
      <c r="L60" s="28"/>
      <c r="M60" s="28"/>
      <c r="N60" s="28"/>
      <c r="O60" s="28"/>
      <c r="P60" s="28"/>
    </row>
    <row r="61" spans="1:19">
      <c r="A61" s="48">
        <v>3</v>
      </c>
      <c r="B61" s="48"/>
      <c r="C61" s="48"/>
      <c r="D61" s="48"/>
      <c r="E61" s="48"/>
      <c r="F61" s="48"/>
      <c r="G61" s="49"/>
      <c r="H61" s="76"/>
      <c r="I61" s="48"/>
      <c r="J61" s="48"/>
      <c r="K61" s="48"/>
      <c r="L61" s="48"/>
      <c r="M61" s="48"/>
      <c r="N61" s="48"/>
      <c r="O61" s="48"/>
      <c r="P61" s="48"/>
    </row>
    <row r="62" spans="1:19">
      <c r="A62" s="28">
        <v>4</v>
      </c>
      <c r="B62" s="28"/>
      <c r="C62" s="28"/>
      <c r="D62" s="28"/>
      <c r="E62" s="28"/>
      <c r="F62" s="28"/>
      <c r="G62" s="29"/>
      <c r="H62" s="75"/>
      <c r="I62" s="28"/>
      <c r="J62" s="28"/>
      <c r="K62" s="28"/>
      <c r="L62" s="28"/>
      <c r="M62" s="28"/>
      <c r="N62" s="28"/>
      <c r="O62" s="28"/>
      <c r="P62" s="28"/>
    </row>
    <row r="63" spans="1:19">
      <c r="A63" s="48">
        <v>5</v>
      </c>
      <c r="B63" s="48"/>
      <c r="C63" s="48"/>
      <c r="D63" s="48"/>
      <c r="E63" s="48"/>
      <c r="F63" s="48"/>
      <c r="G63" s="49"/>
      <c r="H63" s="76"/>
      <c r="I63" s="48"/>
      <c r="J63" s="48"/>
      <c r="K63" s="48"/>
      <c r="L63" s="48"/>
      <c r="M63" s="48"/>
      <c r="N63" s="48"/>
      <c r="O63" s="48"/>
      <c r="P63" s="48"/>
    </row>
    <row r="64" spans="1:19">
      <c r="A64" s="28">
        <v>6</v>
      </c>
      <c r="B64" s="28"/>
      <c r="C64" s="28"/>
      <c r="D64" s="28"/>
      <c r="E64" s="28"/>
      <c r="F64" s="28"/>
      <c r="G64" s="29"/>
      <c r="H64" s="75"/>
      <c r="I64" s="28"/>
      <c r="J64" s="28"/>
      <c r="K64" s="28"/>
      <c r="L64" s="28"/>
      <c r="M64" s="28"/>
      <c r="N64" s="28"/>
      <c r="O64" s="28"/>
      <c r="P64" s="28"/>
    </row>
    <row r="65" spans="1:16">
      <c r="A65" s="48">
        <v>7</v>
      </c>
      <c r="B65" s="48"/>
      <c r="C65" s="48"/>
      <c r="D65" s="48"/>
      <c r="E65" s="48"/>
      <c r="F65" s="48"/>
      <c r="G65" s="49"/>
      <c r="H65" s="76"/>
      <c r="I65" s="48"/>
      <c r="J65" s="48"/>
      <c r="K65" s="48"/>
      <c r="L65" s="48"/>
      <c r="M65" s="48"/>
      <c r="N65" s="48"/>
      <c r="O65" s="48"/>
      <c r="P65" s="48"/>
    </row>
    <row r="66" spans="1:16">
      <c r="A66" s="28">
        <v>8</v>
      </c>
      <c r="B66" s="28"/>
      <c r="C66" s="28"/>
      <c r="D66" s="28"/>
      <c r="E66" s="28"/>
      <c r="F66" s="28"/>
      <c r="G66" s="29"/>
      <c r="H66" s="75"/>
      <c r="I66" s="28"/>
      <c r="J66" s="28"/>
      <c r="K66" s="28"/>
      <c r="L66" s="28"/>
      <c r="M66" s="28"/>
      <c r="N66" s="28"/>
      <c r="O66" s="28"/>
      <c r="P66" s="28"/>
    </row>
    <row r="67" spans="1:16">
      <c r="A67" s="48">
        <v>9</v>
      </c>
      <c r="B67" s="48"/>
      <c r="C67" s="48"/>
      <c r="D67" s="48"/>
      <c r="E67" s="48"/>
      <c r="F67" s="48"/>
      <c r="G67" s="49"/>
      <c r="H67" s="76"/>
      <c r="I67" s="48"/>
      <c r="J67" s="48"/>
      <c r="K67" s="48"/>
      <c r="L67" s="48"/>
      <c r="M67" s="48"/>
      <c r="N67" s="48"/>
      <c r="O67" s="48"/>
      <c r="P67" s="48"/>
    </row>
    <row r="68" spans="1:16">
      <c r="A68" s="28">
        <v>10</v>
      </c>
      <c r="B68" s="28"/>
      <c r="C68" s="28"/>
      <c r="D68" s="28"/>
      <c r="E68" s="28"/>
      <c r="F68" s="28"/>
      <c r="G68" s="29"/>
      <c r="H68" s="75"/>
      <c r="I68" s="28"/>
      <c r="J68" s="28"/>
      <c r="K68" s="28"/>
      <c r="L68" s="28"/>
      <c r="M68" s="28"/>
      <c r="N68" s="28"/>
      <c r="O68" s="28"/>
      <c r="P68" s="28"/>
    </row>
    <row r="69" spans="1:16">
      <c r="A69" s="48">
        <v>11</v>
      </c>
      <c r="B69" s="48"/>
      <c r="C69" s="48"/>
      <c r="D69" s="48"/>
      <c r="E69" s="48"/>
      <c r="F69" s="48"/>
      <c r="G69" s="49"/>
      <c r="H69" s="76"/>
      <c r="I69" s="48"/>
      <c r="J69" s="48"/>
      <c r="K69" s="48"/>
      <c r="L69" s="48"/>
      <c r="M69" s="48"/>
      <c r="N69" s="48"/>
      <c r="O69" s="48"/>
      <c r="P69" s="48"/>
    </row>
    <row r="70" spans="1:16">
      <c r="A70" s="28">
        <v>12</v>
      </c>
      <c r="B70" s="28"/>
      <c r="C70" s="28"/>
      <c r="D70" s="28"/>
      <c r="E70" s="28"/>
      <c r="F70" s="28"/>
      <c r="G70" s="29"/>
      <c r="H70" s="75"/>
      <c r="I70" s="28"/>
      <c r="J70" s="28"/>
      <c r="K70" s="28"/>
      <c r="L70" s="28"/>
      <c r="M70" s="28"/>
      <c r="N70" s="28"/>
      <c r="O70" s="28"/>
      <c r="P70" s="28"/>
    </row>
    <row r="71" spans="1:16">
      <c r="A71" s="48">
        <v>13</v>
      </c>
      <c r="B71" s="48"/>
      <c r="C71" s="48"/>
      <c r="D71" s="48"/>
      <c r="E71" s="48"/>
      <c r="F71" s="48"/>
      <c r="G71" s="49"/>
      <c r="H71" s="76"/>
      <c r="I71" s="48"/>
      <c r="J71" s="48"/>
      <c r="K71" s="48"/>
      <c r="L71" s="48"/>
      <c r="M71" s="48"/>
      <c r="N71" s="48"/>
      <c r="O71" s="48"/>
      <c r="P71" s="48"/>
    </row>
    <row r="72" spans="1:16">
      <c r="A72" s="28">
        <v>14</v>
      </c>
      <c r="B72" s="28"/>
      <c r="C72" s="28"/>
      <c r="D72" s="28"/>
      <c r="E72" s="28"/>
      <c r="F72" s="28"/>
      <c r="G72" s="29"/>
      <c r="H72" s="75"/>
      <c r="I72" s="28"/>
      <c r="J72" s="28"/>
      <c r="K72" s="28"/>
      <c r="L72" s="28"/>
      <c r="M72" s="28"/>
      <c r="N72" s="28"/>
      <c r="O72" s="28"/>
      <c r="P72" s="28"/>
    </row>
    <row r="73" spans="1:16">
      <c r="A73" s="48">
        <v>15</v>
      </c>
      <c r="B73" s="48"/>
      <c r="C73" s="48"/>
      <c r="D73" s="48"/>
      <c r="E73" s="48"/>
      <c r="F73" s="48"/>
      <c r="G73" s="49"/>
      <c r="H73" s="76"/>
      <c r="I73" s="48"/>
      <c r="J73" s="48"/>
      <c r="K73" s="48"/>
      <c r="L73" s="48"/>
      <c r="M73" s="48"/>
      <c r="N73" s="48"/>
      <c r="O73" s="48"/>
      <c r="P73" s="48"/>
    </row>
    <row r="74" spans="1:16">
      <c r="A74" s="28">
        <v>16</v>
      </c>
      <c r="B74" s="28"/>
      <c r="C74" s="28"/>
      <c r="D74" s="28"/>
      <c r="E74" s="28"/>
      <c r="F74" s="28"/>
      <c r="G74" s="29"/>
      <c r="H74" s="75"/>
      <c r="I74" s="28"/>
      <c r="J74" s="28"/>
      <c r="K74" s="28"/>
      <c r="L74" s="28"/>
      <c r="M74" s="28"/>
      <c r="N74" s="28"/>
      <c r="O74" s="28"/>
      <c r="P74" s="28"/>
    </row>
    <row r="75" spans="1:16">
      <c r="A75" s="48">
        <v>17</v>
      </c>
      <c r="B75" s="48"/>
      <c r="C75" s="48"/>
      <c r="D75" s="48"/>
      <c r="E75" s="48"/>
      <c r="F75" s="48"/>
      <c r="G75" s="49"/>
      <c r="H75" s="76"/>
      <c r="I75" s="48"/>
      <c r="J75" s="48"/>
      <c r="K75" s="48"/>
      <c r="L75" s="48"/>
      <c r="M75" s="48"/>
      <c r="N75" s="48"/>
      <c r="O75" s="48"/>
      <c r="P75" s="48"/>
    </row>
    <row r="76" spans="1:16">
      <c r="A76" s="28">
        <v>18</v>
      </c>
      <c r="B76" s="28"/>
      <c r="C76" s="28"/>
      <c r="D76" s="28"/>
      <c r="E76" s="28"/>
      <c r="F76" s="28"/>
      <c r="G76" s="29"/>
      <c r="H76" s="75"/>
      <c r="I76" s="28"/>
      <c r="J76" s="28"/>
      <c r="K76" s="28"/>
      <c r="L76" s="28"/>
      <c r="M76" s="28"/>
      <c r="N76" s="28"/>
      <c r="O76" s="28"/>
      <c r="P76" s="28"/>
    </row>
    <row r="77" spans="1:16">
      <c r="A77" s="48">
        <v>19</v>
      </c>
      <c r="B77" s="48"/>
      <c r="C77" s="48"/>
      <c r="D77" s="48"/>
      <c r="E77" s="48"/>
      <c r="F77" s="48"/>
      <c r="G77" s="49"/>
      <c r="H77" s="76"/>
      <c r="I77" s="48"/>
      <c r="J77" s="48"/>
      <c r="K77" s="48"/>
      <c r="L77" s="48"/>
      <c r="M77" s="48"/>
      <c r="N77" s="48"/>
      <c r="O77" s="48"/>
      <c r="P77" s="48"/>
    </row>
    <row r="78" spans="1:16">
      <c r="A78" s="28">
        <v>20</v>
      </c>
      <c r="B78" s="28"/>
      <c r="C78" s="28"/>
      <c r="D78" s="28"/>
      <c r="E78" s="28"/>
      <c r="F78" s="28"/>
      <c r="G78" s="29"/>
      <c r="H78" s="75"/>
      <c r="I78" s="28"/>
      <c r="J78" s="28"/>
      <c r="K78" s="28"/>
      <c r="L78" s="28"/>
      <c r="M78" s="28"/>
      <c r="N78" s="28"/>
      <c r="O78" s="28"/>
      <c r="P78" s="28"/>
    </row>
    <row r="79" spans="1:16">
      <c r="A79" s="48">
        <v>21</v>
      </c>
      <c r="B79" s="48"/>
      <c r="C79" s="48"/>
      <c r="D79" s="48"/>
      <c r="E79" s="48"/>
      <c r="F79" s="48"/>
      <c r="G79" s="49"/>
      <c r="H79" s="76"/>
      <c r="I79" s="48"/>
      <c r="J79" s="48"/>
      <c r="K79" s="48"/>
      <c r="L79" s="48"/>
      <c r="M79" s="48"/>
      <c r="N79" s="48"/>
      <c r="O79" s="48"/>
      <c r="P79" s="48"/>
    </row>
    <row r="80" spans="1:16">
      <c r="A80" s="28">
        <v>22</v>
      </c>
      <c r="B80" s="28"/>
      <c r="C80" s="28"/>
      <c r="D80" s="28"/>
      <c r="E80" s="28"/>
      <c r="F80" s="28"/>
      <c r="G80" s="29"/>
      <c r="H80" s="75"/>
      <c r="I80" s="28"/>
      <c r="J80" s="28"/>
      <c r="K80" s="28"/>
      <c r="L80" s="28"/>
      <c r="M80" s="28"/>
      <c r="N80" s="28"/>
      <c r="O80" s="28"/>
      <c r="P80" s="28"/>
    </row>
    <row r="81" spans="1:16">
      <c r="A81" s="48">
        <v>23</v>
      </c>
      <c r="B81" s="48"/>
      <c r="C81" s="48"/>
      <c r="D81" s="48"/>
      <c r="E81" s="48"/>
      <c r="F81" s="48"/>
      <c r="G81" s="49"/>
      <c r="H81" s="76"/>
      <c r="I81" s="48"/>
      <c r="J81" s="48"/>
      <c r="K81" s="48"/>
      <c r="L81" s="48"/>
      <c r="M81" s="48"/>
      <c r="N81" s="48"/>
      <c r="O81" s="48"/>
      <c r="P81" s="48"/>
    </row>
    <row r="82" spans="1:16">
      <c r="A82" s="28">
        <v>24</v>
      </c>
      <c r="B82" s="28"/>
      <c r="C82" s="28"/>
      <c r="D82" s="28"/>
      <c r="E82" s="28"/>
      <c r="F82" s="28"/>
      <c r="G82" s="29"/>
      <c r="H82" s="75"/>
      <c r="I82" s="28"/>
      <c r="J82" s="28"/>
      <c r="K82" s="28"/>
      <c r="L82" s="28"/>
      <c r="M82" s="28"/>
      <c r="N82" s="28"/>
      <c r="O82" s="28"/>
      <c r="P82" s="28"/>
    </row>
    <row r="83" spans="1:16">
      <c r="A83" s="48">
        <v>25</v>
      </c>
      <c r="B83" s="48"/>
      <c r="C83" s="48"/>
      <c r="D83" s="48"/>
      <c r="E83" s="48"/>
      <c r="F83" s="48"/>
      <c r="G83" s="49"/>
      <c r="H83" s="76"/>
      <c r="I83" s="48"/>
      <c r="J83" s="48"/>
      <c r="K83" s="48"/>
      <c r="L83" s="48"/>
      <c r="M83" s="48"/>
      <c r="N83" s="48"/>
      <c r="O83" s="48"/>
      <c r="P83" s="48"/>
    </row>
    <row r="84" spans="1:16">
      <c r="A84" s="28">
        <v>26</v>
      </c>
      <c r="B84" s="28"/>
      <c r="C84" s="28"/>
      <c r="D84" s="28"/>
      <c r="E84" s="28"/>
      <c r="F84" s="28"/>
      <c r="G84" s="29"/>
      <c r="H84" s="75"/>
      <c r="I84" s="28"/>
      <c r="J84" s="28"/>
      <c r="K84" s="28"/>
      <c r="L84" s="28"/>
      <c r="M84" s="28"/>
      <c r="N84" s="28"/>
      <c r="O84" s="28"/>
      <c r="P84" s="28"/>
    </row>
    <row r="85" spans="1:16">
      <c r="A85" s="48">
        <v>27</v>
      </c>
      <c r="B85" s="48"/>
      <c r="C85" s="48"/>
      <c r="D85" s="48"/>
      <c r="E85" s="48"/>
      <c r="F85" s="48"/>
      <c r="G85" s="49"/>
      <c r="H85" s="76"/>
      <c r="I85" s="48"/>
      <c r="J85" s="48"/>
      <c r="K85" s="48"/>
      <c r="L85" s="48"/>
      <c r="M85" s="48"/>
      <c r="N85" s="48"/>
      <c r="O85" s="48"/>
      <c r="P85" s="48"/>
    </row>
    <row r="86" spans="1:16">
      <c r="A86" s="28">
        <v>28</v>
      </c>
      <c r="B86" s="28"/>
      <c r="C86" s="28"/>
      <c r="D86" s="28"/>
      <c r="E86" s="28"/>
      <c r="F86" s="28"/>
      <c r="G86" s="29"/>
      <c r="H86" s="75"/>
      <c r="I86" s="28"/>
      <c r="J86" s="28"/>
      <c r="K86" s="28"/>
      <c r="L86" s="28"/>
      <c r="M86" s="28"/>
      <c r="N86" s="28"/>
      <c r="O86" s="28"/>
      <c r="P86" s="28"/>
    </row>
    <row r="87" spans="1:16">
      <c r="A87" s="48">
        <v>29</v>
      </c>
      <c r="B87" s="48"/>
      <c r="C87" s="48"/>
      <c r="D87" s="48"/>
      <c r="E87" s="48"/>
      <c r="F87" s="48"/>
      <c r="G87" s="49"/>
      <c r="H87" s="76"/>
      <c r="I87" s="48"/>
      <c r="J87" s="48"/>
      <c r="K87" s="48"/>
      <c r="L87" s="48"/>
      <c r="M87" s="48"/>
      <c r="N87" s="48"/>
      <c r="O87" s="48"/>
      <c r="P87" s="48"/>
    </row>
    <row r="88" spans="1:16">
      <c r="A88" s="28">
        <v>30</v>
      </c>
      <c r="B88" s="28"/>
      <c r="C88" s="28"/>
      <c r="D88" s="28"/>
      <c r="E88" s="28"/>
      <c r="F88" s="28"/>
      <c r="G88" s="29"/>
      <c r="H88" s="75"/>
      <c r="I88" s="28"/>
      <c r="J88" s="28"/>
      <c r="K88" s="28"/>
      <c r="L88" s="28"/>
      <c r="M88" s="28"/>
      <c r="N88" s="28"/>
      <c r="O88" s="28"/>
      <c r="P88" s="28"/>
    </row>
    <row r="89" spans="1:16">
      <c r="A89" s="48">
        <v>31</v>
      </c>
      <c r="B89" s="48"/>
      <c r="C89" s="48"/>
      <c r="D89" s="48"/>
      <c r="E89" s="48"/>
      <c r="F89" s="48"/>
      <c r="G89" s="49"/>
      <c r="H89" s="76"/>
      <c r="I89" s="48"/>
      <c r="J89" s="48"/>
      <c r="K89" s="48"/>
      <c r="L89" s="48"/>
      <c r="M89" s="48"/>
      <c r="N89" s="48"/>
      <c r="O89" s="48"/>
      <c r="P89" s="48"/>
    </row>
    <row r="90" spans="1:16">
      <c r="A90" s="28">
        <v>32</v>
      </c>
      <c r="B90" s="28"/>
      <c r="C90" s="28"/>
      <c r="D90" s="28"/>
      <c r="E90" s="28"/>
      <c r="F90" s="28"/>
      <c r="G90" s="29"/>
      <c r="H90" s="75"/>
      <c r="I90" s="28"/>
      <c r="J90" s="28"/>
      <c r="K90" s="28"/>
      <c r="L90" s="28"/>
      <c r="M90" s="28"/>
      <c r="N90" s="28"/>
      <c r="O90" s="28"/>
      <c r="P90" s="28"/>
    </row>
    <row r="91" spans="1:16">
      <c r="A91" s="48">
        <v>33</v>
      </c>
      <c r="B91" s="48"/>
      <c r="C91" s="48"/>
      <c r="D91" s="48"/>
      <c r="E91" s="48"/>
      <c r="F91" s="48"/>
      <c r="G91" s="49"/>
      <c r="H91" s="76"/>
      <c r="I91" s="48"/>
      <c r="J91" s="48"/>
      <c r="K91" s="48"/>
      <c r="L91" s="48"/>
      <c r="M91" s="48"/>
      <c r="N91" s="48"/>
      <c r="O91" s="48"/>
      <c r="P91" s="48"/>
    </row>
    <row r="92" spans="1:16">
      <c r="A92" s="28">
        <v>34</v>
      </c>
      <c r="B92" s="28"/>
      <c r="C92" s="28"/>
      <c r="D92" s="28"/>
      <c r="E92" s="28"/>
      <c r="F92" s="28"/>
      <c r="G92" s="29"/>
      <c r="H92" s="75"/>
      <c r="I92" s="28"/>
      <c r="J92" s="28"/>
      <c r="K92" s="28"/>
      <c r="L92" s="28"/>
      <c r="M92" s="28"/>
      <c r="N92" s="28"/>
      <c r="O92" s="28"/>
      <c r="P92" s="28"/>
    </row>
    <row r="93" spans="1:16">
      <c r="A93" s="48">
        <v>35</v>
      </c>
      <c r="B93" s="48"/>
      <c r="C93" s="48"/>
      <c r="D93" s="48"/>
      <c r="E93" s="48"/>
      <c r="F93" s="48"/>
      <c r="G93" s="49"/>
      <c r="H93" s="76"/>
      <c r="I93" s="48"/>
      <c r="J93" s="48"/>
      <c r="K93" s="48"/>
      <c r="L93" s="48"/>
      <c r="M93" s="48"/>
      <c r="N93" s="48"/>
      <c r="O93" s="48"/>
      <c r="P93" s="48"/>
    </row>
    <row r="94" spans="1:16">
      <c r="A94" s="28">
        <v>36</v>
      </c>
      <c r="B94" s="28"/>
      <c r="C94" s="28"/>
      <c r="D94" s="28"/>
      <c r="E94" s="28"/>
      <c r="F94" s="28"/>
      <c r="G94" s="29"/>
      <c r="H94" s="75"/>
      <c r="I94" s="28"/>
      <c r="J94" s="28"/>
      <c r="K94" s="28"/>
      <c r="L94" s="28"/>
      <c r="M94" s="28"/>
      <c r="N94" s="28"/>
      <c r="O94" s="28"/>
      <c r="P94" s="28"/>
    </row>
    <row r="95" spans="1:16">
      <c r="A95" s="48">
        <v>37</v>
      </c>
      <c r="B95" s="48"/>
      <c r="C95" s="48"/>
      <c r="D95" s="48"/>
      <c r="E95" s="48"/>
      <c r="F95" s="48"/>
      <c r="G95" s="49"/>
      <c r="H95" s="76"/>
      <c r="I95" s="48"/>
      <c r="J95" s="48"/>
      <c r="K95" s="48"/>
      <c r="L95" s="48"/>
      <c r="M95" s="48"/>
      <c r="N95" s="48"/>
      <c r="O95" s="48"/>
      <c r="P95" s="48"/>
    </row>
    <row r="96" spans="1:16">
      <c r="A96" s="28">
        <v>38</v>
      </c>
      <c r="B96" s="28"/>
      <c r="C96" s="28"/>
      <c r="D96" s="28"/>
      <c r="E96" s="28"/>
      <c r="F96" s="28"/>
      <c r="G96" s="29"/>
      <c r="H96" s="75"/>
      <c r="I96" s="28"/>
      <c r="J96" s="28"/>
      <c r="K96" s="28"/>
      <c r="L96" s="28"/>
      <c r="M96" s="28"/>
      <c r="N96" s="28"/>
      <c r="O96" s="28"/>
      <c r="P96" s="28"/>
    </row>
    <row r="97" spans="1:16">
      <c r="A97" s="48">
        <v>39</v>
      </c>
      <c r="B97" s="48"/>
      <c r="C97" s="48"/>
      <c r="D97" s="48"/>
      <c r="E97" s="48"/>
      <c r="F97" s="48"/>
      <c r="G97" s="49"/>
      <c r="H97" s="76"/>
      <c r="I97" s="48"/>
      <c r="J97" s="48"/>
      <c r="K97" s="48"/>
      <c r="L97" s="48"/>
      <c r="M97" s="48"/>
      <c r="N97" s="48"/>
      <c r="O97" s="48"/>
      <c r="P97" s="48"/>
    </row>
    <row r="98" spans="1:16">
      <c r="A98" s="28">
        <v>40</v>
      </c>
      <c r="B98" s="28"/>
      <c r="C98" s="28"/>
      <c r="D98" s="28"/>
      <c r="E98" s="28"/>
      <c r="F98" s="28"/>
      <c r="G98" s="29"/>
      <c r="H98" s="75"/>
      <c r="I98" s="28"/>
      <c r="J98" s="28"/>
      <c r="K98" s="28"/>
      <c r="L98" s="28"/>
      <c r="M98" s="28"/>
      <c r="N98" s="28"/>
      <c r="O98" s="28"/>
      <c r="P98" s="28"/>
    </row>
    <row r="99" spans="1:16">
      <c r="A99" s="48">
        <v>41</v>
      </c>
      <c r="B99" s="48"/>
      <c r="C99" s="48"/>
      <c r="D99" s="48"/>
      <c r="E99" s="48"/>
      <c r="F99" s="48"/>
      <c r="G99" s="49"/>
      <c r="H99" s="76"/>
      <c r="I99" s="48"/>
      <c r="J99" s="48"/>
      <c r="K99" s="48"/>
      <c r="L99" s="48"/>
      <c r="M99" s="48"/>
      <c r="N99" s="48"/>
      <c r="O99" s="48"/>
      <c r="P99" s="48"/>
    </row>
    <row r="100" spans="1:16">
      <c r="A100" s="28">
        <v>42</v>
      </c>
      <c r="B100" s="28"/>
      <c r="C100" s="28"/>
      <c r="D100" s="28"/>
      <c r="E100" s="28"/>
      <c r="F100" s="28"/>
      <c r="G100" s="29"/>
      <c r="H100" s="75"/>
      <c r="I100" s="28"/>
      <c r="J100" s="28"/>
      <c r="K100" s="28"/>
      <c r="L100" s="28"/>
      <c r="M100" s="28"/>
      <c r="N100" s="28"/>
      <c r="O100" s="28"/>
      <c r="P100" s="28"/>
    </row>
    <row r="101" spans="1:16">
      <c r="A101" s="48">
        <v>43</v>
      </c>
      <c r="B101" s="48"/>
      <c r="C101" s="48"/>
      <c r="D101" s="48"/>
      <c r="E101" s="48"/>
      <c r="F101" s="48"/>
      <c r="G101" s="49"/>
      <c r="H101" s="76"/>
      <c r="I101" s="48"/>
      <c r="J101" s="48"/>
      <c r="K101" s="48"/>
      <c r="L101" s="48"/>
      <c r="M101" s="48"/>
      <c r="N101" s="48"/>
      <c r="O101" s="48"/>
      <c r="P101" s="48"/>
    </row>
    <row r="102" spans="1:16">
      <c r="A102" s="28">
        <v>44</v>
      </c>
      <c r="B102" s="28"/>
      <c r="C102" s="28"/>
      <c r="D102" s="28"/>
      <c r="E102" s="28"/>
      <c r="F102" s="28"/>
      <c r="G102" s="29"/>
      <c r="H102" s="75"/>
      <c r="I102" s="28"/>
      <c r="J102" s="28"/>
      <c r="K102" s="28"/>
      <c r="L102" s="28"/>
      <c r="M102" s="28"/>
      <c r="N102" s="28"/>
      <c r="O102" s="28"/>
      <c r="P102" s="28"/>
    </row>
    <row r="103" spans="1:16">
      <c r="A103" s="48">
        <v>45</v>
      </c>
      <c r="B103" s="48"/>
      <c r="C103" s="48"/>
      <c r="D103" s="48"/>
      <c r="E103" s="48"/>
      <c r="F103" s="48"/>
      <c r="G103" s="49"/>
      <c r="H103" s="76"/>
      <c r="I103" s="48"/>
      <c r="J103" s="48"/>
      <c r="K103" s="48"/>
      <c r="L103" s="48"/>
      <c r="M103" s="48"/>
      <c r="N103" s="48"/>
      <c r="O103" s="48"/>
      <c r="P103" s="48"/>
    </row>
    <row r="104" spans="1:16">
      <c r="A104" s="28">
        <v>46</v>
      </c>
      <c r="B104" s="28"/>
      <c r="C104" s="28"/>
      <c r="D104" s="28"/>
      <c r="E104" s="28"/>
      <c r="F104" s="28"/>
      <c r="G104" s="29"/>
      <c r="H104" s="75"/>
      <c r="I104" s="28"/>
      <c r="J104" s="28"/>
      <c r="K104" s="28"/>
      <c r="L104" s="28"/>
      <c r="M104" s="28"/>
      <c r="N104" s="28"/>
      <c r="O104" s="28"/>
      <c r="P104" s="28"/>
    </row>
    <row r="105" spans="1:16">
      <c r="A105" s="48">
        <v>47</v>
      </c>
      <c r="B105" s="48"/>
      <c r="C105" s="48"/>
      <c r="D105" s="48"/>
      <c r="E105" s="48"/>
      <c r="F105" s="48"/>
      <c r="G105" s="49"/>
      <c r="H105" s="76"/>
      <c r="I105" s="48"/>
      <c r="J105" s="48"/>
      <c r="K105" s="48"/>
      <c r="L105" s="48"/>
      <c r="M105" s="48"/>
      <c r="N105" s="48"/>
      <c r="O105" s="48"/>
      <c r="P105" s="48"/>
    </row>
    <row r="106" spans="1:16">
      <c r="A106" s="28">
        <v>48</v>
      </c>
      <c r="B106" s="28"/>
      <c r="C106" s="28"/>
      <c r="D106" s="28"/>
      <c r="E106" s="28"/>
      <c r="F106" s="28"/>
      <c r="G106" s="29"/>
      <c r="H106" s="75"/>
      <c r="I106" s="28"/>
      <c r="J106" s="28"/>
      <c r="K106" s="28"/>
      <c r="L106" s="28"/>
      <c r="M106" s="28"/>
      <c r="N106" s="28"/>
      <c r="O106" s="28"/>
      <c r="P106" s="28"/>
    </row>
    <row r="107" spans="1:16">
      <c r="A107" s="48">
        <v>49</v>
      </c>
      <c r="B107" s="48"/>
      <c r="C107" s="48"/>
      <c r="D107" s="48"/>
      <c r="E107" s="48"/>
      <c r="F107" s="48"/>
      <c r="G107" s="49"/>
      <c r="H107" s="76"/>
      <c r="I107" s="48"/>
      <c r="J107" s="48"/>
      <c r="K107" s="48"/>
      <c r="L107" s="48"/>
      <c r="M107" s="48"/>
      <c r="N107" s="48"/>
      <c r="O107" s="48"/>
      <c r="P107" s="48"/>
    </row>
    <row r="108" spans="1:16">
      <c r="A108" s="28">
        <v>50</v>
      </c>
      <c r="B108" s="28"/>
      <c r="C108" s="28"/>
      <c r="D108" s="28"/>
      <c r="E108" s="28"/>
      <c r="F108" s="28"/>
      <c r="G108" s="29"/>
      <c r="H108" s="75"/>
      <c r="I108" s="28"/>
      <c r="J108" s="28"/>
      <c r="K108" s="28"/>
      <c r="L108" s="28"/>
      <c r="M108" s="28"/>
      <c r="N108" s="28"/>
      <c r="O108" s="28"/>
      <c r="P108" s="28"/>
    </row>
    <row r="109" spans="1:16" s="39" customFormat="1" ht="12.75" customHeight="1">
      <c r="A109" s="102" t="s">
        <v>498</v>
      </c>
      <c r="B109" s="112"/>
      <c r="C109" s="112"/>
      <c r="D109" s="7">
        <f>COUNTA(C59:C108)</f>
        <v>0</v>
      </c>
    </row>
  </sheetData>
  <mergeCells count="7">
    <mergeCell ref="Q55:R55"/>
    <mergeCell ref="A1:S1"/>
    <mergeCell ref="A109:C109"/>
    <mergeCell ref="A3:S3"/>
    <mergeCell ref="A55:C55"/>
    <mergeCell ref="L2:N2"/>
    <mergeCell ref="A57:P57"/>
  </mergeCells>
  <conditionalFormatting sqref="A5:S54">
    <cfRule type="expression" dxfId="63" priority="2">
      <formula>$S5="Terminated"</formula>
    </cfRule>
    <cfRule type="expression" dxfId="62" priority="3">
      <formula>$S5="Resigned"</formula>
    </cfRule>
    <cfRule type="expression" dxfId="61" priority="4">
      <formula>$S5="NCNS"</formula>
    </cfRule>
    <cfRule type="expression" dxfId="60" priority="5">
      <formula>$S5="Suspended"</formula>
    </cfRule>
  </conditionalFormatting>
  <conditionalFormatting sqref="A59:O108">
    <cfRule type="expression" dxfId="59" priority="6">
      <formula>$O59="QUIT"</formula>
    </cfRule>
    <cfRule type="expression" dxfId="58" priority="7">
      <formula>$O59="Terminated"</formula>
    </cfRule>
    <cfRule type="expression" dxfId="57" priority="8">
      <formula>$O59="Resigned"</formula>
    </cfRule>
    <cfRule type="expression" dxfId="56" priority="9">
      <formula>$O59="NCNS"</formula>
    </cfRule>
  </conditionalFormatting>
  <dataValidations count="5">
    <dataValidation type="list" sqref="E5:E54" xr:uid="{00000000-0002-0000-0600-000000000000}">
      <formula1>"Yes,No,Pending"</formula1>
    </dataValidation>
    <dataValidation type="list" sqref="B5:B54 B59:B108" xr:uid="{00000000-0002-0000-0600-000001000000}">
      <formula1>"Residential,Administration,Finance,Facilities,HR,ELC,LLL,Prof. Services,Behavioral,IT,Other"</formula1>
    </dataValidation>
    <dataValidation type="list" sqref="S5:S54" xr:uid="{00000000-0002-0000-0600-000002000000}">
      <formula1>"Active,Terminated,Resigned,NCNS,Suspended"</formula1>
    </dataValidation>
    <dataValidation type="list" sqref="I5:R54 I59:O108" xr:uid="{00000000-0002-0000-0600-000003000000}">
      <formula1>"Yes,No,N/A,In Progress"</formula1>
    </dataValidation>
    <dataValidation type="list" sqref="P59:P108" xr:uid="{00000000-0002-0000-0600-000004000000}">
      <formula1>"Active,QUIT,Terminated,Resigned,NCNS,Transferred"</formula1>
    </dataValidation>
  </dataValidations>
  <hyperlinks>
    <hyperlink ref="A2" location="Dashboard!A1" display="← Dashboard" xr:uid="{00000000-0004-0000-0600-000000000000}"/>
  </hyperlink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2C5282"/>
  </sheetPr>
  <dimension ref="A1:S109"/>
  <sheetViews>
    <sheetView zoomScale="80" zoomScaleNormal="80" workbookViewId="0">
      <pane ySplit="4" topLeftCell="A5" activePane="bottomLeft" state="frozen"/>
      <selection pane="bottomLeft" activeCell="F16" sqref="F16"/>
      <selection activeCell="F16" sqref="F16"/>
    </sheetView>
  </sheetViews>
  <sheetFormatPr defaultColWidth="8.7109375" defaultRowHeight="14.25"/>
  <cols>
    <col min="1" max="1" width="4" style="32" customWidth="1"/>
    <col min="2" max="2" width="15" style="32" customWidth="1"/>
    <col min="3" max="3" width="13" style="32" customWidth="1"/>
    <col min="4" max="4" width="17" style="32" customWidth="1"/>
    <col min="5" max="5" width="11" style="32" customWidth="1"/>
    <col min="6" max="6" width="14" style="32" customWidth="1"/>
    <col min="7" max="7" width="22" style="32" customWidth="1"/>
    <col min="8" max="8" width="12" style="32" customWidth="1"/>
    <col min="9" max="17" width="11" style="32" customWidth="1"/>
    <col min="18" max="19" width="10" style="32" customWidth="1"/>
    <col min="20" max="20" width="8.7109375" style="32" customWidth="1"/>
    <col min="21" max="16384" width="8.7109375" style="32"/>
  </cols>
  <sheetData>
    <row r="1" spans="1:19" ht="33.75" customHeight="1">
      <c r="A1" s="100" t="s">
        <v>663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</row>
    <row r="2" spans="1:19" s="1" customFormat="1" ht="18" customHeight="1">
      <c r="A2" s="33" t="s">
        <v>79</v>
      </c>
      <c r="E2" s="35" t="s">
        <v>402</v>
      </c>
      <c r="F2" s="35">
        <f>D55</f>
        <v>0</v>
      </c>
      <c r="G2" s="36" t="s">
        <v>403</v>
      </c>
      <c r="H2" s="36">
        <f>S55</f>
        <v>0</v>
      </c>
      <c r="I2" s="37" t="s">
        <v>404</v>
      </c>
      <c r="J2" s="37">
        <f>D109</f>
        <v>0</v>
      </c>
      <c r="L2" s="104" t="s">
        <v>405</v>
      </c>
      <c r="M2" s="87"/>
      <c r="N2" s="87"/>
      <c r="O2" s="38" t="str">
        <f t="array" ref="O2">IF(COUNTIF(S5:S54,"Active")&gt;0,SUMPRODUCT((S5:S54="Active")*(I5:R54="Yes"))/SUMPRODUCT((S5:S54="Active")*(I5:R54&lt;&gt;"N/A")*(I5:R54&lt;&gt;"")),"—")</f>
        <v>—</v>
      </c>
    </row>
    <row r="3" spans="1:19" ht="24" customHeight="1">
      <c r="A3" s="103" t="s">
        <v>406</v>
      </c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</row>
    <row r="4" spans="1:19" ht="27.75" customHeight="1">
      <c r="A4" s="27" t="s">
        <v>407</v>
      </c>
      <c r="B4" s="27" t="s">
        <v>408</v>
      </c>
      <c r="C4" s="27" t="s">
        <v>409</v>
      </c>
      <c r="D4" s="27" t="s">
        <v>410</v>
      </c>
      <c r="E4" s="27" t="s">
        <v>411</v>
      </c>
      <c r="F4" s="27" t="s">
        <v>412</v>
      </c>
      <c r="G4" s="27" t="s">
        <v>413</v>
      </c>
      <c r="H4" s="27" t="s">
        <v>414</v>
      </c>
      <c r="I4" s="27" t="s">
        <v>357</v>
      </c>
      <c r="J4" s="27" t="s">
        <v>69</v>
      </c>
      <c r="K4" s="27" t="s">
        <v>360</v>
      </c>
      <c r="L4" s="27" t="s">
        <v>96</v>
      </c>
      <c r="M4" s="27" t="s">
        <v>72</v>
      </c>
      <c r="N4" s="27" t="s">
        <v>73</v>
      </c>
      <c r="O4" s="27" t="s">
        <v>74</v>
      </c>
      <c r="P4" s="27" t="s">
        <v>75</v>
      </c>
      <c r="Q4" s="27" t="s">
        <v>76</v>
      </c>
      <c r="R4" s="27" t="s">
        <v>77</v>
      </c>
      <c r="S4" s="27" t="s">
        <v>415</v>
      </c>
    </row>
    <row r="5" spans="1:19">
      <c r="A5" s="48">
        <v>1</v>
      </c>
      <c r="B5" s="48"/>
      <c r="C5" s="48"/>
      <c r="D5" s="48"/>
      <c r="E5" s="48"/>
      <c r="F5" s="49"/>
      <c r="G5" s="48"/>
      <c r="H5" s="49"/>
      <c r="I5" s="48"/>
      <c r="J5" s="48"/>
      <c r="K5" s="48"/>
      <c r="L5" s="48"/>
      <c r="M5" s="48"/>
      <c r="N5" s="48"/>
      <c r="O5" s="48"/>
      <c r="P5" s="48"/>
      <c r="Q5" s="48"/>
      <c r="R5" s="48"/>
      <c r="S5" s="49"/>
    </row>
    <row r="6" spans="1:19">
      <c r="A6" s="28">
        <v>2</v>
      </c>
      <c r="B6" s="28"/>
      <c r="C6" s="28"/>
      <c r="D6" s="28"/>
      <c r="E6" s="28"/>
      <c r="F6" s="29"/>
      <c r="G6" s="28"/>
      <c r="H6" s="29"/>
      <c r="I6" s="28"/>
      <c r="J6" s="28"/>
      <c r="K6" s="28"/>
      <c r="L6" s="28"/>
      <c r="M6" s="28"/>
      <c r="N6" s="28"/>
      <c r="O6" s="28"/>
      <c r="P6" s="28"/>
      <c r="Q6" s="28"/>
      <c r="R6" s="28"/>
      <c r="S6" s="29"/>
    </row>
    <row r="7" spans="1:19">
      <c r="A7" s="48">
        <v>3</v>
      </c>
      <c r="B7" s="48"/>
      <c r="C7" s="48"/>
      <c r="D7" s="48"/>
      <c r="E7" s="48"/>
      <c r="F7" s="49"/>
      <c r="G7" s="48"/>
      <c r="H7" s="49"/>
      <c r="I7" s="48"/>
      <c r="J7" s="48"/>
      <c r="K7" s="48"/>
      <c r="L7" s="48"/>
      <c r="M7" s="48"/>
      <c r="N7" s="48"/>
      <c r="O7" s="48"/>
      <c r="P7" s="48"/>
      <c r="Q7" s="48"/>
      <c r="R7" s="48"/>
      <c r="S7" s="49"/>
    </row>
    <row r="8" spans="1:19">
      <c r="A8" s="28">
        <v>4</v>
      </c>
      <c r="B8" s="28"/>
      <c r="C8" s="28"/>
      <c r="D8" s="28"/>
      <c r="E8" s="28"/>
      <c r="F8" s="29"/>
      <c r="G8" s="28"/>
      <c r="H8" s="29"/>
      <c r="I8" s="28"/>
      <c r="J8" s="28"/>
      <c r="K8" s="28"/>
      <c r="L8" s="28"/>
      <c r="M8" s="28"/>
      <c r="N8" s="28"/>
      <c r="O8" s="28"/>
      <c r="P8" s="28"/>
      <c r="Q8" s="28"/>
      <c r="R8" s="28"/>
      <c r="S8" s="29"/>
    </row>
    <row r="9" spans="1:19">
      <c r="A9" s="48">
        <v>5</v>
      </c>
      <c r="B9" s="48"/>
      <c r="C9" s="48"/>
      <c r="D9" s="48"/>
      <c r="E9" s="48"/>
      <c r="F9" s="49"/>
      <c r="G9" s="48"/>
      <c r="H9" s="49"/>
      <c r="I9" s="48"/>
      <c r="J9" s="48"/>
      <c r="K9" s="48"/>
      <c r="L9" s="48"/>
      <c r="M9" s="48"/>
      <c r="N9" s="48"/>
      <c r="O9" s="48"/>
      <c r="P9" s="48"/>
      <c r="Q9" s="48"/>
      <c r="R9" s="48"/>
      <c r="S9" s="49"/>
    </row>
    <row r="10" spans="1:19">
      <c r="A10" s="28">
        <v>6</v>
      </c>
      <c r="B10" s="28"/>
      <c r="C10" s="28"/>
      <c r="D10" s="28"/>
      <c r="E10" s="28"/>
      <c r="F10" s="29"/>
      <c r="G10" s="28"/>
      <c r="H10" s="29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9"/>
    </row>
    <row r="11" spans="1:19">
      <c r="A11" s="48">
        <v>7</v>
      </c>
      <c r="B11" s="48"/>
      <c r="C11" s="48"/>
      <c r="D11" s="48"/>
      <c r="E11" s="48"/>
      <c r="F11" s="49"/>
      <c r="G11" s="48"/>
      <c r="H11" s="49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9"/>
    </row>
    <row r="12" spans="1:19">
      <c r="A12" s="28">
        <v>8</v>
      </c>
      <c r="B12" s="28"/>
      <c r="C12" s="28"/>
      <c r="D12" s="28"/>
      <c r="E12" s="28"/>
      <c r="F12" s="29"/>
      <c r="G12" s="28"/>
      <c r="H12" s="29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9"/>
    </row>
    <row r="13" spans="1:19">
      <c r="A13" s="48">
        <v>9</v>
      </c>
      <c r="B13" s="48"/>
      <c r="C13" s="48"/>
      <c r="D13" s="48"/>
      <c r="E13" s="48"/>
      <c r="F13" s="49"/>
      <c r="G13" s="48"/>
      <c r="H13" s="49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9"/>
    </row>
    <row r="14" spans="1:19">
      <c r="A14" s="28">
        <v>10</v>
      </c>
      <c r="B14" s="28"/>
      <c r="C14" s="28"/>
      <c r="D14" s="28"/>
      <c r="E14" s="28"/>
      <c r="F14" s="29"/>
      <c r="G14" s="28"/>
      <c r="H14" s="29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9"/>
    </row>
    <row r="15" spans="1:19">
      <c r="A15" s="48">
        <v>11</v>
      </c>
      <c r="B15" s="48"/>
      <c r="C15" s="48"/>
      <c r="D15" s="48"/>
      <c r="E15" s="48"/>
      <c r="F15" s="49"/>
      <c r="G15" s="48"/>
      <c r="H15" s="49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9"/>
    </row>
    <row r="16" spans="1:19">
      <c r="A16" s="28">
        <v>12</v>
      </c>
      <c r="B16" s="28"/>
      <c r="C16" s="28"/>
      <c r="D16" s="28"/>
      <c r="E16" s="28"/>
      <c r="F16" s="29"/>
      <c r="G16" s="28"/>
      <c r="H16" s="29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9"/>
    </row>
    <row r="17" spans="1:19">
      <c r="A17" s="48">
        <v>13</v>
      </c>
      <c r="B17" s="48"/>
      <c r="C17" s="48"/>
      <c r="D17" s="48"/>
      <c r="E17" s="48"/>
      <c r="F17" s="49"/>
      <c r="G17" s="48"/>
      <c r="H17" s="49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9"/>
    </row>
    <row r="18" spans="1:19">
      <c r="A18" s="28">
        <v>14</v>
      </c>
      <c r="B18" s="28"/>
      <c r="C18" s="28"/>
      <c r="D18" s="28"/>
      <c r="E18" s="28"/>
      <c r="F18" s="29"/>
      <c r="G18" s="28"/>
      <c r="H18" s="29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9"/>
    </row>
    <row r="19" spans="1:19">
      <c r="A19" s="48">
        <v>15</v>
      </c>
      <c r="B19" s="48"/>
      <c r="C19" s="48"/>
      <c r="D19" s="48"/>
      <c r="E19" s="48"/>
      <c r="F19" s="49"/>
      <c r="G19" s="48"/>
      <c r="H19" s="49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9"/>
    </row>
    <row r="20" spans="1:19">
      <c r="A20" s="28">
        <v>16</v>
      </c>
      <c r="B20" s="28"/>
      <c r="C20" s="28"/>
      <c r="D20" s="28"/>
      <c r="E20" s="28"/>
      <c r="F20" s="29"/>
      <c r="G20" s="28"/>
      <c r="H20" s="29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9"/>
    </row>
    <row r="21" spans="1:19">
      <c r="A21" s="48">
        <v>17</v>
      </c>
      <c r="B21" s="48"/>
      <c r="C21" s="48"/>
      <c r="D21" s="48"/>
      <c r="E21" s="48"/>
      <c r="F21" s="49"/>
      <c r="G21" s="48"/>
      <c r="H21" s="49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9"/>
    </row>
    <row r="22" spans="1:19">
      <c r="A22" s="28">
        <v>18</v>
      </c>
      <c r="B22" s="28"/>
      <c r="C22" s="28"/>
      <c r="D22" s="28"/>
      <c r="E22" s="28"/>
      <c r="F22" s="29"/>
      <c r="G22" s="28"/>
      <c r="H22" s="29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9"/>
    </row>
    <row r="23" spans="1:19">
      <c r="A23" s="48">
        <v>19</v>
      </c>
      <c r="B23" s="48"/>
      <c r="C23" s="48"/>
      <c r="D23" s="48"/>
      <c r="E23" s="48"/>
      <c r="F23" s="49"/>
      <c r="G23" s="48"/>
      <c r="H23" s="49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9"/>
    </row>
    <row r="24" spans="1:19">
      <c r="A24" s="28">
        <v>20</v>
      </c>
      <c r="B24" s="28"/>
      <c r="C24" s="28"/>
      <c r="D24" s="28"/>
      <c r="E24" s="28"/>
      <c r="F24" s="29"/>
      <c r="G24" s="28"/>
      <c r="H24" s="29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</row>
    <row r="25" spans="1:19">
      <c r="A25" s="48">
        <v>21</v>
      </c>
      <c r="B25" s="48"/>
      <c r="C25" s="48"/>
      <c r="D25" s="48"/>
      <c r="E25" s="48"/>
      <c r="F25" s="49"/>
      <c r="G25" s="48"/>
      <c r="H25" s="49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9"/>
    </row>
    <row r="26" spans="1:19">
      <c r="A26" s="28">
        <v>22</v>
      </c>
      <c r="B26" s="28"/>
      <c r="C26" s="28"/>
      <c r="D26" s="28"/>
      <c r="E26" s="28"/>
      <c r="F26" s="29"/>
      <c r="G26" s="28"/>
      <c r="H26" s="29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9"/>
    </row>
    <row r="27" spans="1:19">
      <c r="A27" s="48">
        <v>23</v>
      </c>
      <c r="B27" s="48"/>
      <c r="C27" s="48"/>
      <c r="D27" s="48"/>
      <c r="E27" s="48"/>
      <c r="F27" s="49"/>
      <c r="G27" s="48"/>
      <c r="H27" s="49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9"/>
    </row>
    <row r="28" spans="1:19">
      <c r="A28" s="28">
        <v>24</v>
      </c>
      <c r="B28" s="28"/>
      <c r="C28" s="28"/>
      <c r="D28" s="28"/>
      <c r="E28" s="28"/>
      <c r="F28" s="29"/>
      <c r="G28" s="28"/>
      <c r="H28" s="29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9"/>
    </row>
    <row r="29" spans="1:19">
      <c r="A29" s="48">
        <v>25</v>
      </c>
      <c r="B29" s="48"/>
      <c r="C29" s="48"/>
      <c r="D29" s="48"/>
      <c r="E29" s="48"/>
      <c r="F29" s="49"/>
      <c r="G29" s="48"/>
      <c r="H29" s="49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9"/>
    </row>
    <row r="30" spans="1:19">
      <c r="A30" s="28">
        <v>26</v>
      </c>
      <c r="B30" s="28"/>
      <c r="C30" s="28"/>
      <c r="D30" s="28"/>
      <c r="E30" s="28"/>
      <c r="F30" s="29"/>
      <c r="G30" s="28"/>
      <c r="H30" s="29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9"/>
    </row>
    <row r="31" spans="1:19">
      <c r="A31" s="48">
        <v>27</v>
      </c>
      <c r="B31" s="48"/>
      <c r="C31" s="48"/>
      <c r="D31" s="48"/>
      <c r="E31" s="48"/>
      <c r="F31" s="49"/>
      <c r="G31" s="48"/>
      <c r="H31" s="49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9"/>
    </row>
    <row r="32" spans="1:19">
      <c r="A32" s="28">
        <v>28</v>
      </c>
      <c r="B32" s="28"/>
      <c r="C32" s="28"/>
      <c r="D32" s="28"/>
      <c r="E32" s="28"/>
      <c r="F32" s="29"/>
      <c r="G32" s="28"/>
      <c r="H32" s="29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9"/>
    </row>
    <row r="33" spans="1:19">
      <c r="A33" s="48">
        <v>29</v>
      </c>
      <c r="B33" s="48"/>
      <c r="C33" s="48"/>
      <c r="D33" s="48"/>
      <c r="E33" s="48"/>
      <c r="F33" s="49"/>
      <c r="G33" s="48"/>
      <c r="H33" s="49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9"/>
    </row>
    <row r="34" spans="1:19">
      <c r="A34" s="28">
        <v>30</v>
      </c>
      <c r="B34" s="28"/>
      <c r="C34" s="28"/>
      <c r="D34" s="28"/>
      <c r="E34" s="28"/>
      <c r="F34" s="29"/>
      <c r="G34" s="28"/>
      <c r="H34" s="29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9"/>
    </row>
    <row r="35" spans="1:19">
      <c r="A35" s="48">
        <v>31</v>
      </c>
      <c r="B35" s="48"/>
      <c r="C35" s="48"/>
      <c r="D35" s="48"/>
      <c r="E35" s="48"/>
      <c r="F35" s="49"/>
      <c r="G35" s="48"/>
      <c r="H35" s="49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9"/>
    </row>
    <row r="36" spans="1:19">
      <c r="A36" s="28">
        <v>32</v>
      </c>
      <c r="B36" s="28"/>
      <c r="C36" s="28"/>
      <c r="D36" s="28"/>
      <c r="E36" s="28"/>
      <c r="F36" s="29"/>
      <c r="G36" s="28"/>
      <c r="H36" s="29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9"/>
    </row>
    <row r="37" spans="1:19">
      <c r="A37" s="48">
        <v>33</v>
      </c>
      <c r="B37" s="48"/>
      <c r="C37" s="48"/>
      <c r="D37" s="48"/>
      <c r="E37" s="48"/>
      <c r="F37" s="49"/>
      <c r="G37" s="48"/>
      <c r="H37" s="49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9"/>
    </row>
    <row r="38" spans="1:19">
      <c r="A38" s="28">
        <v>34</v>
      </c>
      <c r="B38" s="28"/>
      <c r="C38" s="28"/>
      <c r="D38" s="28"/>
      <c r="E38" s="28"/>
      <c r="F38" s="29"/>
      <c r="G38" s="28"/>
      <c r="H38" s="29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9"/>
    </row>
    <row r="39" spans="1:19">
      <c r="A39" s="48">
        <v>35</v>
      </c>
      <c r="B39" s="48"/>
      <c r="C39" s="48"/>
      <c r="D39" s="48"/>
      <c r="E39" s="48"/>
      <c r="F39" s="49"/>
      <c r="G39" s="48"/>
      <c r="H39" s="49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9"/>
    </row>
    <row r="40" spans="1:19">
      <c r="A40" s="28">
        <v>36</v>
      </c>
      <c r="B40" s="28"/>
      <c r="C40" s="28"/>
      <c r="D40" s="28"/>
      <c r="E40" s="28"/>
      <c r="F40" s="29"/>
      <c r="G40" s="28"/>
      <c r="H40" s="29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9"/>
    </row>
    <row r="41" spans="1:19">
      <c r="A41" s="48">
        <v>37</v>
      </c>
      <c r="B41" s="48"/>
      <c r="C41" s="48"/>
      <c r="D41" s="48"/>
      <c r="E41" s="48"/>
      <c r="F41" s="49"/>
      <c r="G41" s="48"/>
      <c r="H41" s="49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9"/>
    </row>
    <row r="42" spans="1:19">
      <c r="A42" s="28">
        <v>38</v>
      </c>
      <c r="B42" s="28"/>
      <c r="C42" s="28"/>
      <c r="D42" s="28"/>
      <c r="E42" s="28"/>
      <c r="F42" s="29"/>
      <c r="G42" s="28"/>
      <c r="H42" s="29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9"/>
    </row>
    <row r="43" spans="1:19">
      <c r="A43" s="48">
        <v>39</v>
      </c>
      <c r="B43" s="48"/>
      <c r="C43" s="48"/>
      <c r="D43" s="48"/>
      <c r="E43" s="48"/>
      <c r="F43" s="49"/>
      <c r="G43" s="48"/>
      <c r="H43" s="49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9"/>
    </row>
    <row r="44" spans="1:19">
      <c r="A44" s="28">
        <v>40</v>
      </c>
      <c r="B44" s="28"/>
      <c r="C44" s="28"/>
      <c r="D44" s="28"/>
      <c r="E44" s="28"/>
      <c r="F44" s="29"/>
      <c r="G44" s="28"/>
      <c r="H44" s="29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9"/>
    </row>
    <row r="45" spans="1:19">
      <c r="A45" s="48">
        <v>41</v>
      </c>
      <c r="B45" s="48"/>
      <c r="C45" s="48"/>
      <c r="D45" s="48"/>
      <c r="E45" s="48"/>
      <c r="F45" s="49"/>
      <c r="G45" s="48"/>
      <c r="H45" s="49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9"/>
    </row>
    <row r="46" spans="1:19">
      <c r="A46" s="28">
        <v>42</v>
      </c>
      <c r="B46" s="28"/>
      <c r="C46" s="28"/>
      <c r="D46" s="28"/>
      <c r="E46" s="28"/>
      <c r="F46" s="29"/>
      <c r="G46" s="28"/>
      <c r="H46" s="29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9"/>
    </row>
    <row r="47" spans="1:19">
      <c r="A47" s="48">
        <v>43</v>
      </c>
      <c r="B47" s="48"/>
      <c r="C47" s="48"/>
      <c r="D47" s="48"/>
      <c r="E47" s="48"/>
      <c r="F47" s="49"/>
      <c r="G47" s="48"/>
      <c r="H47" s="49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9"/>
    </row>
    <row r="48" spans="1:19">
      <c r="A48" s="28">
        <v>44</v>
      </c>
      <c r="B48" s="28"/>
      <c r="C48" s="28"/>
      <c r="D48" s="28"/>
      <c r="E48" s="28"/>
      <c r="F48" s="29"/>
      <c r="G48" s="28"/>
      <c r="H48" s="29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9"/>
    </row>
    <row r="49" spans="1:19">
      <c r="A49" s="48">
        <v>45</v>
      </c>
      <c r="B49" s="48"/>
      <c r="C49" s="48"/>
      <c r="D49" s="48"/>
      <c r="E49" s="48"/>
      <c r="F49" s="49"/>
      <c r="G49" s="48"/>
      <c r="H49" s="49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9"/>
    </row>
    <row r="50" spans="1:19">
      <c r="A50" s="28">
        <v>46</v>
      </c>
      <c r="B50" s="28"/>
      <c r="C50" s="28"/>
      <c r="D50" s="28"/>
      <c r="E50" s="28"/>
      <c r="F50" s="29"/>
      <c r="G50" s="28"/>
      <c r="H50" s="29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9"/>
    </row>
    <row r="51" spans="1:19">
      <c r="A51" s="48">
        <v>47</v>
      </c>
      <c r="B51" s="48"/>
      <c r="C51" s="48"/>
      <c r="D51" s="48"/>
      <c r="E51" s="48"/>
      <c r="F51" s="49"/>
      <c r="G51" s="48"/>
      <c r="H51" s="49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9"/>
    </row>
    <row r="52" spans="1:19">
      <c r="A52" s="28">
        <v>48</v>
      </c>
      <c r="B52" s="28"/>
      <c r="C52" s="28"/>
      <c r="D52" s="28"/>
      <c r="E52" s="28"/>
      <c r="F52" s="29"/>
      <c r="G52" s="28"/>
      <c r="H52" s="29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9"/>
    </row>
    <row r="53" spans="1:19">
      <c r="A53" s="48">
        <v>49</v>
      </c>
      <c r="B53" s="48"/>
      <c r="C53" s="48"/>
      <c r="D53" s="48"/>
      <c r="E53" s="48"/>
      <c r="F53" s="49"/>
      <c r="G53" s="48"/>
      <c r="H53" s="49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9"/>
    </row>
    <row r="54" spans="1:19">
      <c r="A54" s="28">
        <v>50</v>
      </c>
      <c r="B54" s="28"/>
      <c r="C54" s="28"/>
      <c r="D54" s="28"/>
      <c r="E54" s="28"/>
      <c r="F54" s="29"/>
      <c r="G54" s="28"/>
      <c r="H54" s="29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9"/>
    </row>
    <row r="55" spans="1:19" s="39" customFormat="1" ht="21.75" customHeight="1">
      <c r="A55" s="102" t="s">
        <v>460</v>
      </c>
      <c r="B55" s="112"/>
      <c r="C55" s="112"/>
      <c r="D55" s="7">
        <f>COUNTA(C5:C54)</f>
        <v>0</v>
      </c>
      <c r="I55" s="7" t="s">
        <v>461</v>
      </c>
      <c r="J55" s="39">
        <f t="array" ref="J55">COUNTIF(S5:S54,"Active")-SUMPRODUCT((S5:S54="Active")*(I5:I54="Yes")*(J5:J54="Yes")*(K5:K54="Yes")*(L5:L54="Yes")*(M5:M54="Yes")*(N5:N54="Yes")*(O5:O54="Yes")*(P5:P54="Yes")*(Q5:Q54="Yes")*(R5:R54="Yes"))</f>
        <v>0</v>
      </c>
      <c r="P55" s="34"/>
      <c r="Q55" s="99" t="s">
        <v>462</v>
      </c>
      <c r="R55" s="99"/>
      <c r="S55" s="39">
        <f>COUNTIF(S5:S54,"Terminated")+COUNTIF(S5:S54,"Resigned")+COUNTIF(S5:S54,"NCNS")</f>
        <v>0</v>
      </c>
    </row>
    <row r="56" spans="1:19" ht="7.5" customHeight="1"/>
    <row r="57" spans="1:19" ht="24" customHeight="1">
      <c r="A57" s="105" t="s">
        <v>463</v>
      </c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1"/>
      <c r="O57" s="101"/>
      <c r="P57" s="101"/>
    </row>
    <row r="58" spans="1:19" ht="24" customHeight="1">
      <c r="A58" s="27" t="s">
        <v>407</v>
      </c>
      <c r="B58" s="27" t="s">
        <v>408</v>
      </c>
      <c r="C58" s="27" t="s">
        <v>409</v>
      </c>
      <c r="D58" s="27" t="s">
        <v>464</v>
      </c>
      <c r="E58" s="27" t="s">
        <v>465</v>
      </c>
      <c r="F58" s="27" t="s">
        <v>466</v>
      </c>
      <c r="G58" s="27" t="s">
        <v>467</v>
      </c>
      <c r="H58" s="80" t="s">
        <v>468</v>
      </c>
      <c r="I58" s="27" t="s">
        <v>469</v>
      </c>
      <c r="J58" s="27" t="s">
        <v>470</v>
      </c>
      <c r="K58" s="27" t="s">
        <v>73</v>
      </c>
      <c r="L58" s="27" t="s">
        <v>74</v>
      </c>
      <c r="M58" s="27" t="s">
        <v>471</v>
      </c>
      <c r="N58" s="27" t="s">
        <v>76</v>
      </c>
      <c r="O58" s="27" t="s">
        <v>472</v>
      </c>
      <c r="P58" s="27" t="s">
        <v>415</v>
      </c>
    </row>
    <row r="59" spans="1:19">
      <c r="A59" s="48">
        <v>1</v>
      </c>
      <c r="B59" s="48"/>
      <c r="C59" s="48"/>
      <c r="D59" s="48"/>
      <c r="E59" s="48"/>
      <c r="F59" s="48"/>
      <c r="G59" s="49"/>
      <c r="H59" s="76"/>
      <c r="I59" s="48"/>
      <c r="J59" s="48"/>
      <c r="K59" s="48"/>
      <c r="L59" s="48"/>
      <c r="M59" s="48"/>
      <c r="N59" s="48"/>
      <c r="O59" s="48"/>
      <c r="P59" s="48"/>
    </row>
    <row r="60" spans="1:19">
      <c r="A60" s="28">
        <v>2</v>
      </c>
      <c r="B60" s="28"/>
      <c r="C60" s="28"/>
      <c r="D60" s="28"/>
      <c r="E60" s="28"/>
      <c r="F60" s="28"/>
      <c r="G60" s="29"/>
      <c r="H60" s="75"/>
      <c r="I60" s="28"/>
      <c r="J60" s="28"/>
      <c r="K60" s="28"/>
      <c r="L60" s="28"/>
      <c r="M60" s="28"/>
      <c r="N60" s="28"/>
      <c r="O60" s="28"/>
      <c r="P60" s="28"/>
    </row>
    <row r="61" spans="1:19">
      <c r="A61" s="48">
        <v>3</v>
      </c>
      <c r="B61" s="48"/>
      <c r="C61" s="48"/>
      <c r="D61" s="48"/>
      <c r="E61" s="48"/>
      <c r="F61" s="48"/>
      <c r="G61" s="49"/>
      <c r="H61" s="76"/>
      <c r="I61" s="48"/>
      <c r="J61" s="48"/>
      <c r="K61" s="48"/>
      <c r="L61" s="48"/>
      <c r="M61" s="48"/>
      <c r="N61" s="48"/>
      <c r="O61" s="48"/>
      <c r="P61" s="48"/>
    </row>
    <row r="62" spans="1:19">
      <c r="A62" s="28">
        <v>4</v>
      </c>
      <c r="B62" s="28"/>
      <c r="C62" s="28"/>
      <c r="D62" s="28"/>
      <c r="E62" s="28"/>
      <c r="F62" s="28"/>
      <c r="G62" s="29"/>
      <c r="H62" s="75"/>
      <c r="I62" s="28"/>
      <c r="J62" s="28"/>
      <c r="K62" s="28"/>
      <c r="L62" s="28"/>
      <c r="M62" s="28"/>
      <c r="N62" s="28"/>
      <c r="O62" s="28"/>
      <c r="P62" s="28"/>
    </row>
    <row r="63" spans="1:19">
      <c r="A63" s="48">
        <v>5</v>
      </c>
      <c r="B63" s="48"/>
      <c r="C63" s="48"/>
      <c r="D63" s="48"/>
      <c r="E63" s="48"/>
      <c r="F63" s="48"/>
      <c r="G63" s="49"/>
      <c r="H63" s="76"/>
      <c r="I63" s="48"/>
      <c r="J63" s="48"/>
      <c r="K63" s="48"/>
      <c r="L63" s="48"/>
      <c r="M63" s="48"/>
      <c r="N63" s="48"/>
      <c r="O63" s="48"/>
      <c r="P63" s="48"/>
    </row>
    <row r="64" spans="1:19">
      <c r="A64" s="28">
        <v>6</v>
      </c>
      <c r="B64" s="28"/>
      <c r="C64" s="28"/>
      <c r="D64" s="28"/>
      <c r="E64" s="28"/>
      <c r="F64" s="28"/>
      <c r="G64" s="29"/>
      <c r="H64" s="75"/>
      <c r="I64" s="28"/>
      <c r="J64" s="28"/>
      <c r="K64" s="28"/>
      <c r="L64" s="28"/>
      <c r="M64" s="28"/>
      <c r="N64" s="28"/>
      <c r="O64" s="28"/>
      <c r="P64" s="28"/>
    </row>
    <row r="65" spans="1:16">
      <c r="A65" s="48">
        <v>7</v>
      </c>
      <c r="B65" s="48"/>
      <c r="C65" s="48"/>
      <c r="D65" s="48"/>
      <c r="E65" s="48"/>
      <c r="F65" s="48"/>
      <c r="G65" s="49"/>
      <c r="H65" s="76"/>
      <c r="I65" s="48"/>
      <c r="J65" s="48"/>
      <c r="K65" s="48"/>
      <c r="L65" s="48"/>
      <c r="M65" s="48"/>
      <c r="N65" s="48"/>
      <c r="O65" s="48"/>
      <c r="P65" s="48"/>
    </row>
    <row r="66" spans="1:16">
      <c r="A66" s="28">
        <v>8</v>
      </c>
      <c r="B66" s="28"/>
      <c r="C66" s="28"/>
      <c r="D66" s="28"/>
      <c r="E66" s="28"/>
      <c r="F66" s="28"/>
      <c r="G66" s="29"/>
      <c r="H66" s="75"/>
      <c r="I66" s="28"/>
      <c r="J66" s="28"/>
      <c r="K66" s="28"/>
      <c r="L66" s="28"/>
      <c r="M66" s="28"/>
      <c r="N66" s="28"/>
      <c r="O66" s="28"/>
      <c r="P66" s="28"/>
    </row>
    <row r="67" spans="1:16">
      <c r="A67" s="48">
        <v>9</v>
      </c>
      <c r="B67" s="48"/>
      <c r="C67" s="48"/>
      <c r="D67" s="48"/>
      <c r="E67" s="48"/>
      <c r="F67" s="48"/>
      <c r="G67" s="49"/>
      <c r="H67" s="76"/>
      <c r="I67" s="48"/>
      <c r="J67" s="48"/>
      <c r="K67" s="48"/>
      <c r="L67" s="48"/>
      <c r="M67" s="48"/>
      <c r="N67" s="48"/>
      <c r="O67" s="48"/>
      <c r="P67" s="48"/>
    </row>
    <row r="68" spans="1:16">
      <c r="A68" s="28">
        <v>10</v>
      </c>
      <c r="B68" s="28"/>
      <c r="C68" s="28"/>
      <c r="D68" s="28"/>
      <c r="E68" s="28"/>
      <c r="F68" s="28"/>
      <c r="G68" s="29"/>
      <c r="H68" s="75"/>
      <c r="I68" s="28"/>
      <c r="J68" s="28"/>
      <c r="K68" s="28"/>
      <c r="L68" s="28"/>
      <c r="M68" s="28"/>
      <c r="N68" s="28"/>
      <c r="O68" s="28"/>
      <c r="P68" s="28"/>
    </row>
    <row r="69" spans="1:16">
      <c r="A69" s="48">
        <v>11</v>
      </c>
      <c r="B69" s="48"/>
      <c r="C69" s="48"/>
      <c r="D69" s="48"/>
      <c r="E69" s="48"/>
      <c r="F69" s="48"/>
      <c r="G69" s="49"/>
      <c r="H69" s="76"/>
      <c r="I69" s="48"/>
      <c r="J69" s="48"/>
      <c r="K69" s="48"/>
      <c r="L69" s="48"/>
      <c r="M69" s="48"/>
      <c r="N69" s="48"/>
      <c r="O69" s="48"/>
      <c r="P69" s="48"/>
    </row>
    <row r="70" spans="1:16">
      <c r="A70" s="28">
        <v>12</v>
      </c>
      <c r="B70" s="28"/>
      <c r="C70" s="28"/>
      <c r="D70" s="28"/>
      <c r="E70" s="28"/>
      <c r="F70" s="28"/>
      <c r="G70" s="29"/>
      <c r="H70" s="75"/>
      <c r="I70" s="28"/>
      <c r="J70" s="28"/>
      <c r="K70" s="28"/>
      <c r="L70" s="28"/>
      <c r="M70" s="28"/>
      <c r="N70" s="28"/>
      <c r="O70" s="28"/>
      <c r="P70" s="28"/>
    </row>
    <row r="71" spans="1:16">
      <c r="A71" s="48">
        <v>13</v>
      </c>
      <c r="B71" s="48"/>
      <c r="C71" s="48"/>
      <c r="D71" s="48"/>
      <c r="E71" s="48"/>
      <c r="F71" s="48"/>
      <c r="G71" s="49"/>
      <c r="H71" s="76"/>
      <c r="I71" s="48"/>
      <c r="J71" s="48"/>
      <c r="K71" s="48"/>
      <c r="L71" s="48"/>
      <c r="M71" s="48"/>
      <c r="N71" s="48"/>
      <c r="O71" s="48"/>
      <c r="P71" s="48"/>
    </row>
    <row r="72" spans="1:16">
      <c r="A72" s="28">
        <v>14</v>
      </c>
      <c r="B72" s="28"/>
      <c r="C72" s="28"/>
      <c r="D72" s="28"/>
      <c r="E72" s="28"/>
      <c r="F72" s="28"/>
      <c r="G72" s="29"/>
      <c r="H72" s="75"/>
      <c r="I72" s="28"/>
      <c r="J72" s="28"/>
      <c r="K72" s="28"/>
      <c r="L72" s="28"/>
      <c r="M72" s="28"/>
      <c r="N72" s="28"/>
      <c r="O72" s="28"/>
      <c r="P72" s="28"/>
    </row>
    <row r="73" spans="1:16">
      <c r="A73" s="48">
        <v>15</v>
      </c>
      <c r="B73" s="48"/>
      <c r="C73" s="48"/>
      <c r="D73" s="48"/>
      <c r="E73" s="48"/>
      <c r="F73" s="48"/>
      <c r="G73" s="49"/>
      <c r="H73" s="76"/>
      <c r="I73" s="48"/>
      <c r="J73" s="48"/>
      <c r="K73" s="48"/>
      <c r="L73" s="48"/>
      <c r="M73" s="48"/>
      <c r="N73" s="48"/>
      <c r="O73" s="48"/>
      <c r="P73" s="48"/>
    </row>
    <row r="74" spans="1:16">
      <c r="A74" s="28">
        <v>16</v>
      </c>
      <c r="B74" s="28"/>
      <c r="C74" s="28"/>
      <c r="D74" s="28"/>
      <c r="E74" s="28"/>
      <c r="F74" s="28"/>
      <c r="G74" s="29"/>
      <c r="H74" s="75"/>
      <c r="I74" s="28"/>
      <c r="J74" s="28"/>
      <c r="K74" s="28"/>
      <c r="L74" s="28"/>
      <c r="M74" s="28"/>
      <c r="N74" s="28"/>
      <c r="O74" s="28"/>
      <c r="P74" s="28"/>
    </row>
    <row r="75" spans="1:16">
      <c r="A75" s="48">
        <v>17</v>
      </c>
      <c r="B75" s="48"/>
      <c r="C75" s="48"/>
      <c r="D75" s="48"/>
      <c r="E75" s="48"/>
      <c r="F75" s="48"/>
      <c r="G75" s="49"/>
      <c r="H75" s="76"/>
      <c r="I75" s="48"/>
      <c r="J75" s="48"/>
      <c r="K75" s="48"/>
      <c r="L75" s="48"/>
      <c r="M75" s="48"/>
      <c r="N75" s="48"/>
      <c r="O75" s="48"/>
      <c r="P75" s="48"/>
    </row>
    <row r="76" spans="1:16">
      <c r="A76" s="28">
        <v>18</v>
      </c>
      <c r="B76" s="28"/>
      <c r="C76" s="28"/>
      <c r="D76" s="28"/>
      <c r="E76" s="28"/>
      <c r="F76" s="28"/>
      <c r="G76" s="29"/>
      <c r="H76" s="75"/>
      <c r="I76" s="28"/>
      <c r="J76" s="28"/>
      <c r="K76" s="28"/>
      <c r="L76" s="28"/>
      <c r="M76" s="28"/>
      <c r="N76" s="28"/>
      <c r="O76" s="28"/>
      <c r="P76" s="28"/>
    </row>
    <row r="77" spans="1:16">
      <c r="A77" s="48">
        <v>19</v>
      </c>
      <c r="B77" s="48"/>
      <c r="C77" s="48"/>
      <c r="D77" s="48"/>
      <c r="E77" s="48"/>
      <c r="F77" s="48"/>
      <c r="G77" s="49"/>
      <c r="H77" s="76"/>
      <c r="I77" s="48"/>
      <c r="J77" s="48"/>
      <c r="K77" s="48"/>
      <c r="L77" s="48"/>
      <c r="M77" s="48"/>
      <c r="N77" s="48"/>
      <c r="O77" s="48"/>
      <c r="P77" s="48"/>
    </row>
    <row r="78" spans="1:16">
      <c r="A78" s="28">
        <v>20</v>
      </c>
      <c r="B78" s="28"/>
      <c r="C78" s="28"/>
      <c r="D78" s="28"/>
      <c r="E78" s="28"/>
      <c r="F78" s="28"/>
      <c r="G78" s="29"/>
      <c r="H78" s="75"/>
      <c r="I78" s="28"/>
      <c r="J78" s="28"/>
      <c r="K78" s="28"/>
      <c r="L78" s="28"/>
      <c r="M78" s="28"/>
      <c r="N78" s="28"/>
      <c r="O78" s="28"/>
      <c r="P78" s="28"/>
    </row>
    <row r="79" spans="1:16">
      <c r="A79" s="48">
        <v>21</v>
      </c>
      <c r="B79" s="48"/>
      <c r="C79" s="48"/>
      <c r="D79" s="48"/>
      <c r="E79" s="48"/>
      <c r="F79" s="48"/>
      <c r="G79" s="49"/>
      <c r="H79" s="76"/>
      <c r="I79" s="48"/>
      <c r="J79" s="48"/>
      <c r="K79" s="48"/>
      <c r="L79" s="48"/>
      <c r="M79" s="48"/>
      <c r="N79" s="48"/>
      <c r="O79" s="48"/>
      <c r="P79" s="48"/>
    </row>
    <row r="80" spans="1:16">
      <c r="A80" s="28">
        <v>22</v>
      </c>
      <c r="B80" s="28"/>
      <c r="C80" s="28"/>
      <c r="D80" s="28"/>
      <c r="E80" s="28"/>
      <c r="F80" s="28"/>
      <c r="G80" s="29"/>
      <c r="H80" s="75"/>
      <c r="I80" s="28"/>
      <c r="J80" s="28"/>
      <c r="K80" s="28"/>
      <c r="L80" s="28"/>
      <c r="M80" s="28"/>
      <c r="N80" s="28"/>
      <c r="O80" s="28"/>
      <c r="P80" s="28"/>
    </row>
    <row r="81" spans="1:16">
      <c r="A81" s="48">
        <v>23</v>
      </c>
      <c r="B81" s="48"/>
      <c r="C81" s="48"/>
      <c r="D81" s="48"/>
      <c r="E81" s="48"/>
      <c r="F81" s="48"/>
      <c r="G81" s="49"/>
      <c r="H81" s="76"/>
      <c r="I81" s="48"/>
      <c r="J81" s="48"/>
      <c r="K81" s="48"/>
      <c r="L81" s="48"/>
      <c r="M81" s="48"/>
      <c r="N81" s="48"/>
      <c r="O81" s="48"/>
      <c r="P81" s="48"/>
    </row>
    <row r="82" spans="1:16">
      <c r="A82" s="28">
        <v>24</v>
      </c>
      <c r="B82" s="28"/>
      <c r="C82" s="28"/>
      <c r="D82" s="28"/>
      <c r="E82" s="28"/>
      <c r="F82" s="28"/>
      <c r="G82" s="29"/>
      <c r="H82" s="75"/>
      <c r="I82" s="28"/>
      <c r="J82" s="28"/>
      <c r="K82" s="28"/>
      <c r="L82" s="28"/>
      <c r="M82" s="28"/>
      <c r="N82" s="28"/>
      <c r="O82" s="28"/>
      <c r="P82" s="28"/>
    </row>
    <row r="83" spans="1:16">
      <c r="A83" s="48">
        <v>25</v>
      </c>
      <c r="B83" s="48"/>
      <c r="C83" s="48"/>
      <c r="D83" s="48"/>
      <c r="E83" s="48"/>
      <c r="F83" s="48"/>
      <c r="G83" s="49"/>
      <c r="H83" s="76"/>
      <c r="I83" s="48"/>
      <c r="J83" s="48"/>
      <c r="K83" s="48"/>
      <c r="L83" s="48"/>
      <c r="M83" s="48"/>
      <c r="N83" s="48"/>
      <c r="O83" s="48"/>
      <c r="P83" s="48"/>
    </row>
    <row r="84" spans="1:16">
      <c r="A84" s="28">
        <v>26</v>
      </c>
      <c r="B84" s="28"/>
      <c r="C84" s="28"/>
      <c r="D84" s="28"/>
      <c r="E84" s="28"/>
      <c r="F84" s="28"/>
      <c r="G84" s="29"/>
      <c r="H84" s="75"/>
      <c r="I84" s="28"/>
      <c r="J84" s="28"/>
      <c r="K84" s="28"/>
      <c r="L84" s="28"/>
      <c r="M84" s="28"/>
      <c r="N84" s="28"/>
      <c r="O84" s="28"/>
      <c r="P84" s="28"/>
    </row>
    <row r="85" spans="1:16">
      <c r="A85" s="48">
        <v>27</v>
      </c>
      <c r="B85" s="48"/>
      <c r="C85" s="48"/>
      <c r="D85" s="48"/>
      <c r="E85" s="48"/>
      <c r="F85" s="48"/>
      <c r="G85" s="49"/>
      <c r="H85" s="76"/>
      <c r="I85" s="48"/>
      <c r="J85" s="48"/>
      <c r="K85" s="48"/>
      <c r="L85" s="48"/>
      <c r="M85" s="48"/>
      <c r="N85" s="48"/>
      <c r="O85" s="48"/>
      <c r="P85" s="48"/>
    </row>
    <row r="86" spans="1:16">
      <c r="A86" s="28">
        <v>28</v>
      </c>
      <c r="B86" s="28"/>
      <c r="C86" s="28"/>
      <c r="D86" s="28"/>
      <c r="E86" s="28"/>
      <c r="F86" s="28"/>
      <c r="G86" s="29"/>
      <c r="H86" s="75"/>
      <c r="I86" s="28"/>
      <c r="J86" s="28"/>
      <c r="K86" s="28"/>
      <c r="L86" s="28"/>
      <c r="M86" s="28"/>
      <c r="N86" s="28"/>
      <c r="O86" s="28"/>
      <c r="P86" s="28"/>
    </row>
    <row r="87" spans="1:16">
      <c r="A87" s="48">
        <v>29</v>
      </c>
      <c r="B87" s="48"/>
      <c r="C87" s="48"/>
      <c r="D87" s="48"/>
      <c r="E87" s="48"/>
      <c r="F87" s="48"/>
      <c r="G87" s="49"/>
      <c r="H87" s="76"/>
      <c r="I87" s="48"/>
      <c r="J87" s="48"/>
      <c r="K87" s="48"/>
      <c r="L87" s="48"/>
      <c r="M87" s="48"/>
      <c r="N87" s="48"/>
      <c r="O87" s="48"/>
      <c r="P87" s="48"/>
    </row>
    <row r="88" spans="1:16">
      <c r="A88" s="28">
        <v>30</v>
      </c>
      <c r="B88" s="28"/>
      <c r="C88" s="28"/>
      <c r="D88" s="28"/>
      <c r="E88" s="28"/>
      <c r="F88" s="28"/>
      <c r="G88" s="29"/>
      <c r="H88" s="75"/>
      <c r="I88" s="28"/>
      <c r="J88" s="28"/>
      <c r="K88" s="28"/>
      <c r="L88" s="28"/>
      <c r="M88" s="28"/>
      <c r="N88" s="28"/>
      <c r="O88" s="28"/>
      <c r="P88" s="28"/>
    </row>
    <row r="89" spans="1:16">
      <c r="A89" s="48">
        <v>31</v>
      </c>
      <c r="B89" s="48"/>
      <c r="C89" s="48"/>
      <c r="D89" s="48"/>
      <c r="E89" s="48"/>
      <c r="F89" s="48"/>
      <c r="G89" s="49"/>
      <c r="H89" s="76"/>
      <c r="I89" s="48"/>
      <c r="J89" s="48"/>
      <c r="K89" s="48"/>
      <c r="L89" s="48"/>
      <c r="M89" s="48"/>
      <c r="N89" s="48"/>
      <c r="O89" s="48"/>
      <c r="P89" s="48"/>
    </row>
    <row r="90" spans="1:16">
      <c r="A90" s="28">
        <v>32</v>
      </c>
      <c r="B90" s="28"/>
      <c r="C90" s="28"/>
      <c r="D90" s="28"/>
      <c r="E90" s="28"/>
      <c r="F90" s="28"/>
      <c r="G90" s="29"/>
      <c r="H90" s="75"/>
      <c r="I90" s="28"/>
      <c r="J90" s="28"/>
      <c r="K90" s="28"/>
      <c r="L90" s="28"/>
      <c r="M90" s="28"/>
      <c r="N90" s="28"/>
      <c r="O90" s="28"/>
      <c r="P90" s="28"/>
    </row>
    <row r="91" spans="1:16">
      <c r="A91" s="48">
        <v>33</v>
      </c>
      <c r="B91" s="48"/>
      <c r="C91" s="48"/>
      <c r="D91" s="48"/>
      <c r="E91" s="48"/>
      <c r="F91" s="48"/>
      <c r="G91" s="49"/>
      <c r="H91" s="76"/>
      <c r="I91" s="48"/>
      <c r="J91" s="48"/>
      <c r="K91" s="48"/>
      <c r="L91" s="48"/>
      <c r="M91" s="48"/>
      <c r="N91" s="48"/>
      <c r="O91" s="48"/>
      <c r="P91" s="48"/>
    </row>
    <row r="92" spans="1:16">
      <c r="A92" s="28">
        <v>34</v>
      </c>
      <c r="B92" s="28"/>
      <c r="C92" s="28"/>
      <c r="D92" s="28"/>
      <c r="E92" s="28"/>
      <c r="F92" s="28"/>
      <c r="G92" s="29"/>
      <c r="H92" s="75"/>
      <c r="I92" s="28"/>
      <c r="J92" s="28"/>
      <c r="K92" s="28"/>
      <c r="L92" s="28"/>
      <c r="M92" s="28"/>
      <c r="N92" s="28"/>
      <c r="O92" s="28"/>
      <c r="P92" s="28"/>
    </row>
    <row r="93" spans="1:16">
      <c r="A93" s="48">
        <v>35</v>
      </c>
      <c r="B93" s="48"/>
      <c r="C93" s="48"/>
      <c r="D93" s="48"/>
      <c r="E93" s="48"/>
      <c r="F93" s="48"/>
      <c r="G93" s="49"/>
      <c r="H93" s="76"/>
      <c r="I93" s="48"/>
      <c r="J93" s="48"/>
      <c r="K93" s="48"/>
      <c r="L93" s="48"/>
      <c r="M93" s="48"/>
      <c r="N93" s="48"/>
      <c r="O93" s="48"/>
      <c r="P93" s="48"/>
    </row>
    <row r="94" spans="1:16">
      <c r="A94" s="28">
        <v>36</v>
      </c>
      <c r="B94" s="28"/>
      <c r="C94" s="28"/>
      <c r="D94" s="28"/>
      <c r="E94" s="28"/>
      <c r="F94" s="28"/>
      <c r="G94" s="29"/>
      <c r="H94" s="75"/>
      <c r="I94" s="28"/>
      <c r="J94" s="28"/>
      <c r="K94" s="28"/>
      <c r="L94" s="28"/>
      <c r="M94" s="28"/>
      <c r="N94" s="28"/>
      <c r="O94" s="28"/>
      <c r="P94" s="28"/>
    </row>
    <row r="95" spans="1:16">
      <c r="A95" s="48">
        <v>37</v>
      </c>
      <c r="B95" s="48"/>
      <c r="C95" s="48"/>
      <c r="D95" s="48"/>
      <c r="E95" s="48"/>
      <c r="F95" s="48"/>
      <c r="G95" s="49"/>
      <c r="H95" s="76"/>
      <c r="I95" s="48"/>
      <c r="J95" s="48"/>
      <c r="K95" s="48"/>
      <c r="L95" s="48"/>
      <c r="M95" s="48"/>
      <c r="N95" s="48"/>
      <c r="O95" s="48"/>
      <c r="P95" s="48"/>
    </row>
    <row r="96" spans="1:16">
      <c r="A96" s="28">
        <v>38</v>
      </c>
      <c r="B96" s="28"/>
      <c r="C96" s="28"/>
      <c r="D96" s="28"/>
      <c r="E96" s="28"/>
      <c r="F96" s="28"/>
      <c r="G96" s="29"/>
      <c r="H96" s="75"/>
      <c r="I96" s="28"/>
      <c r="J96" s="28"/>
      <c r="K96" s="28"/>
      <c r="L96" s="28"/>
      <c r="M96" s="28"/>
      <c r="N96" s="28"/>
      <c r="O96" s="28"/>
      <c r="P96" s="28"/>
    </row>
    <row r="97" spans="1:16">
      <c r="A97" s="48">
        <v>39</v>
      </c>
      <c r="B97" s="48"/>
      <c r="C97" s="48"/>
      <c r="D97" s="48"/>
      <c r="E97" s="48"/>
      <c r="F97" s="48"/>
      <c r="G97" s="49"/>
      <c r="H97" s="76"/>
      <c r="I97" s="48"/>
      <c r="J97" s="48"/>
      <c r="K97" s="48"/>
      <c r="L97" s="48"/>
      <c r="M97" s="48"/>
      <c r="N97" s="48"/>
      <c r="O97" s="48"/>
      <c r="P97" s="48"/>
    </row>
    <row r="98" spans="1:16">
      <c r="A98" s="28">
        <v>40</v>
      </c>
      <c r="B98" s="28"/>
      <c r="C98" s="28"/>
      <c r="D98" s="28"/>
      <c r="E98" s="28"/>
      <c r="F98" s="28"/>
      <c r="G98" s="29"/>
      <c r="H98" s="75"/>
      <c r="I98" s="28"/>
      <c r="J98" s="28"/>
      <c r="K98" s="28"/>
      <c r="L98" s="28"/>
      <c r="M98" s="28"/>
      <c r="N98" s="28"/>
      <c r="O98" s="28"/>
      <c r="P98" s="28"/>
    </row>
    <row r="99" spans="1:16">
      <c r="A99" s="48">
        <v>41</v>
      </c>
      <c r="B99" s="48"/>
      <c r="C99" s="48"/>
      <c r="D99" s="48"/>
      <c r="E99" s="48"/>
      <c r="F99" s="48"/>
      <c r="G99" s="49"/>
      <c r="H99" s="76"/>
      <c r="I99" s="48"/>
      <c r="J99" s="48"/>
      <c r="K99" s="48"/>
      <c r="L99" s="48"/>
      <c r="M99" s="48"/>
      <c r="N99" s="48"/>
      <c r="O99" s="48"/>
      <c r="P99" s="48"/>
    </row>
    <row r="100" spans="1:16">
      <c r="A100" s="28">
        <v>42</v>
      </c>
      <c r="B100" s="28"/>
      <c r="C100" s="28"/>
      <c r="D100" s="28"/>
      <c r="E100" s="28"/>
      <c r="F100" s="28"/>
      <c r="G100" s="29"/>
      <c r="H100" s="75"/>
      <c r="I100" s="28"/>
      <c r="J100" s="28"/>
      <c r="K100" s="28"/>
      <c r="L100" s="28"/>
      <c r="M100" s="28"/>
      <c r="N100" s="28"/>
      <c r="O100" s="28"/>
      <c r="P100" s="28"/>
    </row>
    <row r="101" spans="1:16">
      <c r="A101" s="48">
        <v>43</v>
      </c>
      <c r="B101" s="48"/>
      <c r="C101" s="48"/>
      <c r="D101" s="48"/>
      <c r="E101" s="48"/>
      <c r="F101" s="48"/>
      <c r="G101" s="49"/>
      <c r="H101" s="76"/>
      <c r="I101" s="48"/>
      <c r="J101" s="48"/>
      <c r="K101" s="48"/>
      <c r="L101" s="48"/>
      <c r="M101" s="48"/>
      <c r="N101" s="48"/>
      <c r="O101" s="48"/>
      <c r="P101" s="48"/>
    </row>
    <row r="102" spans="1:16">
      <c r="A102" s="28">
        <v>44</v>
      </c>
      <c r="B102" s="28"/>
      <c r="C102" s="28"/>
      <c r="D102" s="28"/>
      <c r="E102" s="28"/>
      <c r="F102" s="28"/>
      <c r="G102" s="29"/>
      <c r="H102" s="75"/>
      <c r="I102" s="28"/>
      <c r="J102" s="28"/>
      <c r="K102" s="28"/>
      <c r="L102" s="28"/>
      <c r="M102" s="28"/>
      <c r="N102" s="28"/>
      <c r="O102" s="28"/>
      <c r="P102" s="28"/>
    </row>
    <row r="103" spans="1:16">
      <c r="A103" s="48">
        <v>45</v>
      </c>
      <c r="B103" s="48"/>
      <c r="C103" s="48"/>
      <c r="D103" s="48"/>
      <c r="E103" s="48"/>
      <c r="F103" s="48"/>
      <c r="G103" s="49"/>
      <c r="H103" s="76"/>
      <c r="I103" s="48"/>
      <c r="J103" s="48"/>
      <c r="K103" s="48"/>
      <c r="L103" s="48"/>
      <c r="M103" s="48"/>
      <c r="N103" s="48"/>
      <c r="O103" s="48"/>
      <c r="P103" s="48"/>
    </row>
    <row r="104" spans="1:16">
      <c r="A104" s="28">
        <v>46</v>
      </c>
      <c r="B104" s="28"/>
      <c r="C104" s="28"/>
      <c r="D104" s="28"/>
      <c r="E104" s="28"/>
      <c r="F104" s="28"/>
      <c r="G104" s="29"/>
      <c r="H104" s="75"/>
      <c r="I104" s="28"/>
      <c r="J104" s="28"/>
      <c r="K104" s="28"/>
      <c r="L104" s="28"/>
      <c r="M104" s="28"/>
      <c r="N104" s="28"/>
      <c r="O104" s="28"/>
      <c r="P104" s="28"/>
    </row>
    <row r="105" spans="1:16">
      <c r="A105" s="48">
        <v>47</v>
      </c>
      <c r="B105" s="48"/>
      <c r="C105" s="48"/>
      <c r="D105" s="48"/>
      <c r="E105" s="48"/>
      <c r="F105" s="48"/>
      <c r="G105" s="49"/>
      <c r="H105" s="76"/>
      <c r="I105" s="48"/>
      <c r="J105" s="48"/>
      <c r="K105" s="48"/>
      <c r="L105" s="48"/>
      <c r="M105" s="48"/>
      <c r="N105" s="48"/>
      <c r="O105" s="48"/>
      <c r="P105" s="48"/>
    </row>
    <row r="106" spans="1:16">
      <c r="A106" s="28">
        <v>48</v>
      </c>
      <c r="B106" s="28"/>
      <c r="C106" s="28"/>
      <c r="D106" s="28"/>
      <c r="E106" s="28"/>
      <c r="F106" s="28"/>
      <c r="G106" s="29"/>
      <c r="H106" s="75"/>
      <c r="I106" s="28"/>
      <c r="J106" s="28"/>
      <c r="K106" s="28"/>
      <c r="L106" s="28"/>
      <c r="M106" s="28"/>
      <c r="N106" s="28"/>
      <c r="O106" s="28"/>
      <c r="P106" s="28"/>
    </row>
    <row r="107" spans="1:16">
      <c r="A107" s="48">
        <v>49</v>
      </c>
      <c r="B107" s="48"/>
      <c r="C107" s="48"/>
      <c r="D107" s="48"/>
      <c r="E107" s="48"/>
      <c r="F107" s="48"/>
      <c r="G107" s="49"/>
      <c r="H107" s="76"/>
      <c r="I107" s="48"/>
      <c r="J107" s="48"/>
      <c r="K107" s="48"/>
      <c r="L107" s="48"/>
      <c r="M107" s="48"/>
      <c r="N107" s="48"/>
      <c r="O107" s="48"/>
      <c r="P107" s="48"/>
    </row>
    <row r="108" spans="1:16">
      <c r="A108" s="28">
        <v>50</v>
      </c>
      <c r="B108" s="28"/>
      <c r="C108" s="28"/>
      <c r="D108" s="28"/>
      <c r="E108" s="28"/>
      <c r="F108" s="28"/>
      <c r="G108" s="29"/>
      <c r="H108" s="75"/>
      <c r="I108" s="28"/>
      <c r="J108" s="28"/>
      <c r="K108" s="28"/>
      <c r="L108" s="28"/>
      <c r="M108" s="28"/>
      <c r="N108" s="28"/>
      <c r="O108" s="28"/>
      <c r="P108" s="28"/>
    </row>
    <row r="109" spans="1:16" s="39" customFormat="1" ht="12.75" customHeight="1">
      <c r="A109" s="102" t="s">
        <v>498</v>
      </c>
      <c r="B109" s="112"/>
      <c r="C109" s="112"/>
      <c r="D109" s="7">
        <f>COUNTA(C59:C108)</f>
        <v>0</v>
      </c>
    </row>
  </sheetData>
  <mergeCells count="7">
    <mergeCell ref="Q55:R55"/>
    <mergeCell ref="A1:S1"/>
    <mergeCell ref="A109:C109"/>
    <mergeCell ref="A3:S3"/>
    <mergeCell ref="A55:C55"/>
    <mergeCell ref="L2:N2"/>
    <mergeCell ref="A57:P57"/>
  </mergeCells>
  <conditionalFormatting sqref="A5:S54">
    <cfRule type="expression" dxfId="55" priority="2">
      <formula>$S5="Terminated"</formula>
    </cfRule>
    <cfRule type="expression" dxfId="54" priority="3">
      <formula>$S5="Resigned"</formula>
    </cfRule>
    <cfRule type="expression" dxfId="53" priority="4">
      <formula>$S5="NCNS"</formula>
    </cfRule>
    <cfRule type="expression" dxfId="52" priority="5">
      <formula>$S5="Suspended"</formula>
    </cfRule>
  </conditionalFormatting>
  <conditionalFormatting sqref="A59:O108">
    <cfRule type="expression" dxfId="51" priority="6">
      <formula>$O59="QUIT"</formula>
    </cfRule>
    <cfRule type="expression" dxfId="50" priority="7">
      <formula>$O59="Terminated"</formula>
    </cfRule>
    <cfRule type="expression" dxfId="49" priority="8">
      <formula>$O59="Resigned"</formula>
    </cfRule>
    <cfRule type="expression" dxfId="48" priority="9">
      <formula>$O59="NCNS"</formula>
    </cfRule>
  </conditionalFormatting>
  <dataValidations count="5">
    <dataValidation type="list" sqref="E5:E54" xr:uid="{00000000-0002-0000-0700-000000000000}">
      <formula1>"Yes,No,Pending"</formula1>
    </dataValidation>
    <dataValidation type="list" sqref="B5:B54 B59:B108" xr:uid="{00000000-0002-0000-0700-000001000000}">
      <formula1>"Residential,Administration,Finance,Facilities,HR,ELC,LLL,Prof. Services,Behavioral,IT,Other"</formula1>
    </dataValidation>
    <dataValidation type="list" sqref="S5:S54" xr:uid="{00000000-0002-0000-0700-000002000000}">
      <formula1>"Active,Terminated,Resigned,NCNS,Suspended"</formula1>
    </dataValidation>
    <dataValidation type="list" sqref="I5:R54 I59:O108" xr:uid="{00000000-0002-0000-0700-000003000000}">
      <formula1>"Yes,No,N/A,In Progress"</formula1>
    </dataValidation>
    <dataValidation type="list" sqref="P59:P108" xr:uid="{00000000-0002-0000-0700-000004000000}">
      <formula1>"Active,QUIT,Terminated,Resigned,NCNS,Transferred"</formula1>
    </dataValidation>
  </dataValidations>
  <hyperlinks>
    <hyperlink ref="A2" location="Dashboard!A1" display="← Dashboard" xr:uid="{00000000-0004-0000-0700-000000000000}"/>
  </hyperlinks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2C5282"/>
  </sheetPr>
  <dimension ref="A1:S109"/>
  <sheetViews>
    <sheetView zoomScale="80" zoomScaleNormal="80" workbookViewId="0">
      <pane ySplit="4" topLeftCell="A44" activePane="bottomLeft" state="frozen"/>
      <selection pane="bottomLeft" activeCell="F16" sqref="F16"/>
      <selection activeCell="F16" sqref="F16"/>
    </sheetView>
  </sheetViews>
  <sheetFormatPr defaultColWidth="8.7109375" defaultRowHeight="14.25"/>
  <cols>
    <col min="1" max="1" width="4" style="32" customWidth="1"/>
    <col min="2" max="2" width="15" style="32" customWidth="1"/>
    <col min="3" max="3" width="13" style="32" customWidth="1"/>
    <col min="4" max="4" width="17" style="32" customWidth="1"/>
    <col min="5" max="5" width="11" style="32" customWidth="1"/>
    <col min="6" max="6" width="14" style="32" customWidth="1"/>
    <col min="7" max="7" width="22" style="32" customWidth="1"/>
    <col min="8" max="8" width="12" style="32" customWidth="1"/>
    <col min="9" max="17" width="11" style="32" customWidth="1"/>
    <col min="18" max="19" width="10" style="32" customWidth="1"/>
    <col min="20" max="20" width="8.7109375" style="32" customWidth="1"/>
    <col min="21" max="16384" width="8.7109375" style="32"/>
  </cols>
  <sheetData>
    <row r="1" spans="1:19" ht="33.75" customHeight="1">
      <c r="A1" s="100" t="s">
        <v>664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</row>
    <row r="2" spans="1:19" s="1" customFormat="1" ht="18" customHeight="1">
      <c r="A2" s="33" t="s">
        <v>79</v>
      </c>
      <c r="E2" s="35" t="s">
        <v>402</v>
      </c>
      <c r="F2" s="35">
        <f>D55</f>
        <v>0</v>
      </c>
      <c r="G2" s="36" t="s">
        <v>403</v>
      </c>
      <c r="H2" s="36">
        <f>S55</f>
        <v>0</v>
      </c>
      <c r="I2" s="37" t="s">
        <v>404</v>
      </c>
      <c r="J2" s="37">
        <f>D109</f>
        <v>0</v>
      </c>
      <c r="L2" s="104" t="s">
        <v>405</v>
      </c>
      <c r="M2" s="87"/>
      <c r="N2" s="87"/>
      <c r="O2" s="38" t="str">
        <f t="array" ref="O2">IF(COUNTIF(S5:S54,"Active")&gt;0,SUMPRODUCT((S5:S54="Active")*(I5:R54="Yes"))/SUMPRODUCT((S5:S54="Active")*(I5:R54&lt;&gt;"N/A")*(I5:R54&lt;&gt;"")),"—")</f>
        <v>—</v>
      </c>
    </row>
    <row r="3" spans="1:19" ht="24" customHeight="1">
      <c r="A3" s="103" t="s">
        <v>406</v>
      </c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</row>
    <row r="4" spans="1:19" ht="27.75" customHeight="1">
      <c r="A4" s="27" t="s">
        <v>407</v>
      </c>
      <c r="B4" s="27" t="s">
        <v>408</v>
      </c>
      <c r="C4" s="27" t="s">
        <v>409</v>
      </c>
      <c r="D4" s="27" t="s">
        <v>410</v>
      </c>
      <c r="E4" s="27" t="s">
        <v>411</v>
      </c>
      <c r="F4" s="27" t="s">
        <v>412</v>
      </c>
      <c r="G4" s="27" t="s">
        <v>413</v>
      </c>
      <c r="H4" s="27" t="s">
        <v>414</v>
      </c>
      <c r="I4" s="27" t="s">
        <v>357</v>
      </c>
      <c r="J4" s="27" t="s">
        <v>69</v>
      </c>
      <c r="K4" s="27" t="s">
        <v>360</v>
      </c>
      <c r="L4" s="27" t="s">
        <v>96</v>
      </c>
      <c r="M4" s="27" t="s">
        <v>72</v>
      </c>
      <c r="N4" s="27" t="s">
        <v>73</v>
      </c>
      <c r="O4" s="27" t="s">
        <v>74</v>
      </c>
      <c r="P4" s="27" t="s">
        <v>75</v>
      </c>
      <c r="Q4" s="27" t="s">
        <v>76</v>
      </c>
      <c r="R4" s="27" t="s">
        <v>77</v>
      </c>
      <c r="S4" s="27" t="s">
        <v>415</v>
      </c>
    </row>
    <row r="5" spans="1:19">
      <c r="A5" s="48">
        <v>1</v>
      </c>
      <c r="B5" s="48"/>
      <c r="C5" s="48"/>
      <c r="D5" s="48"/>
      <c r="E5" s="48"/>
      <c r="F5" s="49"/>
      <c r="G5" s="48"/>
      <c r="H5" s="49"/>
      <c r="I5" s="48"/>
      <c r="J5" s="48"/>
      <c r="K5" s="48"/>
      <c r="L5" s="48"/>
      <c r="M5" s="48"/>
      <c r="N5" s="48"/>
      <c r="O5" s="48"/>
      <c r="P5" s="48"/>
      <c r="Q5" s="48"/>
      <c r="R5" s="48"/>
      <c r="S5" s="49"/>
    </row>
    <row r="6" spans="1:19">
      <c r="A6" s="28">
        <v>2</v>
      </c>
      <c r="B6" s="28"/>
      <c r="C6" s="28"/>
      <c r="D6" s="28"/>
      <c r="E6" s="28"/>
      <c r="F6" s="29"/>
      <c r="G6" s="28"/>
      <c r="H6" s="29"/>
      <c r="I6" s="28"/>
      <c r="J6" s="28"/>
      <c r="K6" s="28"/>
      <c r="L6" s="28"/>
      <c r="M6" s="28"/>
      <c r="N6" s="28"/>
      <c r="O6" s="28"/>
      <c r="P6" s="28"/>
      <c r="Q6" s="28"/>
      <c r="R6" s="28"/>
      <c r="S6" s="29"/>
    </row>
    <row r="7" spans="1:19">
      <c r="A7" s="48">
        <v>3</v>
      </c>
      <c r="B7" s="48"/>
      <c r="C7" s="48"/>
      <c r="D7" s="48"/>
      <c r="E7" s="48"/>
      <c r="F7" s="49"/>
      <c r="G7" s="48"/>
      <c r="H7" s="49"/>
      <c r="I7" s="48"/>
      <c r="J7" s="48"/>
      <c r="K7" s="48"/>
      <c r="L7" s="48"/>
      <c r="M7" s="48"/>
      <c r="N7" s="48"/>
      <c r="O7" s="48"/>
      <c r="P7" s="48"/>
      <c r="Q7" s="48"/>
      <c r="R7" s="48"/>
      <c r="S7" s="49"/>
    </row>
    <row r="8" spans="1:19">
      <c r="A8" s="28">
        <v>4</v>
      </c>
      <c r="B8" s="28"/>
      <c r="C8" s="28"/>
      <c r="D8" s="28"/>
      <c r="E8" s="28"/>
      <c r="F8" s="29"/>
      <c r="G8" s="28"/>
      <c r="H8" s="29"/>
      <c r="I8" s="28"/>
      <c r="J8" s="28"/>
      <c r="K8" s="28"/>
      <c r="L8" s="28"/>
      <c r="M8" s="28"/>
      <c r="N8" s="28"/>
      <c r="O8" s="28"/>
      <c r="P8" s="28"/>
      <c r="Q8" s="28"/>
      <c r="R8" s="28"/>
      <c r="S8" s="29"/>
    </row>
    <row r="9" spans="1:19">
      <c r="A9" s="48">
        <v>5</v>
      </c>
      <c r="B9" s="48"/>
      <c r="C9" s="48"/>
      <c r="D9" s="48"/>
      <c r="E9" s="48"/>
      <c r="F9" s="49"/>
      <c r="G9" s="48"/>
      <c r="H9" s="49"/>
      <c r="I9" s="48"/>
      <c r="J9" s="48"/>
      <c r="K9" s="48"/>
      <c r="L9" s="48"/>
      <c r="M9" s="48"/>
      <c r="N9" s="48"/>
      <c r="O9" s="48"/>
      <c r="P9" s="48"/>
      <c r="Q9" s="48"/>
      <c r="R9" s="48"/>
      <c r="S9" s="49"/>
    </row>
    <row r="10" spans="1:19">
      <c r="A10" s="28">
        <v>6</v>
      </c>
      <c r="B10" s="28"/>
      <c r="C10" s="28"/>
      <c r="D10" s="28"/>
      <c r="E10" s="28"/>
      <c r="F10" s="29"/>
      <c r="G10" s="28"/>
      <c r="H10" s="29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9"/>
    </row>
    <row r="11" spans="1:19">
      <c r="A11" s="48">
        <v>7</v>
      </c>
      <c r="B11" s="48"/>
      <c r="C11" s="48"/>
      <c r="D11" s="48"/>
      <c r="E11" s="48"/>
      <c r="F11" s="49"/>
      <c r="G11" s="48"/>
      <c r="H11" s="49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9"/>
    </row>
    <row r="12" spans="1:19">
      <c r="A12" s="28">
        <v>8</v>
      </c>
      <c r="B12" s="28"/>
      <c r="C12" s="28"/>
      <c r="D12" s="28"/>
      <c r="E12" s="28"/>
      <c r="F12" s="29"/>
      <c r="G12" s="28"/>
      <c r="H12" s="29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9"/>
    </row>
    <row r="13" spans="1:19">
      <c r="A13" s="48">
        <v>9</v>
      </c>
      <c r="B13" s="48"/>
      <c r="C13" s="48"/>
      <c r="D13" s="48"/>
      <c r="E13" s="48"/>
      <c r="F13" s="49"/>
      <c r="G13" s="48"/>
      <c r="H13" s="49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9"/>
    </row>
    <row r="14" spans="1:19">
      <c r="A14" s="28">
        <v>10</v>
      </c>
      <c r="B14" s="28"/>
      <c r="C14" s="28"/>
      <c r="D14" s="28"/>
      <c r="E14" s="28"/>
      <c r="F14" s="29"/>
      <c r="G14" s="28"/>
      <c r="H14" s="29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9"/>
    </row>
    <row r="15" spans="1:19">
      <c r="A15" s="48">
        <v>11</v>
      </c>
      <c r="B15" s="48"/>
      <c r="C15" s="48"/>
      <c r="D15" s="48"/>
      <c r="E15" s="48"/>
      <c r="F15" s="49"/>
      <c r="G15" s="48"/>
      <c r="H15" s="49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9"/>
    </row>
    <row r="16" spans="1:19">
      <c r="A16" s="28">
        <v>12</v>
      </c>
      <c r="B16" s="28"/>
      <c r="C16" s="28"/>
      <c r="D16" s="28"/>
      <c r="E16" s="28"/>
      <c r="F16" s="29"/>
      <c r="G16" s="28"/>
      <c r="H16" s="29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9"/>
    </row>
    <row r="17" spans="1:19">
      <c r="A17" s="48">
        <v>13</v>
      </c>
      <c r="B17" s="48"/>
      <c r="C17" s="48"/>
      <c r="D17" s="48"/>
      <c r="E17" s="48"/>
      <c r="F17" s="49"/>
      <c r="G17" s="48"/>
      <c r="H17" s="49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9"/>
    </row>
    <row r="18" spans="1:19">
      <c r="A18" s="28">
        <v>14</v>
      </c>
      <c r="B18" s="28"/>
      <c r="C18" s="28"/>
      <c r="D18" s="28"/>
      <c r="E18" s="28"/>
      <c r="F18" s="29"/>
      <c r="G18" s="28"/>
      <c r="H18" s="29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9"/>
    </row>
    <row r="19" spans="1:19">
      <c r="A19" s="48">
        <v>15</v>
      </c>
      <c r="B19" s="48"/>
      <c r="C19" s="48"/>
      <c r="D19" s="48"/>
      <c r="E19" s="48"/>
      <c r="F19" s="49"/>
      <c r="G19" s="48"/>
      <c r="H19" s="49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9"/>
    </row>
    <row r="20" spans="1:19">
      <c r="A20" s="28">
        <v>16</v>
      </c>
      <c r="B20" s="28"/>
      <c r="C20" s="28"/>
      <c r="D20" s="28"/>
      <c r="E20" s="28"/>
      <c r="F20" s="29"/>
      <c r="G20" s="28"/>
      <c r="H20" s="29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9"/>
    </row>
    <row r="21" spans="1:19">
      <c r="A21" s="48">
        <v>17</v>
      </c>
      <c r="B21" s="48"/>
      <c r="C21" s="48"/>
      <c r="D21" s="48"/>
      <c r="E21" s="48"/>
      <c r="F21" s="49"/>
      <c r="G21" s="48"/>
      <c r="H21" s="49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9"/>
    </row>
    <row r="22" spans="1:19">
      <c r="A22" s="28">
        <v>18</v>
      </c>
      <c r="B22" s="28"/>
      <c r="C22" s="28"/>
      <c r="D22" s="28"/>
      <c r="E22" s="28"/>
      <c r="F22" s="29"/>
      <c r="G22" s="28"/>
      <c r="H22" s="29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9"/>
    </row>
    <row r="23" spans="1:19">
      <c r="A23" s="48">
        <v>19</v>
      </c>
      <c r="B23" s="48"/>
      <c r="C23" s="48"/>
      <c r="D23" s="48"/>
      <c r="E23" s="48"/>
      <c r="F23" s="49"/>
      <c r="G23" s="48"/>
      <c r="H23" s="49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9"/>
    </row>
    <row r="24" spans="1:19">
      <c r="A24" s="28">
        <v>20</v>
      </c>
      <c r="B24" s="28"/>
      <c r="C24" s="28"/>
      <c r="D24" s="28"/>
      <c r="E24" s="28"/>
      <c r="F24" s="29"/>
      <c r="G24" s="28"/>
      <c r="H24" s="29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</row>
    <row r="25" spans="1:19">
      <c r="A25" s="48">
        <v>21</v>
      </c>
      <c r="B25" s="48"/>
      <c r="C25" s="48"/>
      <c r="D25" s="48"/>
      <c r="E25" s="48"/>
      <c r="F25" s="49"/>
      <c r="G25" s="48"/>
      <c r="H25" s="49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9"/>
    </row>
    <row r="26" spans="1:19">
      <c r="A26" s="28">
        <v>22</v>
      </c>
      <c r="B26" s="28"/>
      <c r="C26" s="28"/>
      <c r="D26" s="28"/>
      <c r="E26" s="28"/>
      <c r="F26" s="29"/>
      <c r="G26" s="28"/>
      <c r="H26" s="29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9"/>
    </row>
    <row r="27" spans="1:19">
      <c r="A27" s="48">
        <v>23</v>
      </c>
      <c r="B27" s="48"/>
      <c r="C27" s="48"/>
      <c r="D27" s="48"/>
      <c r="E27" s="48"/>
      <c r="F27" s="49"/>
      <c r="G27" s="48"/>
      <c r="H27" s="49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9"/>
    </row>
    <row r="28" spans="1:19">
      <c r="A28" s="28">
        <v>24</v>
      </c>
      <c r="B28" s="28"/>
      <c r="C28" s="28"/>
      <c r="D28" s="28"/>
      <c r="E28" s="28"/>
      <c r="F28" s="29"/>
      <c r="G28" s="28"/>
      <c r="H28" s="29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9"/>
    </row>
    <row r="29" spans="1:19">
      <c r="A29" s="48">
        <v>25</v>
      </c>
      <c r="B29" s="48"/>
      <c r="C29" s="48"/>
      <c r="D29" s="48"/>
      <c r="E29" s="48"/>
      <c r="F29" s="49"/>
      <c r="G29" s="48"/>
      <c r="H29" s="49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9"/>
    </row>
    <row r="30" spans="1:19">
      <c r="A30" s="28">
        <v>26</v>
      </c>
      <c r="B30" s="28"/>
      <c r="C30" s="28"/>
      <c r="D30" s="28"/>
      <c r="E30" s="28"/>
      <c r="F30" s="29"/>
      <c r="G30" s="28"/>
      <c r="H30" s="29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9"/>
    </row>
    <row r="31" spans="1:19">
      <c r="A31" s="48">
        <v>27</v>
      </c>
      <c r="B31" s="48"/>
      <c r="C31" s="48"/>
      <c r="D31" s="48"/>
      <c r="E31" s="48"/>
      <c r="F31" s="49"/>
      <c r="G31" s="48"/>
      <c r="H31" s="49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9"/>
    </row>
    <row r="32" spans="1:19">
      <c r="A32" s="28">
        <v>28</v>
      </c>
      <c r="B32" s="28"/>
      <c r="C32" s="28"/>
      <c r="D32" s="28"/>
      <c r="E32" s="28"/>
      <c r="F32" s="29"/>
      <c r="G32" s="28"/>
      <c r="H32" s="29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9"/>
    </row>
    <row r="33" spans="1:19">
      <c r="A33" s="48">
        <v>29</v>
      </c>
      <c r="B33" s="48"/>
      <c r="C33" s="48"/>
      <c r="D33" s="48"/>
      <c r="E33" s="48"/>
      <c r="F33" s="49"/>
      <c r="G33" s="48"/>
      <c r="H33" s="49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9"/>
    </row>
    <row r="34" spans="1:19">
      <c r="A34" s="28">
        <v>30</v>
      </c>
      <c r="B34" s="28"/>
      <c r="C34" s="28"/>
      <c r="D34" s="28"/>
      <c r="E34" s="28"/>
      <c r="F34" s="29"/>
      <c r="G34" s="28"/>
      <c r="H34" s="29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9"/>
    </row>
    <row r="35" spans="1:19">
      <c r="A35" s="48">
        <v>31</v>
      </c>
      <c r="B35" s="48"/>
      <c r="C35" s="48"/>
      <c r="D35" s="48"/>
      <c r="E35" s="48"/>
      <c r="F35" s="49"/>
      <c r="G35" s="48"/>
      <c r="H35" s="49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9"/>
    </row>
    <row r="36" spans="1:19">
      <c r="A36" s="28">
        <v>32</v>
      </c>
      <c r="B36" s="28"/>
      <c r="C36" s="28"/>
      <c r="D36" s="28"/>
      <c r="E36" s="28"/>
      <c r="F36" s="29"/>
      <c r="G36" s="28"/>
      <c r="H36" s="29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9"/>
    </row>
    <row r="37" spans="1:19">
      <c r="A37" s="48">
        <v>33</v>
      </c>
      <c r="B37" s="48"/>
      <c r="C37" s="48"/>
      <c r="D37" s="48"/>
      <c r="E37" s="48"/>
      <c r="F37" s="49"/>
      <c r="G37" s="48"/>
      <c r="H37" s="49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9"/>
    </row>
    <row r="38" spans="1:19">
      <c r="A38" s="28">
        <v>34</v>
      </c>
      <c r="B38" s="28"/>
      <c r="C38" s="28"/>
      <c r="D38" s="28"/>
      <c r="E38" s="28"/>
      <c r="F38" s="29"/>
      <c r="G38" s="28"/>
      <c r="H38" s="29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9"/>
    </row>
    <row r="39" spans="1:19">
      <c r="A39" s="48">
        <v>35</v>
      </c>
      <c r="B39" s="48"/>
      <c r="C39" s="48"/>
      <c r="D39" s="48"/>
      <c r="E39" s="48"/>
      <c r="F39" s="49"/>
      <c r="G39" s="48"/>
      <c r="H39" s="49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9"/>
    </row>
    <row r="40" spans="1:19">
      <c r="A40" s="28">
        <v>36</v>
      </c>
      <c r="B40" s="28"/>
      <c r="C40" s="28"/>
      <c r="D40" s="28"/>
      <c r="E40" s="28"/>
      <c r="F40" s="29"/>
      <c r="G40" s="28"/>
      <c r="H40" s="29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9"/>
    </row>
    <row r="41" spans="1:19">
      <c r="A41" s="48">
        <v>37</v>
      </c>
      <c r="B41" s="48"/>
      <c r="C41" s="48"/>
      <c r="D41" s="48"/>
      <c r="E41" s="48"/>
      <c r="F41" s="49"/>
      <c r="G41" s="48"/>
      <c r="H41" s="49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9"/>
    </row>
    <row r="42" spans="1:19">
      <c r="A42" s="28">
        <v>38</v>
      </c>
      <c r="B42" s="28"/>
      <c r="C42" s="28"/>
      <c r="D42" s="28"/>
      <c r="E42" s="28"/>
      <c r="F42" s="29"/>
      <c r="G42" s="28"/>
      <c r="H42" s="29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9"/>
    </row>
    <row r="43" spans="1:19">
      <c r="A43" s="48">
        <v>39</v>
      </c>
      <c r="B43" s="48"/>
      <c r="C43" s="48"/>
      <c r="D43" s="48"/>
      <c r="E43" s="48"/>
      <c r="F43" s="49"/>
      <c r="G43" s="48"/>
      <c r="H43" s="49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9"/>
    </row>
    <row r="44" spans="1:19">
      <c r="A44" s="28">
        <v>40</v>
      </c>
      <c r="B44" s="28"/>
      <c r="C44" s="28"/>
      <c r="D44" s="28"/>
      <c r="E44" s="28"/>
      <c r="F44" s="29"/>
      <c r="G44" s="28"/>
      <c r="H44" s="29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9"/>
    </row>
    <row r="45" spans="1:19">
      <c r="A45" s="48">
        <v>41</v>
      </c>
      <c r="B45" s="48"/>
      <c r="C45" s="48"/>
      <c r="D45" s="48"/>
      <c r="E45" s="48"/>
      <c r="F45" s="49"/>
      <c r="G45" s="48"/>
      <c r="H45" s="49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9"/>
    </row>
    <row r="46" spans="1:19">
      <c r="A46" s="28">
        <v>42</v>
      </c>
      <c r="B46" s="28"/>
      <c r="C46" s="28"/>
      <c r="D46" s="28"/>
      <c r="E46" s="28"/>
      <c r="F46" s="29"/>
      <c r="G46" s="28"/>
      <c r="H46" s="29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9"/>
    </row>
    <row r="47" spans="1:19">
      <c r="A47" s="48">
        <v>43</v>
      </c>
      <c r="B47" s="48"/>
      <c r="C47" s="48"/>
      <c r="D47" s="48"/>
      <c r="E47" s="48"/>
      <c r="F47" s="49"/>
      <c r="G47" s="48"/>
      <c r="H47" s="49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9"/>
    </row>
    <row r="48" spans="1:19">
      <c r="A48" s="28">
        <v>44</v>
      </c>
      <c r="B48" s="28"/>
      <c r="C48" s="28"/>
      <c r="D48" s="28"/>
      <c r="E48" s="28"/>
      <c r="F48" s="29"/>
      <c r="G48" s="28"/>
      <c r="H48" s="29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9"/>
    </row>
    <row r="49" spans="1:19">
      <c r="A49" s="48">
        <v>45</v>
      </c>
      <c r="B49" s="48"/>
      <c r="C49" s="48"/>
      <c r="D49" s="48"/>
      <c r="E49" s="48"/>
      <c r="F49" s="49"/>
      <c r="G49" s="48"/>
      <c r="H49" s="49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9"/>
    </row>
    <row r="50" spans="1:19">
      <c r="A50" s="28">
        <v>46</v>
      </c>
      <c r="B50" s="28"/>
      <c r="C50" s="28"/>
      <c r="D50" s="28"/>
      <c r="E50" s="28"/>
      <c r="F50" s="29"/>
      <c r="G50" s="28"/>
      <c r="H50" s="29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9"/>
    </row>
    <row r="51" spans="1:19">
      <c r="A51" s="48">
        <v>47</v>
      </c>
      <c r="B51" s="48"/>
      <c r="C51" s="48"/>
      <c r="D51" s="48"/>
      <c r="E51" s="48"/>
      <c r="F51" s="49"/>
      <c r="G51" s="48"/>
      <c r="H51" s="49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9"/>
    </row>
    <row r="52" spans="1:19">
      <c r="A52" s="28">
        <v>48</v>
      </c>
      <c r="B52" s="28"/>
      <c r="C52" s="28"/>
      <c r="D52" s="28"/>
      <c r="E52" s="28"/>
      <c r="F52" s="29"/>
      <c r="G52" s="28"/>
      <c r="H52" s="29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9"/>
    </row>
    <row r="53" spans="1:19">
      <c r="A53" s="48">
        <v>49</v>
      </c>
      <c r="B53" s="48"/>
      <c r="C53" s="48"/>
      <c r="D53" s="48"/>
      <c r="E53" s="48"/>
      <c r="F53" s="49"/>
      <c r="G53" s="48"/>
      <c r="H53" s="49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9"/>
    </row>
    <row r="54" spans="1:19">
      <c r="A54" s="28">
        <v>50</v>
      </c>
      <c r="B54" s="28"/>
      <c r="C54" s="28"/>
      <c r="D54" s="28"/>
      <c r="E54" s="28"/>
      <c r="F54" s="29"/>
      <c r="G54" s="28"/>
      <c r="H54" s="29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9"/>
    </row>
    <row r="55" spans="1:19" s="39" customFormat="1" ht="21.75" customHeight="1">
      <c r="A55" s="102" t="s">
        <v>460</v>
      </c>
      <c r="B55" s="112"/>
      <c r="C55" s="112"/>
      <c r="D55" s="7">
        <f>COUNTA(C5:C54)</f>
        <v>0</v>
      </c>
      <c r="I55" s="7" t="s">
        <v>461</v>
      </c>
      <c r="J55" s="39">
        <f t="array" ref="J55">COUNTIF(S5:S54,"Active")-SUMPRODUCT((S5:S54="Active")*(I5:I54="Yes")*(J5:J54="Yes")*(K5:K54="Yes")*(L5:L54="Yes")*(M5:M54="Yes")*(N5:N54="Yes")*(O5:O54="Yes")*(P5:P54="Yes")*(Q5:Q54="Yes")*(R5:R54="Yes"))</f>
        <v>0</v>
      </c>
      <c r="P55" s="34"/>
      <c r="Q55" s="99" t="s">
        <v>462</v>
      </c>
      <c r="R55" s="99"/>
      <c r="S55" s="39">
        <f>COUNTIF(S5:S54,"Terminated")+COUNTIF(S5:S54,"Resigned")+COUNTIF(S5:S54,"NCNS")</f>
        <v>0</v>
      </c>
    </row>
    <row r="56" spans="1:19" ht="7.5" customHeight="1"/>
    <row r="57" spans="1:19" ht="24" customHeight="1">
      <c r="A57" s="105" t="s">
        <v>463</v>
      </c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1"/>
      <c r="O57" s="101"/>
      <c r="P57" s="101"/>
    </row>
    <row r="58" spans="1:19" ht="24" customHeight="1">
      <c r="A58" s="27" t="s">
        <v>407</v>
      </c>
      <c r="B58" s="27" t="s">
        <v>408</v>
      </c>
      <c r="C58" s="27" t="s">
        <v>409</v>
      </c>
      <c r="D58" s="27" t="s">
        <v>464</v>
      </c>
      <c r="E58" s="27" t="s">
        <v>465</v>
      </c>
      <c r="F58" s="27" t="s">
        <v>466</v>
      </c>
      <c r="G58" s="27" t="s">
        <v>467</v>
      </c>
      <c r="H58" s="80" t="s">
        <v>468</v>
      </c>
      <c r="I58" s="27" t="s">
        <v>469</v>
      </c>
      <c r="J58" s="27" t="s">
        <v>470</v>
      </c>
      <c r="K58" s="27" t="s">
        <v>73</v>
      </c>
      <c r="L58" s="27" t="s">
        <v>74</v>
      </c>
      <c r="M58" s="27" t="s">
        <v>471</v>
      </c>
      <c r="N58" s="27" t="s">
        <v>76</v>
      </c>
      <c r="O58" s="27" t="s">
        <v>472</v>
      </c>
      <c r="P58" s="27" t="s">
        <v>415</v>
      </c>
    </row>
    <row r="59" spans="1:19">
      <c r="A59" s="48">
        <v>1</v>
      </c>
      <c r="B59" s="48"/>
      <c r="C59" s="48"/>
      <c r="D59" s="48"/>
      <c r="E59" s="48"/>
      <c r="F59" s="48"/>
      <c r="G59" s="49"/>
      <c r="H59" s="76"/>
      <c r="I59" s="48"/>
      <c r="J59" s="48"/>
      <c r="K59" s="48"/>
      <c r="L59" s="48"/>
      <c r="M59" s="48"/>
      <c r="N59" s="48"/>
      <c r="O59" s="48"/>
      <c r="P59" s="48"/>
    </row>
    <row r="60" spans="1:19">
      <c r="A60" s="28">
        <v>2</v>
      </c>
      <c r="B60" s="28"/>
      <c r="C60" s="28"/>
      <c r="D60" s="28"/>
      <c r="E60" s="28"/>
      <c r="F60" s="28"/>
      <c r="G60" s="29"/>
      <c r="H60" s="75"/>
      <c r="I60" s="28"/>
      <c r="J60" s="28"/>
      <c r="K60" s="28"/>
      <c r="L60" s="28"/>
      <c r="M60" s="28"/>
      <c r="N60" s="28"/>
      <c r="O60" s="28"/>
      <c r="P60" s="28"/>
    </row>
    <row r="61" spans="1:19">
      <c r="A61" s="48">
        <v>3</v>
      </c>
      <c r="B61" s="48"/>
      <c r="C61" s="48"/>
      <c r="D61" s="48"/>
      <c r="E61" s="48"/>
      <c r="F61" s="48"/>
      <c r="G61" s="49"/>
      <c r="H61" s="76"/>
      <c r="I61" s="48"/>
      <c r="J61" s="48"/>
      <c r="K61" s="48"/>
      <c r="L61" s="48"/>
      <c r="M61" s="48"/>
      <c r="N61" s="48"/>
      <c r="O61" s="48"/>
      <c r="P61" s="48"/>
    </row>
    <row r="62" spans="1:19">
      <c r="A62" s="28">
        <v>4</v>
      </c>
      <c r="B62" s="28"/>
      <c r="C62" s="28"/>
      <c r="D62" s="28"/>
      <c r="E62" s="28"/>
      <c r="F62" s="28"/>
      <c r="G62" s="29"/>
      <c r="H62" s="75"/>
      <c r="I62" s="28"/>
      <c r="J62" s="28"/>
      <c r="K62" s="28"/>
      <c r="L62" s="28"/>
      <c r="M62" s="28"/>
      <c r="N62" s="28"/>
      <c r="O62" s="28"/>
      <c r="P62" s="28"/>
    </row>
    <row r="63" spans="1:19">
      <c r="A63" s="48">
        <v>5</v>
      </c>
      <c r="B63" s="48"/>
      <c r="C63" s="48"/>
      <c r="D63" s="48"/>
      <c r="E63" s="48"/>
      <c r="F63" s="48"/>
      <c r="G63" s="49"/>
      <c r="H63" s="76"/>
      <c r="I63" s="48"/>
      <c r="J63" s="48"/>
      <c r="K63" s="48"/>
      <c r="L63" s="48"/>
      <c r="M63" s="48"/>
      <c r="N63" s="48"/>
      <c r="O63" s="48"/>
      <c r="P63" s="48"/>
    </row>
    <row r="64" spans="1:19">
      <c r="A64" s="28">
        <v>6</v>
      </c>
      <c r="B64" s="28"/>
      <c r="C64" s="28"/>
      <c r="D64" s="28"/>
      <c r="E64" s="28"/>
      <c r="F64" s="28"/>
      <c r="G64" s="29"/>
      <c r="H64" s="75"/>
      <c r="I64" s="28"/>
      <c r="J64" s="28"/>
      <c r="K64" s="28"/>
      <c r="L64" s="28"/>
      <c r="M64" s="28"/>
      <c r="N64" s="28"/>
      <c r="O64" s="28"/>
      <c r="P64" s="28"/>
    </row>
    <row r="65" spans="1:16">
      <c r="A65" s="48">
        <v>7</v>
      </c>
      <c r="B65" s="48"/>
      <c r="C65" s="48"/>
      <c r="D65" s="48"/>
      <c r="E65" s="48"/>
      <c r="F65" s="48"/>
      <c r="G65" s="49"/>
      <c r="H65" s="76"/>
      <c r="I65" s="48"/>
      <c r="J65" s="48"/>
      <c r="K65" s="48"/>
      <c r="L65" s="48"/>
      <c r="M65" s="48"/>
      <c r="N65" s="48"/>
      <c r="O65" s="48"/>
      <c r="P65" s="48"/>
    </row>
    <row r="66" spans="1:16">
      <c r="A66" s="28">
        <v>8</v>
      </c>
      <c r="B66" s="28"/>
      <c r="C66" s="28"/>
      <c r="D66" s="28"/>
      <c r="E66" s="28"/>
      <c r="F66" s="28"/>
      <c r="G66" s="29"/>
      <c r="H66" s="75"/>
      <c r="I66" s="28"/>
      <c r="J66" s="28"/>
      <c r="K66" s="28"/>
      <c r="L66" s="28"/>
      <c r="M66" s="28"/>
      <c r="N66" s="28"/>
      <c r="O66" s="28"/>
      <c r="P66" s="28"/>
    </row>
    <row r="67" spans="1:16">
      <c r="A67" s="48">
        <v>9</v>
      </c>
      <c r="B67" s="48"/>
      <c r="C67" s="48"/>
      <c r="D67" s="48"/>
      <c r="E67" s="48"/>
      <c r="F67" s="48"/>
      <c r="G67" s="49"/>
      <c r="H67" s="76"/>
      <c r="I67" s="48"/>
      <c r="J67" s="48"/>
      <c r="K67" s="48"/>
      <c r="L67" s="48"/>
      <c r="M67" s="48"/>
      <c r="N67" s="48"/>
      <c r="O67" s="48"/>
      <c r="P67" s="48"/>
    </row>
    <row r="68" spans="1:16">
      <c r="A68" s="28">
        <v>10</v>
      </c>
      <c r="B68" s="28"/>
      <c r="C68" s="28"/>
      <c r="D68" s="28"/>
      <c r="E68" s="28"/>
      <c r="F68" s="28"/>
      <c r="G68" s="29"/>
      <c r="H68" s="75"/>
      <c r="I68" s="28"/>
      <c r="J68" s="28"/>
      <c r="K68" s="28"/>
      <c r="L68" s="28"/>
      <c r="M68" s="28"/>
      <c r="N68" s="28"/>
      <c r="O68" s="28"/>
      <c r="P68" s="28"/>
    </row>
    <row r="69" spans="1:16">
      <c r="A69" s="48">
        <v>11</v>
      </c>
      <c r="B69" s="48"/>
      <c r="C69" s="48"/>
      <c r="D69" s="48"/>
      <c r="E69" s="48"/>
      <c r="F69" s="48"/>
      <c r="G69" s="49"/>
      <c r="H69" s="76"/>
      <c r="I69" s="48"/>
      <c r="J69" s="48"/>
      <c r="K69" s="48"/>
      <c r="L69" s="48"/>
      <c r="M69" s="48"/>
      <c r="N69" s="48"/>
      <c r="O69" s="48"/>
      <c r="P69" s="48"/>
    </row>
    <row r="70" spans="1:16">
      <c r="A70" s="28">
        <v>12</v>
      </c>
      <c r="B70" s="28"/>
      <c r="C70" s="28"/>
      <c r="D70" s="28"/>
      <c r="E70" s="28"/>
      <c r="F70" s="28"/>
      <c r="G70" s="29"/>
      <c r="H70" s="75"/>
      <c r="I70" s="28"/>
      <c r="J70" s="28"/>
      <c r="K70" s="28"/>
      <c r="L70" s="28"/>
      <c r="M70" s="28"/>
      <c r="N70" s="28"/>
      <c r="O70" s="28"/>
      <c r="P70" s="28"/>
    </row>
    <row r="71" spans="1:16">
      <c r="A71" s="48">
        <v>13</v>
      </c>
      <c r="B71" s="48"/>
      <c r="C71" s="48"/>
      <c r="D71" s="48"/>
      <c r="E71" s="48"/>
      <c r="F71" s="48"/>
      <c r="G71" s="49"/>
      <c r="H71" s="76"/>
      <c r="I71" s="48"/>
      <c r="J71" s="48"/>
      <c r="K71" s="48"/>
      <c r="L71" s="48"/>
      <c r="M71" s="48"/>
      <c r="N71" s="48"/>
      <c r="O71" s="48"/>
      <c r="P71" s="48"/>
    </row>
    <row r="72" spans="1:16">
      <c r="A72" s="28">
        <v>14</v>
      </c>
      <c r="B72" s="28"/>
      <c r="C72" s="28"/>
      <c r="D72" s="28"/>
      <c r="E72" s="28"/>
      <c r="F72" s="28"/>
      <c r="G72" s="29"/>
      <c r="H72" s="75"/>
      <c r="I72" s="28"/>
      <c r="J72" s="28"/>
      <c r="K72" s="28"/>
      <c r="L72" s="28"/>
      <c r="M72" s="28"/>
      <c r="N72" s="28"/>
      <c r="O72" s="28"/>
      <c r="P72" s="28"/>
    </row>
    <row r="73" spans="1:16">
      <c r="A73" s="48">
        <v>15</v>
      </c>
      <c r="B73" s="48"/>
      <c r="C73" s="48"/>
      <c r="D73" s="48"/>
      <c r="E73" s="48"/>
      <c r="F73" s="48"/>
      <c r="G73" s="49"/>
      <c r="H73" s="76"/>
      <c r="I73" s="48"/>
      <c r="J73" s="48"/>
      <c r="K73" s="48"/>
      <c r="L73" s="48"/>
      <c r="M73" s="48"/>
      <c r="N73" s="48"/>
      <c r="O73" s="48"/>
      <c r="P73" s="48"/>
    </row>
    <row r="74" spans="1:16">
      <c r="A74" s="28">
        <v>16</v>
      </c>
      <c r="B74" s="28"/>
      <c r="C74" s="28"/>
      <c r="D74" s="28"/>
      <c r="E74" s="28"/>
      <c r="F74" s="28"/>
      <c r="G74" s="29"/>
      <c r="H74" s="75"/>
      <c r="I74" s="28"/>
      <c r="J74" s="28"/>
      <c r="K74" s="28"/>
      <c r="L74" s="28"/>
      <c r="M74" s="28"/>
      <c r="N74" s="28"/>
      <c r="O74" s="28"/>
      <c r="P74" s="28"/>
    </row>
    <row r="75" spans="1:16">
      <c r="A75" s="48">
        <v>17</v>
      </c>
      <c r="B75" s="48"/>
      <c r="C75" s="48"/>
      <c r="D75" s="48"/>
      <c r="E75" s="48"/>
      <c r="F75" s="48"/>
      <c r="G75" s="49"/>
      <c r="H75" s="76"/>
      <c r="I75" s="48"/>
      <c r="J75" s="48"/>
      <c r="K75" s="48"/>
      <c r="L75" s="48"/>
      <c r="M75" s="48"/>
      <c r="N75" s="48"/>
      <c r="O75" s="48"/>
      <c r="P75" s="48"/>
    </row>
    <row r="76" spans="1:16">
      <c r="A76" s="28">
        <v>18</v>
      </c>
      <c r="B76" s="28"/>
      <c r="C76" s="28"/>
      <c r="D76" s="28"/>
      <c r="E76" s="28"/>
      <c r="F76" s="28"/>
      <c r="G76" s="29"/>
      <c r="H76" s="75"/>
      <c r="I76" s="28"/>
      <c r="J76" s="28"/>
      <c r="K76" s="28"/>
      <c r="L76" s="28"/>
      <c r="M76" s="28"/>
      <c r="N76" s="28"/>
      <c r="O76" s="28"/>
      <c r="P76" s="28"/>
    </row>
    <row r="77" spans="1:16">
      <c r="A77" s="48">
        <v>19</v>
      </c>
      <c r="B77" s="48"/>
      <c r="C77" s="48"/>
      <c r="D77" s="48"/>
      <c r="E77" s="48"/>
      <c r="F77" s="48"/>
      <c r="G77" s="49"/>
      <c r="H77" s="76"/>
      <c r="I77" s="48"/>
      <c r="J77" s="48"/>
      <c r="K77" s="48"/>
      <c r="L77" s="48"/>
      <c r="M77" s="48"/>
      <c r="N77" s="48"/>
      <c r="O77" s="48"/>
      <c r="P77" s="48"/>
    </row>
    <row r="78" spans="1:16">
      <c r="A78" s="28">
        <v>20</v>
      </c>
      <c r="B78" s="28"/>
      <c r="C78" s="28"/>
      <c r="D78" s="28"/>
      <c r="E78" s="28"/>
      <c r="F78" s="28"/>
      <c r="G78" s="29"/>
      <c r="H78" s="75"/>
      <c r="I78" s="28"/>
      <c r="J78" s="28"/>
      <c r="K78" s="28"/>
      <c r="L78" s="28"/>
      <c r="M78" s="28"/>
      <c r="N78" s="28"/>
      <c r="O78" s="28"/>
      <c r="P78" s="28"/>
    </row>
    <row r="79" spans="1:16">
      <c r="A79" s="48">
        <v>21</v>
      </c>
      <c r="B79" s="48"/>
      <c r="C79" s="48"/>
      <c r="D79" s="48"/>
      <c r="E79" s="48"/>
      <c r="F79" s="48"/>
      <c r="G79" s="49"/>
      <c r="H79" s="76"/>
      <c r="I79" s="48"/>
      <c r="J79" s="48"/>
      <c r="K79" s="48"/>
      <c r="L79" s="48"/>
      <c r="M79" s="48"/>
      <c r="N79" s="48"/>
      <c r="O79" s="48"/>
      <c r="P79" s="48"/>
    </row>
    <row r="80" spans="1:16">
      <c r="A80" s="28">
        <v>22</v>
      </c>
      <c r="B80" s="28"/>
      <c r="C80" s="28"/>
      <c r="D80" s="28"/>
      <c r="E80" s="28"/>
      <c r="F80" s="28"/>
      <c r="G80" s="29"/>
      <c r="H80" s="75"/>
      <c r="I80" s="28"/>
      <c r="J80" s="28"/>
      <c r="K80" s="28"/>
      <c r="L80" s="28"/>
      <c r="M80" s="28"/>
      <c r="N80" s="28"/>
      <c r="O80" s="28"/>
      <c r="P80" s="28"/>
    </row>
    <row r="81" spans="1:16">
      <c r="A81" s="48">
        <v>23</v>
      </c>
      <c r="B81" s="48"/>
      <c r="C81" s="48"/>
      <c r="D81" s="48"/>
      <c r="E81" s="48"/>
      <c r="F81" s="48"/>
      <c r="G81" s="49"/>
      <c r="H81" s="76"/>
      <c r="I81" s="48"/>
      <c r="J81" s="48"/>
      <c r="K81" s="48"/>
      <c r="L81" s="48"/>
      <c r="M81" s="48"/>
      <c r="N81" s="48"/>
      <c r="O81" s="48"/>
      <c r="P81" s="48"/>
    </row>
    <row r="82" spans="1:16">
      <c r="A82" s="28">
        <v>24</v>
      </c>
      <c r="B82" s="28"/>
      <c r="C82" s="28"/>
      <c r="D82" s="28"/>
      <c r="E82" s="28"/>
      <c r="F82" s="28"/>
      <c r="G82" s="29"/>
      <c r="H82" s="75"/>
      <c r="I82" s="28"/>
      <c r="J82" s="28"/>
      <c r="K82" s="28"/>
      <c r="L82" s="28"/>
      <c r="M82" s="28"/>
      <c r="N82" s="28"/>
      <c r="O82" s="28"/>
      <c r="P82" s="28"/>
    </row>
    <row r="83" spans="1:16">
      <c r="A83" s="48">
        <v>25</v>
      </c>
      <c r="B83" s="48"/>
      <c r="C83" s="48"/>
      <c r="D83" s="48"/>
      <c r="E83" s="48"/>
      <c r="F83" s="48"/>
      <c r="G83" s="49"/>
      <c r="H83" s="76"/>
      <c r="I83" s="48"/>
      <c r="J83" s="48"/>
      <c r="K83" s="48"/>
      <c r="L83" s="48"/>
      <c r="M83" s="48"/>
      <c r="N83" s="48"/>
      <c r="O83" s="48"/>
      <c r="P83" s="48"/>
    </row>
    <row r="84" spans="1:16">
      <c r="A84" s="28">
        <v>26</v>
      </c>
      <c r="B84" s="28"/>
      <c r="C84" s="28"/>
      <c r="D84" s="28"/>
      <c r="E84" s="28"/>
      <c r="F84" s="28"/>
      <c r="G84" s="29"/>
      <c r="H84" s="75"/>
      <c r="I84" s="28"/>
      <c r="J84" s="28"/>
      <c r="K84" s="28"/>
      <c r="L84" s="28"/>
      <c r="M84" s="28"/>
      <c r="N84" s="28"/>
      <c r="O84" s="28"/>
      <c r="P84" s="28"/>
    </row>
    <row r="85" spans="1:16">
      <c r="A85" s="48">
        <v>27</v>
      </c>
      <c r="B85" s="48"/>
      <c r="C85" s="48"/>
      <c r="D85" s="48"/>
      <c r="E85" s="48"/>
      <c r="F85" s="48"/>
      <c r="G85" s="49"/>
      <c r="H85" s="76"/>
      <c r="I85" s="48"/>
      <c r="J85" s="48"/>
      <c r="K85" s="48"/>
      <c r="L85" s="48"/>
      <c r="M85" s="48"/>
      <c r="N85" s="48"/>
      <c r="O85" s="48"/>
      <c r="P85" s="48"/>
    </row>
    <row r="86" spans="1:16">
      <c r="A86" s="28">
        <v>28</v>
      </c>
      <c r="B86" s="28"/>
      <c r="C86" s="28"/>
      <c r="D86" s="28"/>
      <c r="E86" s="28"/>
      <c r="F86" s="28"/>
      <c r="G86" s="29"/>
      <c r="H86" s="75"/>
      <c r="I86" s="28"/>
      <c r="J86" s="28"/>
      <c r="K86" s="28"/>
      <c r="L86" s="28"/>
      <c r="M86" s="28"/>
      <c r="N86" s="28"/>
      <c r="O86" s="28"/>
      <c r="P86" s="28"/>
    </row>
    <row r="87" spans="1:16">
      <c r="A87" s="48">
        <v>29</v>
      </c>
      <c r="B87" s="48"/>
      <c r="C87" s="48"/>
      <c r="D87" s="48"/>
      <c r="E87" s="48"/>
      <c r="F87" s="48"/>
      <c r="G87" s="49"/>
      <c r="H87" s="76"/>
      <c r="I87" s="48"/>
      <c r="J87" s="48"/>
      <c r="K87" s="48"/>
      <c r="L87" s="48"/>
      <c r="M87" s="48"/>
      <c r="N87" s="48"/>
      <c r="O87" s="48"/>
      <c r="P87" s="48"/>
    </row>
    <row r="88" spans="1:16">
      <c r="A88" s="28">
        <v>30</v>
      </c>
      <c r="B88" s="28"/>
      <c r="C88" s="28"/>
      <c r="D88" s="28"/>
      <c r="E88" s="28"/>
      <c r="F88" s="28"/>
      <c r="G88" s="29"/>
      <c r="H88" s="75"/>
      <c r="I88" s="28"/>
      <c r="J88" s="28"/>
      <c r="K88" s="28"/>
      <c r="L88" s="28"/>
      <c r="M88" s="28"/>
      <c r="N88" s="28"/>
      <c r="O88" s="28"/>
      <c r="P88" s="28"/>
    </row>
    <row r="89" spans="1:16">
      <c r="A89" s="48">
        <v>31</v>
      </c>
      <c r="B89" s="48"/>
      <c r="C89" s="48"/>
      <c r="D89" s="48"/>
      <c r="E89" s="48"/>
      <c r="F89" s="48"/>
      <c r="G89" s="49"/>
      <c r="H89" s="76"/>
      <c r="I89" s="48"/>
      <c r="J89" s="48"/>
      <c r="K89" s="48"/>
      <c r="L89" s="48"/>
      <c r="M89" s="48"/>
      <c r="N89" s="48"/>
      <c r="O89" s="48"/>
      <c r="P89" s="48"/>
    </row>
    <row r="90" spans="1:16">
      <c r="A90" s="28">
        <v>32</v>
      </c>
      <c r="B90" s="28"/>
      <c r="C90" s="28"/>
      <c r="D90" s="28"/>
      <c r="E90" s="28"/>
      <c r="F90" s="28"/>
      <c r="G90" s="29"/>
      <c r="H90" s="75"/>
      <c r="I90" s="28"/>
      <c r="J90" s="28"/>
      <c r="K90" s="28"/>
      <c r="L90" s="28"/>
      <c r="M90" s="28"/>
      <c r="N90" s="28"/>
      <c r="O90" s="28"/>
      <c r="P90" s="28"/>
    </row>
    <row r="91" spans="1:16">
      <c r="A91" s="48">
        <v>33</v>
      </c>
      <c r="B91" s="48"/>
      <c r="C91" s="48"/>
      <c r="D91" s="48"/>
      <c r="E91" s="48"/>
      <c r="F91" s="48"/>
      <c r="G91" s="49"/>
      <c r="H91" s="76"/>
      <c r="I91" s="48"/>
      <c r="J91" s="48"/>
      <c r="K91" s="48"/>
      <c r="L91" s="48"/>
      <c r="M91" s="48"/>
      <c r="N91" s="48"/>
      <c r="O91" s="48"/>
      <c r="P91" s="48"/>
    </row>
    <row r="92" spans="1:16">
      <c r="A92" s="28">
        <v>34</v>
      </c>
      <c r="B92" s="28"/>
      <c r="C92" s="28"/>
      <c r="D92" s="28"/>
      <c r="E92" s="28"/>
      <c r="F92" s="28"/>
      <c r="G92" s="29"/>
      <c r="H92" s="75"/>
      <c r="I92" s="28"/>
      <c r="J92" s="28"/>
      <c r="K92" s="28"/>
      <c r="L92" s="28"/>
      <c r="M92" s="28"/>
      <c r="N92" s="28"/>
      <c r="O92" s="28"/>
      <c r="P92" s="28"/>
    </row>
    <row r="93" spans="1:16">
      <c r="A93" s="48">
        <v>35</v>
      </c>
      <c r="B93" s="48"/>
      <c r="C93" s="48"/>
      <c r="D93" s="48"/>
      <c r="E93" s="48"/>
      <c r="F93" s="48"/>
      <c r="G93" s="49"/>
      <c r="H93" s="76"/>
      <c r="I93" s="48"/>
      <c r="J93" s="48"/>
      <c r="K93" s="48"/>
      <c r="L93" s="48"/>
      <c r="M93" s="48"/>
      <c r="N93" s="48"/>
      <c r="O93" s="48"/>
      <c r="P93" s="48"/>
    </row>
    <row r="94" spans="1:16">
      <c r="A94" s="28">
        <v>36</v>
      </c>
      <c r="B94" s="28"/>
      <c r="C94" s="28"/>
      <c r="D94" s="28"/>
      <c r="E94" s="28"/>
      <c r="F94" s="28"/>
      <c r="G94" s="29"/>
      <c r="H94" s="75"/>
      <c r="I94" s="28"/>
      <c r="J94" s="28"/>
      <c r="K94" s="28"/>
      <c r="L94" s="28"/>
      <c r="M94" s="28"/>
      <c r="N94" s="28"/>
      <c r="O94" s="28"/>
      <c r="P94" s="28"/>
    </row>
    <row r="95" spans="1:16">
      <c r="A95" s="48">
        <v>37</v>
      </c>
      <c r="B95" s="48"/>
      <c r="C95" s="48"/>
      <c r="D95" s="48"/>
      <c r="E95" s="48"/>
      <c r="F95" s="48"/>
      <c r="G95" s="49"/>
      <c r="H95" s="76"/>
      <c r="I95" s="48"/>
      <c r="J95" s="48"/>
      <c r="K95" s="48"/>
      <c r="L95" s="48"/>
      <c r="M95" s="48"/>
      <c r="N95" s="48"/>
      <c r="O95" s="48"/>
      <c r="P95" s="48"/>
    </row>
    <row r="96" spans="1:16">
      <c r="A96" s="28">
        <v>38</v>
      </c>
      <c r="B96" s="28"/>
      <c r="C96" s="28"/>
      <c r="D96" s="28"/>
      <c r="E96" s="28"/>
      <c r="F96" s="28"/>
      <c r="G96" s="29"/>
      <c r="H96" s="75"/>
      <c r="I96" s="28"/>
      <c r="J96" s="28"/>
      <c r="K96" s="28"/>
      <c r="L96" s="28"/>
      <c r="M96" s="28"/>
      <c r="N96" s="28"/>
      <c r="O96" s="28"/>
      <c r="P96" s="28"/>
    </row>
    <row r="97" spans="1:16">
      <c r="A97" s="48">
        <v>39</v>
      </c>
      <c r="B97" s="48"/>
      <c r="C97" s="48"/>
      <c r="D97" s="48"/>
      <c r="E97" s="48"/>
      <c r="F97" s="48"/>
      <c r="G97" s="49"/>
      <c r="H97" s="76"/>
      <c r="I97" s="48"/>
      <c r="J97" s="48"/>
      <c r="K97" s="48"/>
      <c r="L97" s="48"/>
      <c r="M97" s="48"/>
      <c r="N97" s="48"/>
      <c r="O97" s="48"/>
      <c r="P97" s="48"/>
    </row>
    <row r="98" spans="1:16">
      <c r="A98" s="28">
        <v>40</v>
      </c>
      <c r="B98" s="28"/>
      <c r="C98" s="28"/>
      <c r="D98" s="28"/>
      <c r="E98" s="28"/>
      <c r="F98" s="28"/>
      <c r="G98" s="29"/>
      <c r="H98" s="75"/>
      <c r="I98" s="28"/>
      <c r="J98" s="28"/>
      <c r="K98" s="28"/>
      <c r="L98" s="28"/>
      <c r="M98" s="28"/>
      <c r="N98" s="28"/>
      <c r="O98" s="28"/>
      <c r="P98" s="28"/>
    </row>
    <row r="99" spans="1:16">
      <c r="A99" s="48">
        <v>41</v>
      </c>
      <c r="B99" s="48"/>
      <c r="C99" s="48"/>
      <c r="D99" s="48"/>
      <c r="E99" s="48"/>
      <c r="F99" s="48"/>
      <c r="G99" s="49"/>
      <c r="H99" s="76"/>
      <c r="I99" s="48"/>
      <c r="J99" s="48"/>
      <c r="K99" s="48"/>
      <c r="L99" s="48"/>
      <c r="M99" s="48"/>
      <c r="N99" s="48"/>
      <c r="O99" s="48"/>
      <c r="P99" s="48"/>
    </row>
    <row r="100" spans="1:16">
      <c r="A100" s="28">
        <v>42</v>
      </c>
      <c r="B100" s="28"/>
      <c r="C100" s="28"/>
      <c r="D100" s="28"/>
      <c r="E100" s="28"/>
      <c r="F100" s="28"/>
      <c r="G100" s="29"/>
      <c r="H100" s="75"/>
      <c r="I100" s="28"/>
      <c r="J100" s="28"/>
      <c r="K100" s="28"/>
      <c r="L100" s="28"/>
      <c r="M100" s="28"/>
      <c r="N100" s="28"/>
      <c r="O100" s="28"/>
      <c r="P100" s="28"/>
    </row>
    <row r="101" spans="1:16">
      <c r="A101" s="48">
        <v>43</v>
      </c>
      <c r="B101" s="48"/>
      <c r="C101" s="48"/>
      <c r="D101" s="48"/>
      <c r="E101" s="48"/>
      <c r="F101" s="48"/>
      <c r="G101" s="49"/>
      <c r="H101" s="76"/>
      <c r="I101" s="48"/>
      <c r="J101" s="48"/>
      <c r="K101" s="48"/>
      <c r="L101" s="48"/>
      <c r="M101" s="48"/>
      <c r="N101" s="48"/>
      <c r="O101" s="48"/>
      <c r="P101" s="48"/>
    </row>
    <row r="102" spans="1:16">
      <c r="A102" s="28">
        <v>44</v>
      </c>
      <c r="B102" s="28"/>
      <c r="C102" s="28"/>
      <c r="D102" s="28"/>
      <c r="E102" s="28"/>
      <c r="F102" s="28"/>
      <c r="G102" s="29"/>
      <c r="H102" s="75"/>
      <c r="I102" s="28"/>
      <c r="J102" s="28"/>
      <c r="K102" s="28"/>
      <c r="L102" s="28"/>
      <c r="M102" s="28"/>
      <c r="N102" s="28"/>
      <c r="O102" s="28"/>
      <c r="P102" s="28"/>
    </row>
    <row r="103" spans="1:16">
      <c r="A103" s="48">
        <v>45</v>
      </c>
      <c r="B103" s="48"/>
      <c r="C103" s="48"/>
      <c r="D103" s="48"/>
      <c r="E103" s="48"/>
      <c r="F103" s="48"/>
      <c r="G103" s="49"/>
      <c r="H103" s="76"/>
      <c r="I103" s="48"/>
      <c r="J103" s="48"/>
      <c r="K103" s="48"/>
      <c r="L103" s="48"/>
      <c r="M103" s="48"/>
      <c r="N103" s="48"/>
      <c r="O103" s="48"/>
      <c r="P103" s="48"/>
    </row>
    <row r="104" spans="1:16">
      <c r="A104" s="28">
        <v>46</v>
      </c>
      <c r="B104" s="28"/>
      <c r="C104" s="28"/>
      <c r="D104" s="28"/>
      <c r="E104" s="28"/>
      <c r="F104" s="28"/>
      <c r="G104" s="29"/>
      <c r="H104" s="75"/>
      <c r="I104" s="28"/>
      <c r="J104" s="28"/>
      <c r="K104" s="28"/>
      <c r="L104" s="28"/>
      <c r="M104" s="28"/>
      <c r="N104" s="28"/>
      <c r="O104" s="28"/>
      <c r="P104" s="28"/>
    </row>
    <row r="105" spans="1:16">
      <c r="A105" s="48">
        <v>47</v>
      </c>
      <c r="B105" s="48"/>
      <c r="C105" s="48"/>
      <c r="D105" s="48"/>
      <c r="E105" s="48"/>
      <c r="F105" s="48"/>
      <c r="G105" s="49"/>
      <c r="H105" s="76"/>
      <c r="I105" s="48"/>
      <c r="J105" s="48"/>
      <c r="K105" s="48"/>
      <c r="L105" s="48"/>
      <c r="M105" s="48"/>
      <c r="N105" s="48"/>
      <c r="O105" s="48"/>
      <c r="P105" s="48"/>
    </row>
    <row r="106" spans="1:16">
      <c r="A106" s="28">
        <v>48</v>
      </c>
      <c r="B106" s="28"/>
      <c r="C106" s="28"/>
      <c r="D106" s="28"/>
      <c r="E106" s="28"/>
      <c r="F106" s="28"/>
      <c r="G106" s="29"/>
      <c r="H106" s="75"/>
      <c r="I106" s="28"/>
      <c r="J106" s="28"/>
      <c r="K106" s="28"/>
      <c r="L106" s="28"/>
      <c r="M106" s="28"/>
      <c r="N106" s="28"/>
      <c r="O106" s="28"/>
      <c r="P106" s="28"/>
    </row>
    <row r="107" spans="1:16">
      <c r="A107" s="48">
        <v>49</v>
      </c>
      <c r="B107" s="48"/>
      <c r="C107" s="48"/>
      <c r="D107" s="48"/>
      <c r="E107" s="48"/>
      <c r="F107" s="48"/>
      <c r="G107" s="49"/>
      <c r="H107" s="76"/>
      <c r="I107" s="48"/>
      <c r="J107" s="48"/>
      <c r="K107" s="48"/>
      <c r="L107" s="48"/>
      <c r="M107" s="48"/>
      <c r="N107" s="48"/>
      <c r="O107" s="48"/>
      <c r="P107" s="48"/>
    </row>
    <row r="108" spans="1:16">
      <c r="A108" s="28">
        <v>50</v>
      </c>
      <c r="B108" s="28"/>
      <c r="C108" s="28"/>
      <c r="D108" s="28"/>
      <c r="E108" s="28"/>
      <c r="F108" s="28"/>
      <c r="G108" s="29"/>
      <c r="H108" s="75"/>
      <c r="I108" s="28"/>
      <c r="J108" s="28"/>
      <c r="K108" s="28"/>
      <c r="L108" s="28"/>
      <c r="M108" s="28"/>
      <c r="N108" s="28"/>
      <c r="O108" s="28"/>
      <c r="P108" s="28"/>
    </row>
    <row r="109" spans="1:16" s="39" customFormat="1" ht="12.75" customHeight="1">
      <c r="A109" s="102" t="s">
        <v>498</v>
      </c>
      <c r="B109" s="112"/>
      <c r="C109" s="112"/>
      <c r="D109" s="7">
        <f>COUNTA(C59:C108)</f>
        <v>0</v>
      </c>
    </row>
  </sheetData>
  <mergeCells count="7">
    <mergeCell ref="Q55:R55"/>
    <mergeCell ref="A1:S1"/>
    <mergeCell ref="A109:C109"/>
    <mergeCell ref="A3:S3"/>
    <mergeCell ref="A55:C55"/>
    <mergeCell ref="L2:N2"/>
    <mergeCell ref="A57:P57"/>
  </mergeCells>
  <conditionalFormatting sqref="A5:S54">
    <cfRule type="expression" dxfId="47" priority="2">
      <formula>$S5="Terminated"</formula>
    </cfRule>
    <cfRule type="expression" dxfId="46" priority="3">
      <formula>$S5="Resigned"</formula>
    </cfRule>
    <cfRule type="expression" dxfId="45" priority="4">
      <formula>$S5="NCNS"</formula>
    </cfRule>
    <cfRule type="expression" dxfId="44" priority="5">
      <formula>$S5="Suspended"</formula>
    </cfRule>
  </conditionalFormatting>
  <conditionalFormatting sqref="A59:O108">
    <cfRule type="expression" dxfId="43" priority="6">
      <formula>$O59="QUIT"</formula>
    </cfRule>
    <cfRule type="expression" dxfId="42" priority="7">
      <formula>$O59="Terminated"</formula>
    </cfRule>
    <cfRule type="expression" dxfId="41" priority="8">
      <formula>$O59="Resigned"</formula>
    </cfRule>
    <cfRule type="expression" dxfId="40" priority="9">
      <formula>$O59="NCNS"</formula>
    </cfRule>
  </conditionalFormatting>
  <dataValidations count="5">
    <dataValidation type="list" sqref="E5:E54" xr:uid="{00000000-0002-0000-0800-000000000000}">
      <formula1>"Yes,No,Pending"</formula1>
    </dataValidation>
    <dataValidation type="list" sqref="B5:B54 B59:B108" xr:uid="{00000000-0002-0000-0800-000001000000}">
      <formula1>"Residential,Administration,Finance,Facilities,HR,ELC,LLL,Prof. Services,Behavioral,IT,Other"</formula1>
    </dataValidation>
    <dataValidation type="list" sqref="S5:S54" xr:uid="{00000000-0002-0000-0800-000002000000}">
      <formula1>"Active,Terminated,Resigned,NCNS,Suspended"</formula1>
    </dataValidation>
    <dataValidation type="list" sqref="I5:R54 I59:O108" xr:uid="{00000000-0002-0000-0800-000003000000}">
      <formula1>"Yes,No,N/A,In Progress"</formula1>
    </dataValidation>
    <dataValidation type="list" sqref="P59:P108" xr:uid="{00000000-0002-0000-0800-000004000000}">
      <formula1>"Active,QUIT,Terminated,Resigned,NCNS,Transferred"</formula1>
    </dataValidation>
  </dataValidations>
  <hyperlinks>
    <hyperlink ref="A2" location="Dashboard!A1" display="← Dashboard" xr:uid="{00000000-0004-0000-0800-000000000000}"/>
  </hyperlinks>
  <pageMargins left="0.75" right="0.75" top="1" bottom="1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2C5282"/>
  </sheetPr>
  <dimension ref="A1:S109"/>
  <sheetViews>
    <sheetView zoomScale="80" zoomScaleNormal="80" workbookViewId="0">
      <pane ySplit="4" topLeftCell="A41" activePane="bottomLeft" state="frozen"/>
      <selection pane="bottomLeft" activeCell="F16" sqref="F16"/>
      <selection activeCell="F16" sqref="F16"/>
    </sheetView>
  </sheetViews>
  <sheetFormatPr defaultColWidth="8.7109375" defaultRowHeight="14.25"/>
  <cols>
    <col min="1" max="1" width="4" style="32" customWidth="1"/>
    <col min="2" max="2" width="15" style="32" customWidth="1"/>
    <col min="3" max="3" width="13" style="32" customWidth="1"/>
    <col min="4" max="4" width="17" style="32" customWidth="1"/>
    <col min="5" max="5" width="11" style="32" customWidth="1"/>
    <col min="6" max="6" width="14" style="32" customWidth="1"/>
    <col min="7" max="7" width="22" style="32" customWidth="1"/>
    <col min="8" max="8" width="12" style="32" customWidth="1"/>
    <col min="9" max="17" width="11" style="32" customWidth="1"/>
    <col min="18" max="19" width="10" style="32" customWidth="1"/>
    <col min="20" max="20" width="8.7109375" style="32" customWidth="1"/>
    <col min="21" max="16384" width="8.7109375" style="32"/>
  </cols>
  <sheetData>
    <row r="1" spans="1:19" ht="33.75" customHeight="1">
      <c r="A1" s="100" t="s">
        <v>665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</row>
    <row r="2" spans="1:19" s="1" customFormat="1" ht="18" customHeight="1">
      <c r="A2" s="33" t="s">
        <v>79</v>
      </c>
      <c r="E2" s="35" t="s">
        <v>402</v>
      </c>
      <c r="F2" s="35">
        <f>D55</f>
        <v>0</v>
      </c>
      <c r="G2" s="36" t="s">
        <v>403</v>
      </c>
      <c r="H2" s="36">
        <f>S55</f>
        <v>0</v>
      </c>
      <c r="I2" s="37" t="s">
        <v>404</v>
      </c>
      <c r="J2" s="37">
        <f>D109</f>
        <v>0</v>
      </c>
      <c r="L2" s="104" t="s">
        <v>405</v>
      </c>
      <c r="M2" s="87"/>
      <c r="N2" s="87"/>
      <c r="O2" s="38" t="str">
        <f t="array" ref="O2">IF(COUNTIF(S5:S54,"Active")&gt;0,SUMPRODUCT((S5:S54="Active")*(I5:R54="Yes"))/SUMPRODUCT((S5:S54="Active")*(I5:R54&lt;&gt;"N/A")*(I5:R54&lt;&gt;"")),"—")</f>
        <v>—</v>
      </c>
    </row>
    <row r="3" spans="1:19" ht="24" customHeight="1">
      <c r="A3" s="103" t="s">
        <v>406</v>
      </c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</row>
    <row r="4" spans="1:19" ht="27.75" customHeight="1">
      <c r="A4" s="27" t="s">
        <v>407</v>
      </c>
      <c r="B4" s="27" t="s">
        <v>408</v>
      </c>
      <c r="C4" s="27" t="s">
        <v>409</v>
      </c>
      <c r="D4" s="27" t="s">
        <v>410</v>
      </c>
      <c r="E4" s="27" t="s">
        <v>411</v>
      </c>
      <c r="F4" s="27" t="s">
        <v>412</v>
      </c>
      <c r="G4" s="27" t="s">
        <v>413</v>
      </c>
      <c r="H4" s="27" t="s">
        <v>414</v>
      </c>
      <c r="I4" s="27" t="s">
        <v>357</v>
      </c>
      <c r="J4" s="27" t="s">
        <v>69</v>
      </c>
      <c r="K4" s="27" t="s">
        <v>360</v>
      </c>
      <c r="L4" s="27" t="s">
        <v>96</v>
      </c>
      <c r="M4" s="27" t="s">
        <v>72</v>
      </c>
      <c r="N4" s="27" t="s">
        <v>73</v>
      </c>
      <c r="O4" s="27" t="s">
        <v>74</v>
      </c>
      <c r="P4" s="27" t="s">
        <v>75</v>
      </c>
      <c r="Q4" s="27" t="s">
        <v>76</v>
      </c>
      <c r="R4" s="27" t="s">
        <v>77</v>
      </c>
      <c r="S4" s="27" t="s">
        <v>415</v>
      </c>
    </row>
    <row r="5" spans="1:19">
      <c r="A5" s="48">
        <v>1</v>
      </c>
      <c r="B5" s="48"/>
      <c r="C5" s="48"/>
      <c r="D5" s="48"/>
      <c r="E5" s="48"/>
      <c r="F5" s="49"/>
      <c r="G5" s="48"/>
      <c r="H5" s="49"/>
      <c r="I5" s="48"/>
      <c r="J5" s="48"/>
      <c r="K5" s="48"/>
      <c r="L5" s="48"/>
      <c r="M5" s="48"/>
      <c r="N5" s="48"/>
      <c r="O5" s="48"/>
      <c r="P5" s="48"/>
      <c r="Q5" s="48"/>
      <c r="R5" s="48"/>
      <c r="S5" s="49"/>
    </row>
    <row r="6" spans="1:19">
      <c r="A6" s="28">
        <v>2</v>
      </c>
      <c r="B6" s="28"/>
      <c r="C6" s="28"/>
      <c r="D6" s="28"/>
      <c r="E6" s="28"/>
      <c r="F6" s="29"/>
      <c r="G6" s="28"/>
      <c r="H6" s="29"/>
      <c r="I6" s="28"/>
      <c r="J6" s="28"/>
      <c r="K6" s="28"/>
      <c r="L6" s="28"/>
      <c r="M6" s="28"/>
      <c r="N6" s="28"/>
      <c r="O6" s="28"/>
      <c r="P6" s="28"/>
      <c r="Q6" s="28"/>
      <c r="R6" s="28"/>
      <c r="S6" s="29"/>
    </row>
    <row r="7" spans="1:19">
      <c r="A7" s="48">
        <v>3</v>
      </c>
      <c r="B7" s="48"/>
      <c r="C7" s="48"/>
      <c r="D7" s="48"/>
      <c r="E7" s="48"/>
      <c r="F7" s="49"/>
      <c r="G7" s="48"/>
      <c r="H7" s="49"/>
      <c r="I7" s="48"/>
      <c r="J7" s="48"/>
      <c r="K7" s="48"/>
      <c r="L7" s="48"/>
      <c r="M7" s="48"/>
      <c r="N7" s="48"/>
      <c r="O7" s="48"/>
      <c r="P7" s="48"/>
      <c r="Q7" s="48"/>
      <c r="R7" s="48"/>
      <c r="S7" s="49"/>
    </row>
    <row r="8" spans="1:19">
      <c r="A8" s="28">
        <v>4</v>
      </c>
      <c r="B8" s="28"/>
      <c r="C8" s="28"/>
      <c r="D8" s="28"/>
      <c r="E8" s="28"/>
      <c r="F8" s="29"/>
      <c r="G8" s="28"/>
      <c r="H8" s="29"/>
      <c r="I8" s="28"/>
      <c r="J8" s="28"/>
      <c r="K8" s="28"/>
      <c r="L8" s="28"/>
      <c r="M8" s="28"/>
      <c r="N8" s="28"/>
      <c r="O8" s="28"/>
      <c r="P8" s="28"/>
      <c r="Q8" s="28"/>
      <c r="R8" s="28"/>
      <c r="S8" s="29"/>
    </row>
    <row r="9" spans="1:19">
      <c r="A9" s="48">
        <v>5</v>
      </c>
      <c r="B9" s="48"/>
      <c r="C9" s="48"/>
      <c r="D9" s="48"/>
      <c r="E9" s="48"/>
      <c r="F9" s="49"/>
      <c r="G9" s="48"/>
      <c r="H9" s="49"/>
      <c r="I9" s="48"/>
      <c r="J9" s="48"/>
      <c r="K9" s="48"/>
      <c r="L9" s="48"/>
      <c r="M9" s="48"/>
      <c r="N9" s="48"/>
      <c r="O9" s="48"/>
      <c r="P9" s="48"/>
      <c r="Q9" s="48"/>
      <c r="R9" s="48"/>
      <c r="S9" s="49"/>
    </row>
    <row r="10" spans="1:19">
      <c r="A10" s="28">
        <v>6</v>
      </c>
      <c r="B10" s="28"/>
      <c r="C10" s="28"/>
      <c r="D10" s="28"/>
      <c r="E10" s="28"/>
      <c r="F10" s="29"/>
      <c r="G10" s="28"/>
      <c r="H10" s="29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9"/>
    </row>
    <row r="11" spans="1:19">
      <c r="A11" s="48">
        <v>7</v>
      </c>
      <c r="B11" s="48"/>
      <c r="C11" s="48"/>
      <c r="D11" s="48"/>
      <c r="E11" s="48"/>
      <c r="F11" s="49"/>
      <c r="G11" s="48"/>
      <c r="H11" s="49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9"/>
    </row>
    <row r="12" spans="1:19">
      <c r="A12" s="28">
        <v>8</v>
      </c>
      <c r="B12" s="28"/>
      <c r="C12" s="28"/>
      <c r="D12" s="28"/>
      <c r="E12" s="28"/>
      <c r="F12" s="29"/>
      <c r="G12" s="28"/>
      <c r="H12" s="29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9"/>
    </row>
    <row r="13" spans="1:19">
      <c r="A13" s="48">
        <v>9</v>
      </c>
      <c r="B13" s="48"/>
      <c r="C13" s="48"/>
      <c r="D13" s="48"/>
      <c r="E13" s="48"/>
      <c r="F13" s="49"/>
      <c r="G13" s="48"/>
      <c r="H13" s="49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9"/>
    </row>
    <row r="14" spans="1:19">
      <c r="A14" s="28">
        <v>10</v>
      </c>
      <c r="B14" s="28"/>
      <c r="C14" s="28"/>
      <c r="D14" s="28"/>
      <c r="E14" s="28"/>
      <c r="F14" s="29"/>
      <c r="G14" s="28"/>
      <c r="H14" s="29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9"/>
    </row>
    <row r="15" spans="1:19">
      <c r="A15" s="48">
        <v>11</v>
      </c>
      <c r="B15" s="48"/>
      <c r="C15" s="48"/>
      <c r="D15" s="48"/>
      <c r="E15" s="48"/>
      <c r="F15" s="49"/>
      <c r="G15" s="48"/>
      <c r="H15" s="49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9"/>
    </row>
    <row r="16" spans="1:19">
      <c r="A16" s="28">
        <v>12</v>
      </c>
      <c r="B16" s="28"/>
      <c r="C16" s="28"/>
      <c r="D16" s="28"/>
      <c r="E16" s="28"/>
      <c r="F16" s="29"/>
      <c r="G16" s="28"/>
      <c r="H16" s="29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9"/>
    </row>
    <row r="17" spans="1:19">
      <c r="A17" s="48">
        <v>13</v>
      </c>
      <c r="B17" s="48"/>
      <c r="C17" s="48"/>
      <c r="D17" s="48"/>
      <c r="E17" s="48"/>
      <c r="F17" s="49"/>
      <c r="G17" s="48"/>
      <c r="H17" s="49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9"/>
    </row>
    <row r="18" spans="1:19">
      <c r="A18" s="28">
        <v>14</v>
      </c>
      <c r="B18" s="28"/>
      <c r="C18" s="28"/>
      <c r="D18" s="28"/>
      <c r="E18" s="28"/>
      <c r="F18" s="29"/>
      <c r="G18" s="28"/>
      <c r="H18" s="29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9"/>
    </row>
    <row r="19" spans="1:19">
      <c r="A19" s="48">
        <v>15</v>
      </c>
      <c r="B19" s="48"/>
      <c r="C19" s="48"/>
      <c r="D19" s="48"/>
      <c r="E19" s="48"/>
      <c r="F19" s="49"/>
      <c r="G19" s="48"/>
      <c r="H19" s="49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9"/>
    </row>
    <row r="20" spans="1:19">
      <c r="A20" s="28">
        <v>16</v>
      </c>
      <c r="B20" s="28"/>
      <c r="C20" s="28"/>
      <c r="D20" s="28"/>
      <c r="E20" s="28"/>
      <c r="F20" s="29"/>
      <c r="G20" s="28"/>
      <c r="H20" s="29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9"/>
    </row>
    <row r="21" spans="1:19">
      <c r="A21" s="48">
        <v>17</v>
      </c>
      <c r="B21" s="48"/>
      <c r="C21" s="48"/>
      <c r="D21" s="48"/>
      <c r="E21" s="48"/>
      <c r="F21" s="49"/>
      <c r="G21" s="48"/>
      <c r="H21" s="49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9"/>
    </row>
    <row r="22" spans="1:19">
      <c r="A22" s="28">
        <v>18</v>
      </c>
      <c r="B22" s="28"/>
      <c r="C22" s="28"/>
      <c r="D22" s="28"/>
      <c r="E22" s="28"/>
      <c r="F22" s="29"/>
      <c r="G22" s="28"/>
      <c r="H22" s="29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9"/>
    </row>
    <row r="23" spans="1:19">
      <c r="A23" s="48">
        <v>19</v>
      </c>
      <c r="B23" s="48"/>
      <c r="C23" s="48"/>
      <c r="D23" s="48"/>
      <c r="E23" s="48"/>
      <c r="F23" s="49"/>
      <c r="G23" s="48"/>
      <c r="H23" s="49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9"/>
    </row>
    <row r="24" spans="1:19">
      <c r="A24" s="28">
        <v>20</v>
      </c>
      <c r="B24" s="28"/>
      <c r="C24" s="28"/>
      <c r="D24" s="28"/>
      <c r="E24" s="28"/>
      <c r="F24" s="29"/>
      <c r="G24" s="28"/>
      <c r="H24" s="29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</row>
    <row r="25" spans="1:19">
      <c r="A25" s="48">
        <v>21</v>
      </c>
      <c r="B25" s="48"/>
      <c r="C25" s="48"/>
      <c r="D25" s="48"/>
      <c r="E25" s="48"/>
      <c r="F25" s="49"/>
      <c r="G25" s="48"/>
      <c r="H25" s="49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9"/>
    </row>
    <row r="26" spans="1:19">
      <c r="A26" s="28">
        <v>22</v>
      </c>
      <c r="B26" s="28"/>
      <c r="C26" s="28"/>
      <c r="D26" s="28"/>
      <c r="E26" s="28"/>
      <c r="F26" s="29"/>
      <c r="G26" s="28"/>
      <c r="H26" s="29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9"/>
    </row>
    <row r="27" spans="1:19">
      <c r="A27" s="48">
        <v>23</v>
      </c>
      <c r="B27" s="48"/>
      <c r="C27" s="48"/>
      <c r="D27" s="48"/>
      <c r="E27" s="48"/>
      <c r="F27" s="49"/>
      <c r="G27" s="48"/>
      <c r="H27" s="49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9"/>
    </row>
    <row r="28" spans="1:19">
      <c r="A28" s="28">
        <v>24</v>
      </c>
      <c r="B28" s="28"/>
      <c r="C28" s="28"/>
      <c r="D28" s="28"/>
      <c r="E28" s="28"/>
      <c r="F28" s="29"/>
      <c r="G28" s="28"/>
      <c r="H28" s="29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9"/>
    </row>
    <row r="29" spans="1:19">
      <c r="A29" s="48">
        <v>25</v>
      </c>
      <c r="B29" s="48"/>
      <c r="C29" s="48"/>
      <c r="D29" s="48"/>
      <c r="E29" s="48"/>
      <c r="F29" s="49"/>
      <c r="G29" s="48"/>
      <c r="H29" s="49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9"/>
    </row>
    <row r="30" spans="1:19">
      <c r="A30" s="28">
        <v>26</v>
      </c>
      <c r="B30" s="28"/>
      <c r="C30" s="28"/>
      <c r="D30" s="28"/>
      <c r="E30" s="28"/>
      <c r="F30" s="29"/>
      <c r="G30" s="28"/>
      <c r="H30" s="29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9"/>
    </row>
    <row r="31" spans="1:19">
      <c r="A31" s="48">
        <v>27</v>
      </c>
      <c r="B31" s="48"/>
      <c r="C31" s="48"/>
      <c r="D31" s="48"/>
      <c r="E31" s="48"/>
      <c r="F31" s="49"/>
      <c r="G31" s="48"/>
      <c r="H31" s="49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9"/>
    </row>
    <row r="32" spans="1:19">
      <c r="A32" s="28">
        <v>28</v>
      </c>
      <c r="B32" s="28"/>
      <c r="C32" s="28"/>
      <c r="D32" s="28"/>
      <c r="E32" s="28"/>
      <c r="F32" s="29"/>
      <c r="G32" s="28"/>
      <c r="H32" s="29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9"/>
    </row>
    <row r="33" spans="1:19">
      <c r="A33" s="48">
        <v>29</v>
      </c>
      <c r="B33" s="48"/>
      <c r="C33" s="48"/>
      <c r="D33" s="48"/>
      <c r="E33" s="48"/>
      <c r="F33" s="49"/>
      <c r="G33" s="48"/>
      <c r="H33" s="49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9"/>
    </row>
    <row r="34" spans="1:19">
      <c r="A34" s="28">
        <v>30</v>
      </c>
      <c r="B34" s="28"/>
      <c r="C34" s="28"/>
      <c r="D34" s="28"/>
      <c r="E34" s="28"/>
      <c r="F34" s="29"/>
      <c r="G34" s="28"/>
      <c r="H34" s="29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9"/>
    </row>
    <row r="35" spans="1:19">
      <c r="A35" s="48">
        <v>31</v>
      </c>
      <c r="B35" s="48"/>
      <c r="C35" s="48"/>
      <c r="D35" s="48"/>
      <c r="E35" s="48"/>
      <c r="F35" s="49"/>
      <c r="G35" s="48"/>
      <c r="H35" s="49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9"/>
    </row>
    <row r="36" spans="1:19">
      <c r="A36" s="28">
        <v>32</v>
      </c>
      <c r="B36" s="28"/>
      <c r="C36" s="28"/>
      <c r="D36" s="28"/>
      <c r="E36" s="28"/>
      <c r="F36" s="29"/>
      <c r="G36" s="28"/>
      <c r="H36" s="29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9"/>
    </row>
    <row r="37" spans="1:19">
      <c r="A37" s="48">
        <v>33</v>
      </c>
      <c r="B37" s="48"/>
      <c r="C37" s="48"/>
      <c r="D37" s="48"/>
      <c r="E37" s="48"/>
      <c r="F37" s="49"/>
      <c r="G37" s="48"/>
      <c r="H37" s="49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9"/>
    </row>
    <row r="38" spans="1:19">
      <c r="A38" s="28">
        <v>34</v>
      </c>
      <c r="B38" s="28"/>
      <c r="C38" s="28"/>
      <c r="D38" s="28"/>
      <c r="E38" s="28"/>
      <c r="F38" s="29"/>
      <c r="G38" s="28"/>
      <c r="H38" s="29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9"/>
    </row>
    <row r="39" spans="1:19">
      <c r="A39" s="48">
        <v>35</v>
      </c>
      <c r="B39" s="48"/>
      <c r="C39" s="48"/>
      <c r="D39" s="48"/>
      <c r="E39" s="48"/>
      <c r="F39" s="49"/>
      <c r="G39" s="48"/>
      <c r="H39" s="49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9"/>
    </row>
    <row r="40" spans="1:19">
      <c r="A40" s="28">
        <v>36</v>
      </c>
      <c r="B40" s="28"/>
      <c r="C40" s="28"/>
      <c r="D40" s="28"/>
      <c r="E40" s="28"/>
      <c r="F40" s="29"/>
      <c r="G40" s="28"/>
      <c r="H40" s="29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9"/>
    </row>
    <row r="41" spans="1:19">
      <c r="A41" s="48">
        <v>37</v>
      </c>
      <c r="B41" s="48"/>
      <c r="C41" s="48"/>
      <c r="D41" s="48"/>
      <c r="E41" s="48"/>
      <c r="F41" s="49"/>
      <c r="G41" s="48"/>
      <c r="H41" s="49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9"/>
    </row>
    <row r="42" spans="1:19">
      <c r="A42" s="28">
        <v>38</v>
      </c>
      <c r="B42" s="28"/>
      <c r="C42" s="28"/>
      <c r="D42" s="28"/>
      <c r="E42" s="28"/>
      <c r="F42" s="29"/>
      <c r="G42" s="28"/>
      <c r="H42" s="29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9"/>
    </row>
    <row r="43" spans="1:19">
      <c r="A43" s="48">
        <v>39</v>
      </c>
      <c r="B43" s="48"/>
      <c r="C43" s="48"/>
      <c r="D43" s="48"/>
      <c r="E43" s="48"/>
      <c r="F43" s="49"/>
      <c r="G43" s="48"/>
      <c r="H43" s="49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9"/>
    </row>
    <row r="44" spans="1:19">
      <c r="A44" s="28">
        <v>40</v>
      </c>
      <c r="B44" s="28"/>
      <c r="C44" s="28"/>
      <c r="D44" s="28"/>
      <c r="E44" s="28"/>
      <c r="F44" s="29"/>
      <c r="G44" s="28"/>
      <c r="H44" s="29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9"/>
    </row>
    <row r="45" spans="1:19">
      <c r="A45" s="48">
        <v>41</v>
      </c>
      <c r="B45" s="48"/>
      <c r="C45" s="48"/>
      <c r="D45" s="48"/>
      <c r="E45" s="48"/>
      <c r="F45" s="49"/>
      <c r="G45" s="48"/>
      <c r="H45" s="49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9"/>
    </row>
    <row r="46" spans="1:19">
      <c r="A46" s="28">
        <v>42</v>
      </c>
      <c r="B46" s="28"/>
      <c r="C46" s="28"/>
      <c r="D46" s="28"/>
      <c r="E46" s="28"/>
      <c r="F46" s="29"/>
      <c r="G46" s="28"/>
      <c r="H46" s="29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9"/>
    </row>
    <row r="47" spans="1:19">
      <c r="A47" s="48">
        <v>43</v>
      </c>
      <c r="B47" s="48"/>
      <c r="C47" s="48"/>
      <c r="D47" s="48"/>
      <c r="E47" s="48"/>
      <c r="F47" s="49"/>
      <c r="G47" s="48"/>
      <c r="H47" s="49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9"/>
    </row>
    <row r="48" spans="1:19">
      <c r="A48" s="28">
        <v>44</v>
      </c>
      <c r="B48" s="28"/>
      <c r="C48" s="28"/>
      <c r="D48" s="28"/>
      <c r="E48" s="28"/>
      <c r="F48" s="29"/>
      <c r="G48" s="28"/>
      <c r="H48" s="29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9"/>
    </row>
    <row r="49" spans="1:19">
      <c r="A49" s="48">
        <v>45</v>
      </c>
      <c r="B49" s="48"/>
      <c r="C49" s="48"/>
      <c r="D49" s="48"/>
      <c r="E49" s="48"/>
      <c r="F49" s="49"/>
      <c r="G49" s="48"/>
      <c r="H49" s="49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9"/>
    </row>
    <row r="50" spans="1:19">
      <c r="A50" s="28">
        <v>46</v>
      </c>
      <c r="B50" s="28"/>
      <c r="C50" s="28"/>
      <c r="D50" s="28"/>
      <c r="E50" s="28"/>
      <c r="F50" s="29"/>
      <c r="G50" s="28"/>
      <c r="H50" s="29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9"/>
    </row>
    <row r="51" spans="1:19">
      <c r="A51" s="48">
        <v>47</v>
      </c>
      <c r="B51" s="48"/>
      <c r="C51" s="48"/>
      <c r="D51" s="48"/>
      <c r="E51" s="48"/>
      <c r="F51" s="49"/>
      <c r="G51" s="48"/>
      <c r="H51" s="49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9"/>
    </row>
    <row r="52" spans="1:19">
      <c r="A52" s="28">
        <v>48</v>
      </c>
      <c r="B52" s="28"/>
      <c r="C52" s="28"/>
      <c r="D52" s="28"/>
      <c r="E52" s="28"/>
      <c r="F52" s="29"/>
      <c r="G52" s="28"/>
      <c r="H52" s="29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9"/>
    </row>
    <row r="53" spans="1:19">
      <c r="A53" s="48">
        <v>49</v>
      </c>
      <c r="B53" s="48"/>
      <c r="C53" s="48"/>
      <c r="D53" s="48"/>
      <c r="E53" s="48"/>
      <c r="F53" s="49"/>
      <c r="G53" s="48"/>
      <c r="H53" s="49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9"/>
    </row>
    <row r="54" spans="1:19">
      <c r="A54" s="28">
        <v>50</v>
      </c>
      <c r="B54" s="28"/>
      <c r="C54" s="28"/>
      <c r="D54" s="28"/>
      <c r="E54" s="28"/>
      <c r="F54" s="29"/>
      <c r="G54" s="28"/>
      <c r="H54" s="29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9"/>
    </row>
    <row r="55" spans="1:19" s="39" customFormat="1" ht="21.75" customHeight="1">
      <c r="A55" s="102" t="s">
        <v>460</v>
      </c>
      <c r="B55" s="112"/>
      <c r="C55" s="112"/>
      <c r="D55" s="7">
        <f>COUNTA(C5:C54)</f>
        <v>0</v>
      </c>
      <c r="I55" s="7" t="s">
        <v>461</v>
      </c>
      <c r="J55" s="39">
        <f t="array" ref="J55">COUNTIF(S5:S54,"Active")-SUMPRODUCT((S5:S54="Active")*(I5:I54="Yes")*(J5:J54="Yes")*(K5:K54="Yes")*(L5:L54="Yes")*(M5:M54="Yes")*(N5:N54="Yes")*(O5:O54="Yes")*(P5:P54="Yes")*(Q5:Q54="Yes")*(R5:R54="Yes"))</f>
        <v>0</v>
      </c>
      <c r="P55" s="34"/>
      <c r="Q55" s="99" t="s">
        <v>462</v>
      </c>
      <c r="R55" s="99"/>
      <c r="S55" s="39">
        <f>COUNTIF(S5:S54,"Terminated")+COUNTIF(S5:S54,"Resigned")+COUNTIF(S5:S54,"NCNS")</f>
        <v>0</v>
      </c>
    </row>
    <row r="56" spans="1:19" ht="7.5" customHeight="1"/>
    <row r="57" spans="1:19" ht="24" customHeight="1">
      <c r="A57" s="105" t="s">
        <v>463</v>
      </c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1"/>
      <c r="O57" s="101"/>
      <c r="P57" s="101"/>
    </row>
    <row r="58" spans="1:19" ht="24" customHeight="1">
      <c r="A58" s="27" t="s">
        <v>407</v>
      </c>
      <c r="B58" s="27" t="s">
        <v>408</v>
      </c>
      <c r="C58" s="27" t="s">
        <v>409</v>
      </c>
      <c r="D58" s="27" t="s">
        <v>464</v>
      </c>
      <c r="E58" s="27" t="s">
        <v>465</v>
      </c>
      <c r="F58" s="27" t="s">
        <v>466</v>
      </c>
      <c r="G58" s="27" t="s">
        <v>467</v>
      </c>
      <c r="H58" s="80" t="s">
        <v>468</v>
      </c>
      <c r="I58" s="27" t="s">
        <v>469</v>
      </c>
      <c r="J58" s="27" t="s">
        <v>470</v>
      </c>
      <c r="K58" s="27" t="s">
        <v>73</v>
      </c>
      <c r="L58" s="27" t="s">
        <v>74</v>
      </c>
      <c r="M58" s="27" t="s">
        <v>471</v>
      </c>
      <c r="N58" s="27" t="s">
        <v>76</v>
      </c>
      <c r="O58" s="27" t="s">
        <v>472</v>
      </c>
      <c r="P58" s="27" t="s">
        <v>415</v>
      </c>
    </row>
    <row r="59" spans="1:19">
      <c r="A59" s="48">
        <v>1</v>
      </c>
      <c r="B59" s="48"/>
      <c r="C59" s="48"/>
      <c r="D59" s="48"/>
      <c r="E59" s="48"/>
      <c r="F59" s="48"/>
      <c r="G59" s="49"/>
      <c r="H59" s="76"/>
      <c r="I59" s="48"/>
      <c r="J59" s="48"/>
      <c r="K59" s="48"/>
      <c r="L59" s="48"/>
      <c r="M59" s="48"/>
      <c r="N59" s="48"/>
      <c r="O59" s="48"/>
      <c r="P59" s="48"/>
    </row>
    <row r="60" spans="1:19">
      <c r="A60" s="28">
        <v>2</v>
      </c>
      <c r="B60" s="28"/>
      <c r="C60" s="28"/>
      <c r="D60" s="28"/>
      <c r="E60" s="28"/>
      <c r="F60" s="28"/>
      <c r="G60" s="29"/>
      <c r="H60" s="75"/>
      <c r="I60" s="28"/>
      <c r="J60" s="28"/>
      <c r="K60" s="28"/>
      <c r="L60" s="28"/>
      <c r="M60" s="28"/>
      <c r="N60" s="28"/>
      <c r="O60" s="28"/>
      <c r="P60" s="28"/>
    </row>
    <row r="61" spans="1:19">
      <c r="A61" s="48">
        <v>3</v>
      </c>
      <c r="B61" s="48"/>
      <c r="C61" s="48"/>
      <c r="D61" s="48"/>
      <c r="E61" s="48"/>
      <c r="F61" s="48"/>
      <c r="G61" s="49"/>
      <c r="H61" s="76"/>
      <c r="I61" s="48"/>
      <c r="J61" s="48"/>
      <c r="K61" s="48"/>
      <c r="L61" s="48"/>
      <c r="M61" s="48"/>
      <c r="N61" s="48"/>
      <c r="O61" s="48"/>
      <c r="P61" s="48"/>
    </row>
    <row r="62" spans="1:19">
      <c r="A62" s="28">
        <v>4</v>
      </c>
      <c r="B62" s="28"/>
      <c r="C62" s="28"/>
      <c r="D62" s="28"/>
      <c r="E62" s="28"/>
      <c r="F62" s="28"/>
      <c r="G62" s="29"/>
      <c r="H62" s="75"/>
      <c r="I62" s="28"/>
      <c r="J62" s="28"/>
      <c r="K62" s="28"/>
      <c r="L62" s="28"/>
      <c r="M62" s="28"/>
      <c r="N62" s="28"/>
      <c r="O62" s="28"/>
      <c r="P62" s="28"/>
    </row>
    <row r="63" spans="1:19">
      <c r="A63" s="48">
        <v>5</v>
      </c>
      <c r="B63" s="48"/>
      <c r="C63" s="48"/>
      <c r="D63" s="48"/>
      <c r="E63" s="48"/>
      <c r="F63" s="48"/>
      <c r="G63" s="49"/>
      <c r="H63" s="76"/>
      <c r="I63" s="48"/>
      <c r="J63" s="48"/>
      <c r="K63" s="48"/>
      <c r="L63" s="48"/>
      <c r="M63" s="48"/>
      <c r="N63" s="48"/>
      <c r="O63" s="48"/>
      <c r="P63" s="48"/>
    </row>
    <row r="64" spans="1:19">
      <c r="A64" s="28">
        <v>6</v>
      </c>
      <c r="B64" s="28"/>
      <c r="C64" s="28"/>
      <c r="D64" s="28"/>
      <c r="E64" s="28"/>
      <c r="F64" s="28"/>
      <c r="G64" s="29"/>
      <c r="H64" s="75"/>
      <c r="I64" s="28"/>
      <c r="J64" s="28"/>
      <c r="K64" s="28"/>
      <c r="L64" s="28"/>
      <c r="M64" s="28"/>
      <c r="N64" s="28"/>
      <c r="O64" s="28"/>
      <c r="P64" s="28"/>
    </row>
    <row r="65" spans="1:16">
      <c r="A65" s="48">
        <v>7</v>
      </c>
      <c r="B65" s="48"/>
      <c r="C65" s="48"/>
      <c r="D65" s="48"/>
      <c r="E65" s="48"/>
      <c r="F65" s="48"/>
      <c r="G65" s="49"/>
      <c r="H65" s="76"/>
      <c r="I65" s="48"/>
      <c r="J65" s="48"/>
      <c r="K65" s="48"/>
      <c r="L65" s="48"/>
      <c r="M65" s="48"/>
      <c r="N65" s="48"/>
      <c r="O65" s="48"/>
      <c r="P65" s="48"/>
    </row>
    <row r="66" spans="1:16">
      <c r="A66" s="28">
        <v>8</v>
      </c>
      <c r="B66" s="28"/>
      <c r="C66" s="28"/>
      <c r="D66" s="28"/>
      <c r="E66" s="28"/>
      <c r="F66" s="28"/>
      <c r="G66" s="29"/>
      <c r="H66" s="75"/>
      <c r="I66" s="28"/>
      <c r="J66" s="28"/>
      <c r="K66" s="28"/>
      <c r="L66" s="28"/>
      <c r="M66" s="28"/>
      <c r="N66" s="28"/>
      <c r="O66" s="28"/>
      <c r="P66" s="28"/>
    </row>
    <row r="67" spans="1:16">
      <c r="A67" s="48">
        <v>9</v>
      </c>
      <c r="B67" s="48"/>
      <c r="C67" s="48"/>
      <c r="D67" s="48"/>
      <c r="E67" s="48"/>
      <c r="F67" s="48"/>
      <c r="G67" s="49"/>
      <c r="H67" s="76"/>
      <c r="I67" s="48"/>
      <c r="J67" s="48"/>
      <c r="K67" s="48"/>
      <c r="L67" s="48"/>
      <c r="M67" s="48"/>
      <c r="N67" s="48"/>
      <c r="O67" s="48"/>
      <c r="P67" s="48"/>
    </row>
    <row r="68" spans="1:16">
      <c r="A68" s="28">
        <v>10</v>
      </c>
      <c r="B68" s="28"/>
      <c r="C68" s="28"/>
      <c r="D68" s="28"/>
      <c r="E68" s="28"/>
      <c r="F68" s="28"/>
      <c r="G68" s="29"/>
      <c r="H68" s="75"/>
      <c r="I68" s="28"/>
      <c r="J68" s="28"/>
      <c r="K68" s="28"/>
      <c r="L68" s="28"/>
      <c r="M68" s="28"/>
      <c r="N68" s="28"/>
      <c r="O68" s="28"/>
      <c r="P68" s="28"/>
    </row>
    <row r="69" spans="1:16">
      <c r="A69" s="48">
        <v>11</v>
      </c>
      <c r="B69" s="48"/>
      <c r="C69" s="48"/>
      <c r="D69" s="48"/>
      <c r="E69" s="48"/>
      <c r="F69" s="48"/>
      <c r="G69" s="49"/>
      <c r="H69" s="76"/>
      <c r="I69" s="48"/>
      <c r="J69" s="48"/>
      <c r="K69" s="48"/>
      <c r="L69" s="48"/>
      <c r="M69" s="48"/>
      <c r="N69" s="48"/>
      <c r="O69" s="48"/>
      <c r="P69" s="48"/>
    </row>
    <row r="70" spans="1:16">
      <c r="A70" s="28">
        <v>12</v>
      </c>
      <c r="B70" s="28"/>
      <c r="C70" s="28"/>
      <c r="D70" s="28"/>
      <c r="E70" s="28"/>
      <c r="F70" s="28"/>
      <c r="G70" s="29"/>
      <c r="H70" s="75"/>
      <c r="I70" s="28"/>
      <c r="J70" s="28"/>
      <c r="K70" s="28"/>
      <c r="L70" s="28"/>
      <c r="M70" s="28"/>
      <c r="N70" s="28"/>
      <c r="O70" s="28"/>
      <c r="P70" s="28"/>
    </row>
    <row r="71" spans="1:16">
      <c r="A71" s="48">
        <v>13</v>
      </c>
      <c r="B71" s="48"/>
      <c r="C71" s="48"/>
      <c r="D71" s="48"/>
      <c r="E71" s="48"/>
      <c r="F71" s="48"/>
      <c r="G71" s="49"/>
      <c r="H71" s="76"/>
      <c r="I71" s="48"/>
      <c r="J71" s="48"/>
      <c r="K71" s="48"/>
      <c r="L71" s="48"/>
      <c r="M71" s="48"/>
      <c r="N71" s="48"/>
      <c r="O71" s="48"/>
      <c r="P71" s="48"/>
    </row>
    <row r="72" spans="1:16">
      <c r="A72" s="28">
        <v>14</v>
      </c>
      <c r="B72" s="28"/>
      <c r="C72" s="28"/>
      <c r="D72" s="28"/>
      <c r="E72" s="28"/>
      <c r="F72" s="28"/>
      <c r="G72" s="29"/>
      <c r="H72" s="75"/>
      <c r="I72" s="28"/>
      <c r="J72" s="28"/>
      <c r="K72" s="28"/>
      <c r="L72" s="28"/>
      <c r="M72" s="28"/>
      <c r="N72" s="28"/>
      <c r="O72" s="28"/>
      <c r="P72" s="28"/>
    </row>
    <row r="73" spans="1:16">
      <c r="A73" s="48">
        <v>15</v>
      </c>
      <c r="B73" s="48"/>
      <c r="C73" s="48"/>
      <c r="D73" s="48"/>
      <c r="E73" s="48"/>
      <c r="F73" s="48"/>
      <c r="G73" s="49"/>
      <c r="H73" s="76"/>
      <c r="I73" s="48"/>
      <c r="J73" s="48"/>
      <c r="K73" s="48"/>
      <c r="L73" s="48"/>
      <c r="M73" s="48"/>
      <c r="N73" s="48"/>
      <c r="O73" s="48"/>
      <c r="P73" s="48"/>
    </row>
    <row r="74" spans="1:16">
      <c r="A74" s="28">
        <v>16</v>
      </c>
      <c r="B74" s="28"/>
      <c r="C74" s="28"/>
      <c r="D74" s="28"/>
      <c r="E74" s="28"/>
      <c r="F74" s="28"/>
      <c r="G74" s="29"/>
      <c r="H74" s="75"/>
      <c r="I74" s="28"/>
      <c r="J74" s="28"/>
      <c r="K74" s="28"/>
      <c r="L74" s="28"/>
      <c r="M74" s="28"/>
      <c r="N74" s="28"/>
      <c r="O74" s="28"/>
      <c r="P74" s="28"/>
    </row>
    <row r="75" spans="1:16">
      <c r="A75" s="48">
        <v>17</v>
      </c>
      <c r="B75" s="48"/>
      <c r="C75" s="48"/>
      <c r="D75" s="48"/>
      <c r="E75" s="48"/>
      <c r="F75" s="48"/>
      <c r="G75" s="49"/>
      <c r="H75" s="76"/>
      <c r="I75" s="48"/>
      <c r="J75" s="48"/>
      <c r="K75" s="48"/>
      <c r="L75" s="48"/>
      <c r="M75" s="48"/>
      <c r="N75" s="48"/>
      <c r="O75" s="48"/>
      <c r="P75" s="48"/>
    </row>
    <row r="76" spans="1:16">
      <c r="A76" s="28">
        <v>18</v>
      </c>
      <c r="B76" s="28"/>
      <c r="C76" s="28"/>
      <c r="D76" s="28"/>
      <c r="E76" s="28"/>
      <c r="F76" s="28"/>
      <c r="G76" s="29"/>
      <c r="H76" s="75"/>
      <c r="I76" s="28"/>
      <c r="J76" s="28"/>
      <c r="K76" s="28"/>
      <c r="L76" s="28"/>
      <c r="M76" s="28"/>
      <c r="N76" s="28"/>
      <c r="O76" s="28"/>
      <c r="P76" s="28"/>
    </row>
    <row r="77" spans="1:16">
      <c r="A77" s="48">
        <v>19</v>
      </c>
      <c r="B77" s="48"/>
      <c r="C77" s="48"/>
      <c r="D77" s="48"/>
      <c r="E77" s="48"/>
      <c r="F77" s="48"/>
      <c r="G77" s="49"/>
      <c r="H77" s="76"/>
      <c r="I77" s="48"/>
      <c r="J77" s="48"/>
      <c r="K77" s="48"/>
      <c r="L77" s="48"/>
      <c r="M77" s="48"/>
      <c r="N77" s="48"/>
      <c r="O77" s="48"/>
      <c r="P77" s="48"/>
    </row>
    <row r="78" spans="1:16">
      <c r="A78" s="28">
        <v>20</v>
      </c>
      <c r="B78" s="28"/>
      <c r="C78" s="28"/>
      <c r="D78" s="28"/>
      <c r="E78" s="28"/>
      <c r="F78" s="28"/>
      <c r="G78" s="29"/>
      <c r="H78" s="75"/>
      <c r="I78" s="28"/>
      <c r="J78" s="28"/>
      <c r="K78" s="28"/>
      <c r="L78" s="28"/>
      <c r="M78" s="28"/>
      <c r="N78" s="28"/>
      <c r="O78" s="28"/>
      <c r="P78" s="28"/>
    </row>
    <row r="79" spans="1:16">
      <c r="A79" s="48">
        <v>21</v>
      </c>
      <c r="B79" s="48"/>
      <c r="C79" s="48"/>
      <c r="D79" s="48"/>
      <c r="E79" s="48"/>
      <c r="F79" s="48"/>
      <c r="G79" s="49"/>
      <c r="H79" s="76"/>
      <c r="I79" s="48"/>
      <c r="J79" s="48"/>
      <c r="K79" s="48"/>
      <c r="L79" s="48"/>
      <c r="M79" s="48"/>
      <c r="N79" s="48"/>
      <c r="O79" s="48"/>
      <c r="P79" s="48"/>
    </row>
    <row r="80" spans="1:16">
      <c r="A80" s="28">
        <v>22</v>
      </c>
      <c r="B80" s="28"/>
      <c r="C80" s="28"/>
      <c r="D80" s="28"/>
      <c r="E80" s="28"/>
      <c r="F80" s="28"/>
      <c r="G80" s="29"/>
      <c r="H80" s="75"/>
      <c r="I80" s="28"/>
      <c r="J80" s="28"/>
      <c r="K80" s="28"/>
      <c r="L80" s="28"/>
      <c r="M80" s="28"/>
      <c r="N80" s="28"/>
      <c r="O80" s="28"/>
      <c r="P80" s="28"/>
    </row>
    <row r="81" spans="1:16">
      <c r="A81" s="48">
        <v>23</v>
      </c>
      <c r="B81" s="48"/>
      <c r="C81" s="48"/>
      <c r="D81" s="48"/>
      <c r="E81" s="48"/>
      <c r="F81" s="48"/>
      <c r="G81" s="49"/>
      <c r="H81" s="76"/>
      <c r="I81" s="48"/>
      <c r="J81" s="48"/>
      <c r="K81" s="48"/>
      <c r="L81" s="48"/>
      <c r="M81" s="48"/>
      <c r="N81" s="48"/>
      <c r="O81" s="48"/>
      <c r="P81" s="48"/>
    </row>
    <row r="82" spans="1:16">
      <c r="A82" s="28">
        <v>24</v>
      </c>
      <c r="B82" s="28"/>
      <c r="C82" s="28"/>
      <c r="D82" s="28"/>
      <c r="E82" s="28"/>
      <c r="F82" s="28"/>
      <c r="G82" s="29"/>
      <c r="H82" s="75"/>
      <c r="I82" s="28"/>
      <c r="J82" s="28"/>
      <c r="K82" s="28"/>
      <c r="L82" s="28"/>
      <c r="M82" s="28"/>
      <c r="N82" s="28"/>
      <c r="O82" s="28"/>
      <c r="P82" s="28"/>
    </row>
    <row r="83" spans="1:16">
      <c r="A83" s="48">
        <v>25</v>
      </c>
      <c r="B83" s="48"/>
      <c r="C83" s="48"/>
      <c r="D83" s="48"/>
      <c r="E83" s="48"/>
      <c r="F83" s="48"/>
      <c r="G83" s="49"/>
      <c r="H83" s="76"/>
      <c r="I83" s="48"/>
      <c r="J83" s="48"/>
      <c r="K83" s="48"/>
      <c r="L83" s="48"/>
      <c r="M83" s="48"/>
      <c r="N83" s="48"/>
      <c r="O83" s="48"/>
      <c r="P83" s="48"/>
    </row>
    <row r="84" spans="1:16">
      <c r="A84" s="28">
        <v>26</v>
      </c>
      <c r="B84" s="28"/>
      <c r="C84" s="28"/>
      <c r="D84" s="28"/>
      <c r="E84" s="28"/>
      <c r="F84" s="28"/>
      <c r="G84" s="29"/>
      <c r="H84" s="75"/>
      <c r="I84" s="28"/>
      <c r="J84" s="28"/>
      <c r="K84" s="28"/>
      <c r="L84" s="28"/>
      <c r="M84" s="28"/>
      <c r="N84" s="28"/>
      <c r="O84" s="28"/>
      <c r="P84" s="28"/>
    </row>
    <row r="85" spans="1:16">
      <c r="A85" s="48">
        <v>27</v>
      </c>
      <c r="B85" s="48"/>
      <c r="C85" s="48"/>
      <c r="D85" s="48"/>
      <c r="E85" s="48"/>
      <c r="F85" s="48"/>
      <c r="G85" s="49"/>
      <c r="H85" s="76"/>
      <c r="I85" s="48"/>
      <c r="J85" s="48"/>
      <c r="K85" s="48"/>
      <c r="L85" s="48"/>
      <c r="M85" s="48"/>
      <c r="N85" s="48"/>
      <c r="O85" s="48"/>
      <c r="P85" s="48"/>
    </row>
    <row r="86" spans="1:16">
      <c r="A86" s="28">
        <v>28</v>
      </c>
      <c r="B86" s="28"/>
      <c r="C86" s="28"/>
      <c r="D86" s="28"/>
      <c r="E86" s="28"/>
      <c r="F86" s="28"/>
      <c r="G86" s="29"/>
      <c r="H86" s="75"/>
      <c r="I86" s="28"/>
      <c r="J86" s="28"/>
      <c r="K86" s="28"/>
      <c r="L86" s="28"/>
      <c r="M86" s="28"/>
      <c r="N86" s="28"/>
      <c r="O86" s="28"/>
      <c r="P86" s="28"/>
    </row>
    <row r="87" spans="1:16">
      <c r="A87" s="48">
        <v>29</v>
      </c>
      <c r="B87" s="48"/>
      <c r="C87" s="48"/>
      <c r="D87" s="48"/>
      <c r="E87" s="48"/>
      <c r="F87" s="48"/>
      <c r="G87" s="49"/>
      <c r="H87" s="76"/>
      <c r="I87" s="48"/>
      <c r="J87" s="48"/>
      <c r="K87" s="48"/>
      <c r="L87" s="48"/>
      <c r="M87" s="48"/>
      <c r="N87" s="48"/>
      <c r="O87" s="48"/>
      <c r="P87" s="48"/>
    </row>
    <row r="88" spans="1:16">
      <c r="A88" s="28">
        <v>30</v>
      </c>
      <c r="B88" s="28"/>
      <c r="C88" s="28"/>
      <c r="D88" s="28"/>
      <c r="E88" s="28"/>
      <c r="F88" s="28"/>
      <c r="G88" s="29"/>
      <c r="H88" s="75"/>
      <c r="I88" s="28"/>
      <c r="J88" s="28"/>
      <c r="K88" s="28"/>
      <c r="L88" s="28"/>
      <c r="M88" s="28"/>
      <c r="N88" s="28"/>
      <c r="O88" s="28"/>
      <c r="P88" s="28"/>
    </row>
    <row r="89" spans="1:16">
      <c r="A89" s="48">
        <v>31</v>
      </c>
      <c r="B89" s="48"/>
      <c r="C89" s="48"/>
      <c r="D89" s="48"/>
      <c r="E89" s="48"/>
      <c r="F89" s="48"/>
      <c r="G89" s="49"/>
      <c r="H89" s="76"/>
      <c r="I89" s="48"/>
      <c r="J89" s="48"/>
      <c r="K89" s="48"/>
      <c r="L89" s="48"/>
      <c r="M89" s="48"/>
      <c r="N89" s="48"/>
      <c r="O89" s="48"/>
      <c r="P89" s="48"/>
    </row>
    <row r="90" spans="1:16">
      <c r="A90" s="28">
        <v>32</v>
      </c>
      <c r="B90" s="28"/>
      <c r="C90" s="28"/>
      <c r="D90" s="28"/>
      <c r="E90" s="28"/>
      <c r="F90" s="28"/>
      <c r="G90" s="29"/>
      <c r="H90" s="75"/>
      <c r="I90" s="28"/>
      <c r="J90" s="28"/>
      <c r="K90" s="28"/>
      <c r="L90" s="28"/>
      <c r="M90" s="28"/>
      <c r="N90" s="28"/>
      <c r="O90" s="28"/>
      <c r="P90" s="28"/>
    </row>
    <row r="91" spans="1:16">
      <c r="A91" s="48">
        <v>33</v>
      </c>
      <c r="B91" s="48"/>
      <c r="C91" s="48"/>
      <c r="D91" s="48"/>
      <c r="E91" s="48"/>
      <c r="F91" s="48"/>
      <c r="G91" s="49"/>
      <c r="H91" s="76"/>
      <c r="I91" s="48"/>
      <c r="J91" s="48"/>
      <c r="K91" s="48"/>
      <c r="L91" s="48"/>
      <c r="M91" s="48"/>
      <c r="N91" s="48"/>
      <c r="O91" s="48"/>
      <c r="P91" s="48"/>
    </row>
    <row r="92" spans="1:16">
      <c r="A92" s="28">
        <v>34</v>
      </c>
      <c r="B92" s="28"/>
      <c r="C92" s="28"/>
      <c r="D92" s="28"/>
      <c r="E92" s="28"/>
      <c r="F92" s="28"/>
      <c r="G92" s="29"/>
      <c r="H92" s="75"/>
      <c r="I92" s="28"/>
      <c r="J92" s="28"/>
      <c r="K92" s="28"/>
      <c r="L92" s="28"/>
      <c r="M92" s="28"/>
      <c r="N92" s="28"/>
      <c r="O92" s="28"/>
      <c r="P92" s="28"/>
    </row>
    <row r="93" spans="1:16">
      <c r="A93" s="48">
        <v>35</v>
      </c>
      <c r="B93" s="48"/>
      <c r="C93" s="48"/>
      <c r="D93" s="48"/>
      <c r="E93" s="48"/>
      <c r="F93" s="48"/>
      <c r="G93" s="49"/>
      <c r="H93" s="76"/>
      <c r="I93" s="48"/>
      <c r="J93" s="48"/>
      <c r="K93" s="48"/>
      <c r="L93" s="48"/>
      <c r="M93" s="48"/>
      <c r="N93" s="48"/>
      <c r="O93" s="48"/>
      <c r="P93" s="48"/>
    </row>
    <row r="94" spans="1:16">
      <c r="A94" s="28">
        <v>36</v>
      </c>
      <c r="B94" s="28"/>
      <c r="C94" s="28"/>
      <c r="D94" s="28"/>
      <c r="E94" s="28"/>
      <c r="F94" s="28"/>
      <c r="G94" s="29"/>
      <c r="H94" s="75"/>
      <c r="I94" s="28"/>
      <c r="J94" s="28"/>
      <c r="K94" s="28"/>
      <c r="L94" s="28"/>
      <c r="M94" s="28"/>
      <c r="N94" s="28"/>
      <c r="O94" s="28"/>
      <c r="P94" s="28"/>
    </row>
    <row r="95" spans="1:16">
      <c r="A95" s="48">
        <v>37</v>
      </c>
      <c r="B95" s="48"/>
      <c r="C95" s="48"/>
      <c r="D95" s="48"/>
      <c r="E95" s="48"/>
      <c r="F95" s="48"/>
      <c r="G95" s="49"/>
      <c r="H95" s="76"/>
      <c r="I95" s="48"/>
      <c r="J95" s="48"/>
      <c r="K95" s="48"/>
      <c r="L95" s="48"/>
      <c r="M95" s="48"/>
      <c r="N95" s="48"/>
      <c r="O95" s="48"/>
      <c r="P95" s="48"/>
    </row>
    <row r="96" spans="1:16">
      <c r="A96" s="28">
        <v>38</v>
      </c>
      <c r="B96" s="28"/>
      <c r="C96" s="28"/>
      <c r="D96" s="28"/>
      <c r="E96" s="28"/>
      <c r="F96" s="28"/>
      <c r="G96" s="29"/>
      <c r="H96" s="75"/>
      <c r="I96" s="28"/>
      <c r="J96" s="28"/>
      <c r="K96" s="28"/>
      <c r="L96" s="28"/>
      <c r="M96" s="28"/>
      <c r="N96" s="28"/>
      <c r="O96" s="28"/>
      <c r="P96" s="28"/>
    </row>
    <row r="97" spans="1:16">
      <c r="A97" s="48">
        <v>39</v>
      </c>
      <c r="B97" s="48"/>
      <c r="C97" s="48"/>
      <c r="D97" s="48"/>
      <c r="E97" s="48"/>
      <c r="F97" s="48"/>
      <c r="G97" s="49"/>
      <c r="H97" s="76"/>
      <c r="I97" s="48"/>
      <c r="J97" s="48"/>
      <c r="K97" s="48"/>
      <c r="L97" s="48"/>
      <c r="M97" s="48"/>
      <c r="N97" s="48"/>
      <c r="O97" s="48"/>
      <c r="P97" s="48"/>
    </row>
    <row r="98" spans="1:16">
      <c r="A98" s="28">
        <v>40</v>
      </c>
      <c r="B98" s="28"/>
      <c r="C98" s="28"/>
      <c r="D98" s="28"/>
      <c r="E98" s="28"/>
      <c r="F98" s="28"/>
      <c r="G98" s="29"/>
      <c r="H98" s="75"/>
      <c r="I98" s="28"/>
      <c r="J98" s="28"/>
      <c r="K98" s="28"/>
      <c r="L98" s="28"/>
      <c r="M98" s="28"/>
      <c r="N98" s="28"/>
      <c r="O98" s="28"/>
      <c r="P98" s="28"/>
    </row>
    <row r="99" spans="1:16">
      <c r="A99" s="48">
        <v>41</v>
      </c>
      <c r="B99" s="48"/>
      <c r="C99" s="48"/>
      <c r="D99" s="48"/>
      <c r="E99" s="48"/>
      <c r="F99" s="48"/>
      <c r="G99" s="49"/>
      <c r="H99" s="76"/>
      <c r="I99" s="48"/>
      <c r="J99" s="48"/>
      <c r="K99" s="48"/>
      <c r="L99" s="48"/>
      <c r="M99" s="48"/>
      <c r="N99" s="48"/>
      <c r="O99" s="48"/>
      <c r="P99" s="48"/>
    </row>
    <row r="100" spans="1:16">
      <c r="A100" s="28">
        <v>42</v>
      </c>
      <c r="B100" s="28"/>
      <c r="C100" s="28"/>
      <c r="D100" s="28"/>
      <c r="E100" s="28"/>
      <c r="F100" s="28"/>
      <c r="G100" s="29"/>
      <c r="H100" s="75"/>
      <c r="I100" s="28"/>
      <c r="J100" s="28"/>
      <c r="K100" s="28"/>
      <c r="L100" s="28"/>
      <c r="M100" s="28"/>
      <c r="N100" s="28"/>
      <c r="O100" s="28"/>
      <c r="P100" s="28"/>
    </row>
    <row r="101" spans="1:16">
      <c r="A101" s="48">
        <v>43</v>
      </c>
      <c r="B101" s="48"/>
      <c r="C101" s="48"/>
      <c r="D101" s="48"/>
      <c r="E101" s="48"/>
      <c r="F101" s="48"/>
      <c r="G101" s="49"/>
      <c r="H101" s="76"/>
      <c r="I101" s="48"/>
      <c r="J101" s="48"/>
      <c r="K101" s="48"/>
      <c r="L101" s="48"/>
      <c r="M101" s="48"/>
      <c r="N101" s="48"/>
      <c r="O101" s="48"/>
      <c r="P101" s="48"/>
    </row>
    <row r="102" spans="1:16">
      <c r="A102" s="28">
        <v>44</v>
      </c>
      <c r="B102" s="28"/>
      <c r="C102" s="28"/>
      <c r="D102" s="28"/>
      <c r="E102" s="28"/>
      <c r="F102" s="28"/>
      <c r="G102" s="29"/>
      <c r="H102" s="75"/>
      <c r="I102" s="28"/>
      <c r="J102" s="28"/>
      <c r="K102" s="28"/>
      <c r="L102" s="28"/>
      <c r="M102" s="28"/>
      <c r="N102" s="28"/>
      <c r="O102" s="28"/>
      <c r="P102" s="28"/>
    </row>
    <row r="103" spans="1:16">
      <c r="A103" s="48">
        <v>45</v>
      </c>
      <c r="B103" s="48"/>
      <c r="C103" s="48"/>
      <c r="D103" s="48"/>
      <c r="E103" s="48"/>
      <c r="F103" s="48"/>
      <c r="G103" s="49"/>
      <c r="H103" s="76"/>
      <c r="I103" s="48"/>
      <c r="J103" s="48"/>
      <c r="K103" s="48"/>
      <c r="L103" s="48"/>
      <c r="M103" s="48"/>
      <c r="N103" s="48"/>
      <c r="O103" s="48"/>
      <c r="P103" s="48"/>
    </row>
    <row r="104" spans="1:16">
      <c r="A104" s="28">
        <v>46</v>
      </c>
      <c r="B104" s="28"/>
      <c r="C104" s="28"/>
      <c r="D104" s="28"/>
      <c r="E104" s="28"/>
      <c r="F104" s="28"/>
      <c r="G104" s="29"/>
      <c r="H104" s="75"/>
      <c r="I104" s="28"/>
      <c r="J104" s="28"/>
      <c r="K104" s="28"/>
      <c r="L104" s="28"/>
      <c r="M104" s="28"/>
      <c r="N104" s="28"/>
      <c r="O104" s="28"/>
      <c r="P104" s="28"/>
    </row>
    <row r="105" spans="1:16">
      <c r="A105" s="48">
        <v>47</v>
      </c>
      <c r="B105" s="48"/>
      <c r="C105" s="48"/>
      <c r="D105" s="48"/>
      <c r="E105" s="48"/>
      <c r="F105" s="48"/>
      <c r="G105" s="49"/>
      <c r="H105" s="76"/>
      <c r="I105" s="48"/>
      <c r="J105" s="48"/>
      <c r="K105" s="48"/>
      <c r="L105" s="48"/>
      <c r="M105" s="48"/>
      <c r="N105" s="48"/>
      <c r="O105" s="48"/>
      <c r="P105" s="48"/>
    </row>
    <row r="106" spans="1:16">
      <c r="A106" s="28">
        <v>48</v>
      </c>
      <c r="B106" s="28"/>
      <c r="C106" s="28"/>
      <c r="D106" s="28"/>
      <c r="E106" s="28"/>
      <c r="F106" s="28"/>
      <c r="G106" s="29"/>
      <c r="H106" s="75"/>
      <c r="I106" s="28"/>
      <c r="J106" s="28"/>
      <c r="K106" s="28"/>
      <c r="L106" s="28"/>
      <c r="M106" s="28"/>
      <c r="N106" s="28"/>
      <c r="O106" s="28"/>
      <c r="P106" s="28"/>
    </row>
    <row r="107" spans="1:16">
      <c r="A107" s="48">
        <v>49</v>
      </c>
      <c r="B107" s="48"/>
      <c r="C107" s="48"/>
      <c r="D107" s="48"/>
      <c r="E107" s="48"/>
      <c r="F107" s="48"/>
      <c r="G107" s="49"/>
      <c r="H107" s="76"/>
      <c r="I107" s="48"/>
      <c r="J107" s="48"/>
      <c r="K107" s="48"/>
      <c r="L107" s="48"/>
      <c r="M107" s="48"/>
      <c r="N107" s="48"/>
      <c r="O107" s="48"/>
      <c r="P107" s="48"/>
    </row>
    <row r="108" spans="1:16">
      <c r="A108" s="28">
        <v>50</v>
      </c>
      <c r="B108" s="28"/>
      <c r="C108" s="28"/>
      <c r="D108" s="28"/>
      <c r="E108" s="28"/>
      <c r="F108" s="28"/>
      <c r="G108" s="29"/>
      <c r="H108" s="75"/>
      <c r="I108" s="28"/>
      <c r="J108" s="28"/>
      <c r="K108" s="28"/>
      <c r="L108" s="28"/>
      <c r="M108" s="28"/>
      <c r="N108" s="28"/>
      <c r="O108" s="28"/>
      <c r="P108" s="28"/>
    </row>
    <row r="109" spans="1:16" s="39" customFormat="1" ht="12.75" customHeight="1">
      <c r="A109" s="102" t="s">
        <v>498</v>
      </c>
      <c r="B109" s="112"/>
      <c r="C109" s="112"/>
      <c r="D109" s="7">
        <f>COUNTA(C59:C108)</f>
        <v>0</v>
      </c>
    </row>
  </sheetData>
  <mergeCells count="7">
    <mergeCell ref="Q55:R55"/>
    <mergeCell ref="A1:S1"/>
    <mergeCell ref="A109:C109"/>
    <mergeCell ref="A3:S3"/>
    <mergeCell ref="A55:C55"/>
    <mergeCell ref="L2:N2"/>
    <mergeCell ref="A57:P57"/>
  </mergeCells>
  <conditionalFormatting sqref="A5:S54">
    <cfRule type="expression" dxfId="39" priority="2">
      <formula>$S5="Terminated"</formula>
    </cfRule>
    <cfRule type="expression" dxfId="38" priority="3">
      <formula>$S5="Resigned"</formula>
    </cfRule>
    <cfRule type="expression" dxfId="37" priority="4">
      <formula>$S5="NCNS"</formula>
    </cfRule>
    <cfRule type="expression" dxfId="36" priority="5">
      <formula>$S5="Suspended"</formula>
    </cfRule>
  </conditionalFormatting>
  <conditionalFormatting sqref="A59:O108">
    <cfRule type="expression" dxfId="35" priority="6">
      <formula>$O59="QUIT"</formula>
    </cfRule>
    <cfRule type="expression" dxfId="34" priority="7">
      <formula>$O59="Terminated"</formula>
    </cfRule>
    <cfRule type="expression" dxfId="33" priority="8">
      <formula>$O59="Resigned"</formula>
    </cfRule>
    <cfRule type="expression" dxfId="32" priority="9">
      <formula>$O59="NCNS"</formula>
    </cfRule>
  </conditionalFormatting>
  <dataValidations count="5">
    <dataValidation type="list" sqref="E5:E54" xr:uid="{00000000-0002-0000-0900-000000000000}">
      <formula1>"Yes,No,Pending"</formula1>
    </dataValidation>
    <dataValidation type="list" sqref="B5:B54 B59:B108" xr:uid="{00000000-0002-0000-0900-000001000000}">
      <formula1>"Residential,Administration,Finance,Facilities,HR,ELC,LLL,Prof. Services,Behavioral,IT,Other"</formula1>
    </dataValidation>
    <dataValidation type="list" sqref="S5:S54" xr:uid="{00000000-0002-0000-0900-000002000000}">
      <formula1>"Active,Terminated,Resigned,NCNS,Suspended"</formula1>
    </dataValidation>
    <dataValidation type="list" sqref="I5:R54 I59:O108" xr:uid="{00000000-0002-0000-0900-000003000000}">
      <formula1>"Yes,No,N/A,In Progress"</formula1>
    </dataValidation>
    <dataValidation type="list" sqref="P59:P108" xr:uid="{00000000-0002-0000-0900-000004000000}">
      <formula1>"Active,QUIT,Terminated,Resigned,NCNS,Transferred"</formula1>
    </dataValidation>
  </dataValidations>
  <hyperlinks>
    <hyperlink ref="A2" location="Dashboard!A1" display="← Dashboard" xr:uid="{00000000-0004-0000-0900-000000000000}"/>
  </hyperlinks>
  <pageMargins left="0.75" right="0.75" top="1" bottom="1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2C5282"/>
  </sheetPr>
  <dimension ref="A1:S109"/>
  <sheetViews>
    <sheetView zoomScale="80" zoomScaleNormal="80" workbookViewId="0">
      <pane ySplit="4" topLeftCell="A5" activePane="bottomLeft" state="frozen"/>
      <selection pane="bottomLeft" activeCell="F16" sqref="F16"/>
      <selection activeCell="F16" sqref="F16"/>
    </sheetView>
  </sheetViews>
  <sheetFormatPr defaultColWidth="8.7109375" defaultRowHeight="14.25"/>
  <cols>
    <col min="1" max="1" width="4" style="32" customWidth="1"/>
    <col min="2" max="2" width="15" style="32" customWidth="1"/>
    <col min="3" max="3" width="13" style="32" customWidth="1"/>
    <col min="4" max="4" width="17" style="32" customWidth="1"/>
    <col min="5" max="5" width="11" style="32" customWidth="1"/>
    <col min="6" max="6" width="14" style="32" customWidth="1"/>
    <col min="7" max="7" width="22" style="32" customWidth="1"/>
    <col min="8" max="8" width="12" style="32" customWidth="1"/>
    <col min="9" max="17" width="11" style="32" customWidth="1"/>
    <col min="18" max="19" width="10" style="32" customWidth="1"/>
    <col min="20" max="20" width="8.7109375" style="32" customWidth="1"/>
    <col min="21" max="16384" width="8.7109375" style="32"/>
  </cols>
  <sheetData>
    <row r="1" spans="1:19" ht="33.75" customHeight="1">
      <c r="A1" s="100" t="s">
        <v>666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</row>
    <row r="2" spans="1:19" s="1" customFormat="1" ht="18" customHeight="1">
      <c r="A2" s="33" t="s">
        <v>79</v>
      </c>
      <c r="E2" s="35" t="s">
        <v>402</v>
      </c>
      <c r="F2" s="35">
        <f>D55</f>
        <v>0</v>
      </c>
      <c r="G2" s="36" t="s">
        <v>403</v>
      </c>
      <c r="H2" s="36">
        <f>S55</f>
        <v>0</v>
      </c>
      <c r="I2" s="37" t="s">
        <v>404</v>
      </c>
      <c r="J2" s="37">
        <f>D109</f>
        <v>0</v>
      </c>
      <c r="L2" s="104" t="s">
        <v>405</v>
      </c>
      <c r="M2" s="87"/>
      <c r="N2" s="87"/>
      <c r="O2" s="38" t="str">
        <f t="array" ref="O2">IF(COUNTIF(S5:S54,"Active")&gt;0,SUMPRODUCT((S5:S54="Active")*(I5:R54="Yes"))/SUMPRODUCT((S5:S54="Active")*(I5:R54&lt;&gt;"N/A")*(I5:R54&lt;&gt;"")),"—")</f>
        <v>—</v>
      </c>
    </row>
    <row r="3" spans="1:19" ht="24" customHeight="1">
      <c r="A3" s="103" t="s">
        <v>406</v>
      </c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</row>
    <row r="4" spans="1:19" ht="27.75" customHeight="1">
      <c r="A4" s="27" t="s">
        <v>407</v>
      </c>
      <c r="B4" s="27" t="s">
        <v>408</v>
      </c>
      <c r="C4" s="27" t="s">
        <v>409</v>
      </c>
      <c r="D4" s="27" t="s">
        <v>410</v>
      </c>
      <c r="E4" s="27" t="s">
        <v>411</v>
      </c>
      <c r="F4" s="27" t="s">
        <v>412</v>
      </c>
      <c r="G4" s="27" t="s">
        <v>413</v>
      </c>
      <c r="H4" s="27" t="s">
        <v>414</v>
      </c>
      <c r="I4" s="27" t="s">
        <v>357</v>
      </c>
      <c r="J4" s="27" t="s">
        <v>69</v>
      </c>
      <c r="K4" s="27" t="s">
        <v>360</v>
      </c>
      <c r="L4" s="27" t="s">
        <v>96</v>
      </c>
      <c r="M4" s="27" t="s">
        <v>72</v>
      </c>
      <c r="N4" s="27" t="s">
        <v>73</v>
      </c>
      <c r="O4" s="27" t="s">
        <v>74</v>
      </c>
      <c r="P4" s="27" t="s">
        <v>75</v>
      </c>
      <c r="Q4" s="27" t="s">
        <v>76</v>
      </c>
      <c r="R4" s="27" t="s">
        <v>77</v>
      </c>
      <c r="S4" s="27" t="s">
        <v>415</v>
      </c>
    </row>
    <row r="5" spans="1:19">
      <c r="A5" s="48">
        <v>1</v>
      </c>
      <c r="B5" s="48"/>
      <c r="C5" s="48"/>
      <c r="D5" s="48"/>
      <c r="E5" s="48"/>
      <c r="F5" s="49"/>
      <c r="G5" s="48"/>
      <c r="H5" s="49"/>
      <c r="I5" s="48"/>
      <c r="J5" s="48"/>
      <c r="K5" s="48"/>
      <c r="L5" s="48"/>
      <c r="M5" s="48"/>
      <c r="N5" s="48"/>
      <c r="O5" s="48"/>
      <c r="P5" s="48"/>
      <c r="Q5" s="48"/>
      <c r="R5" s="48"/>
      <c r="S5" s="49"/>
    </row>
    <row r="6" spans="1:19">
      <c r="A6" s="28">
        <v>2</v>
      </c>
      <c r="B6" s="28"/>
      <c r="C6" s="28"/>
      <c r="D6" s="28"/>
      <c r="E6" s="28"/>
      <c r="F6" s="29"/>
      <c r="G6" s="28"/>
      <c r="H6" s="29"/>
      <c r="I6" s="28"/>
      <c r="J6" s="28"/>
      <c r="K6" s="28"/>
      <c r="L6" s="28"/>
      <c r="M6" s="28"/>
      <c r="N6" s="28"/>
      <c r="O6" s="28"/>
      <c r="P6" s="28"/>
      <c r="Q6" s="28"/>
      <c r="R6" s="28"/>
      <c r="S6" s="29"/>
    </row>
    <row r="7" spans="1:19">
      <c r="A7" s="48">
        <v>3</v>
      </c>
      <c r="B7" s="48"/>
      <c r="C7" s="48"/>
      <c r="D7" s="48"/>
      <c r="E7" s="48"/>
      <c r="F7" s="49"/>
      <c r="G7" s="48"/>
      <c r="H7" s="49"/>
      <c r="I7" s="48"/>
      <c r="J7" s="48"/>
      <c r="K7" s="48"/>
      <c r="L7" s="48"/>
      <c r="M7" s="48"/>
      <c r="N7" s="48"/>
      <c r="O7" s="48"/>
      <c r="P7" s="48"/>
      <c r="Q7" s="48"/>
      <c r="R7" s="48"/>
      <c r="S7" s="49"/>
    </row>
    <row r="8" spans="1:19">
      <c r="A8" s="28">
        <v>4</v>
      </c>
      <c r="B8" s="28"/>
      <c r="C8" s="28"/>
      <c r="D8" s="28"/>
      <c r="E8" s="28"/>
      <c r="F8" s="29"/>
      <c r="G8" s="28"/>
      <c r="H8" s="29"/>
      <c r="I8" s="28"/>
      <c r="J8" s="28"/>
      <c r="K8" s="28"/>
      <c r="L8" s="28"/>
      <c r="M8" s="28"/>
      <c r="N8" s="28"/>
      <c r="O8" s="28"/>
      <c r="P8" s="28"/>
      <c r="Q8" s="28"/>
      <c r="R8" s="28"/>
      <c r="S8" s="29"/>
    </row>
    <row r="9" spans="1:19">
      <c r="A9" s="48">
        <v>5</v>
      </c>
      <c r="B9" s="48"/>
      <c r="C9" s="48"/>
      <c r="D9" s="48"/>
      <c r="E9" s="48"/>
      <c r="F9" s="49"/>
      <c r="G9" s="48"/>
      <c r="H9" s="49"/>
      <c r="I9" s="48"/>
      <c r="J9" s="48"/>
      <c r="K9" s="48"/>
      <c r="L9" s="48"/>
      <c r="M9" s="48"/>
      <c r="N9" s="48"/>
      <c r="O9" s="48"/>
      <c r="P9" s="48"/>
      <c r="Q9" s="48"/>
      <c r="R9" s="48"/>
      <c r="S9" s="49"/>
    </row>
    <row r="10" spans="1:19">
      <c r="A10" s="28">
        <v>6</v>
      </c>
      <c r="B10" s="28"/>
      <c r="C10" s="28"/>
      <c r="D10" s="28"/>
      <c r="E10" s="28"/>
      <c r="F10" s="29"/>
      <c r="G10" s="28"/>
      <c r="H10" s="29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9"/>
    </row>
    <row r="11" spans="1:19">
      <c r="A11" s="48">
        <v>7</v>
      </c>
      <c r="B11" s="48"/>
      <c r="C11" s="48"/>
      <c r="D11" s="48"/>
      <c r="E11" s="48"/>
      <c r="F11" s="49"/>
      <c r="G11" s="48"/>
      <c r="H11" s="49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9"/>
    </row>
    <row r="12" spans="1:19">
      <c r="A12" s="28">
        <v>8</v>
      </c>
      <c r="B12" s="28"/>
      <c r="C12" s="28"/>
      <c r="D12" s="28"/>
      <c r="E12" s="28"/>
      <c r="F12" s="29"/>
      <c r="G12" s="28"/>
      <c r="H12" s="29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9"/>
    </row>
    <row r="13" spans="1:19">
      <c r="A13" s="48">
        <v>9</v>
      </c>
      <c r="B13" s="48"/>
      <c r="C13" s="48"/>
      <c r="D13" s="48"/>
      <c r="E13" s="48"/>
      <c r="F13" s="49"/>
      <c r="G13" s="48"/>
      <c r="H13" s="49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9"/>
    </row>
    <row r="14" spans="1:19">
      <c r="A14" s="28">
        <v>10</v>
      </c>
      <c r="B14" s="28"/>
      <c r="C14" s="28"/>
      <c r="D14" s="28"/>
      <c r="E14" s="28"/>
      <c r="F14" s="29"/>
      <c r="G14" s="28"/>
      <c r="H14" s="29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9"/>
    </row>
    <row r="15" spans="1:19">
      <c r="A15" s="48">
        <v>11</v>
      </c>
      <c r="B15" s="48"/>
      <c r="C15" s="48"/>
      <c r="D15" s="48"/>
      <c r="E15" s="48"/>
      <c r="F15" s="49"/>
      <c r="G15" s="48"/>
      <c r="H15" s="49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9"/>
    </row>
    <row r="16" spans="1:19">
      <c r="A16" s="28">
        <v>12</v>
      </c>
      <c r="B16" s="28"/>
      <c r="C16" s="28"/>
      <c r="D16" s="28"/>
      <c r="E16" s="28"/>
      <c r="F16" s="29"/>
      <c r="G16" s="28"/>
      <c r="H16" s="29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9"/>
    </row>
    <row r="17" spans="1:19">
      <c r="A17" s="48">
        <v>13</v>
      </c>
      <c r="B17" s="48"/>
      <c r="C17" s="48"/>
      <c r="D17" s="48"/>
      <c r="E17" s="48"/>
      <c r="F17" s="49"/>
      <c r="G17" s="48"/>
      <c r="H17" s="49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9"/>
    </row>
    <row r="18" spans="1:19">
      <c r="A18" s="28">
        <v>14</v>
      </c>
      <c r="B18" s="28"/>
      <c r="C18" s="28"/>
      <c r="D18" s="28"/>
      <c r="E18" s="28"/>
      <c r="F18" s="29"/>
      <c r="G18" s="28"/>
      <c r="H18" s="29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9"/>
    </row>
    <row r="19" spans="1:19">
      <c r="A19" s="48">
        <v>15</v>
      </c>
      <c r="B19" s="48"/>
      <c r="C19" s="48"/>
      <c r="D19" s="48"/>
      <c r="E19" s="48"/>
      <c r="F19" s="49"/>
      <c r="G19" s="48"/>
      <c r="H19" s="49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9"/>
    </row>
    <row r="20" spans="1:19">
      <c r="A20" s="28">
        <v>16</v>
      </c>
      <c r="B20" s="28"/>
      <c r="C20" s="28"/>
      <c r="D20" s="28"/>
      <c r="E20" s="28"/>
      <c r="F20" s="29"/>
      <c r="G20" s="28"/>
      <c r="H20" s="29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9"/>
    </row>
    <row r="21" spans="1:19">
      <c r="A21" s="48">
        <v>17</v>
      </c>
      <c r="B21" s="48"/>
      <c r="C21" s="48"/>
      <c r="D21" s="48"/>
      <c r="E21" s="48"/>
      <c r="F21" s="49"/>
      <c r="G21" s="48"/>
      <c r="H21" s="49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9"/>
    </row>
    <row r="22" spans="1:19">
      <c r="A22" s="28">
        <v>18</v>
      </c>
      <c r="B22" s="28"/>
      <c r="C22" s="28"/>
      <c r="D22" s="28"/>
      <c r="E22" s="28"/>
      <c r="F22" s="29"/>
      <c r="G22" s="28"/>
      <c r="H22" s="29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9"/>
    </row>
    <row r="23" spans="1:19">
      <c r="A23" s="48">
        <v>19</v>
      </c>
      <c r="B23" s="48"/>
      <c r="C23" s="48"/>
      <c r="D23" s="48"/>
      <c r="E23" s="48"/>
      <c r="F23" s="49"/>
      <c r="G23" s="48"/>
      <c r="H23" s="49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9"/>
    </row>
    <row r="24" spans="1:19">
      <c r="A24" s="28">
        <v>20</v>
      </c>
      <c r="B24" s="28"/>
      <c r="C24" s="28"/>
      <c r="D24" s="28"/>
      <c r="E24" s="28"/>
      <c r="F24" s="29"/>
      <c r="G24" s="28"/>
      <c r="H24" s="29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</row>
    <row r="25" spans="1:19">
      <c r="A25" s="48">
        <v>21</v>
      </c>
      <c r="B25" s="48"/>
      <c r="C25" s="48"/>
      <c r="D25" s="48"/>
      <c r="E25" s="48"/>
      <c r="F25" s="49"/>
      <c r="G25" s="48"/>
      <c r="H25" s="49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9"/>
    </row>
    <row r="26" spans="1:19">
      <c r="A26" s="28">
        <v>22</v>
      </c>
      <c r="B26" s="28"/>
      <c r="C26" s="28"/>
      <c r="D26" s="28"/>
      <c r="E26" s="28"/>
      <c r="F26" s="29"/>
      <c r="G26" s="28"/>
      <c r="H26" s="29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9"/>
    </row>
    <row r="27" spans="1:19">
      <c r="A27" s="48">
        <v>23</v>
      </c>
      <c r="B27" s="48"/>
      <c r="C27" s="48"/>
      <c r="D27" s="48"/>
      <c r="E27" s="48"/>
      <c r="F27" s="49"/>
      <c r="G27" s="48"/>
      <c r="H27" s="49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9"/>
    </row>
    <row r="28" spans="1:19">
      <c r="A28" s="28">
        <v>24</v>
      </c>
      <c r="B28" s="28"/>
      <c r="C28" s="28"/>
      <c r="D28" s="28"/>
      <c r="E28" s="28"/>
      <c r="F28" s="29"/>
      <c r="G28" s="28"/>
      <c r="H28" s="29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9"/>
    </row>
    <row r="29" spans="1:19">
      <c r="A29" s="48">
        <v>25</v>
      </c>
      <c r="B29" s="48"/>
      <c r="C29" s="48"/>
      <c r="D29" s="48"/>
      <c r="E29" s="48"/>
      <c r="F29" s="49"/>
      <c r="G29" s="48"/>
      <c r="H29" s="49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9"/>
    </row>
    <row r="30" spans="1:19">
      <c r="A30" s="28">
        <v>26</v>
      </c>
      <c r="B30" s="28"/>
      <c r="C30" s="28"/>
      <c r="D30" s="28"/>
      <c r="E30" s="28"/>
      <c r="F30" s="29"/>
      <c r="G30" s="28"/>
      <c r="H30" s="29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9"/>
    </row>
    <row r="31" spans="1:19">
      <c r="A31" s="48">
        <v>27</v>
      </c>
      <c r="B31" s="48"/>
      <c r="C31" s="48"/>
      <c r="D31" s="48"/>
      <c r="E31" s="48"/>
      <c r="F31" s="49"/>
      <c r="G31" s="48"/>
      <c r="H31" s="49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9"/>
    </row>
    <row r="32" spans="1:19">
      <c r="A32" s="28">
        <v>28</v>
      </c>
      <c r="B32" s="28"/>
      <c r="C32" s="28"/>
      <c r="D32" s="28"/>
      <c r="E32" s="28"/>
      <c r="F32" s="29"/>
      <c r="G32" s="28"/>
      <c r="H32" s="29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9"/>
    </row>
    <row r="33" spans="1:19">
      <c r="A33" s="48">
        <v>29</v>
      </c>
      <c r="B33" s="48"/>
      <c r="C33" s="48"/>
      <c r="D33" s="48"/>
      <c r="E33" s="48"/>
      <c r="F33" s="49"/>
      <c r="G33" s="48"/>
      <c r="H33" s="49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9"/>
    </row>
    <row r="34" spans="1:19">
      <c r="A34" s="28">
        <v>30</v>
      </c>
      <c r="B34" s="28"/>
      <c r="C34" s="28"/>
      <c r="D34" s="28"/>
      <c r="E34" s="28"/>
      <c r="F34" s="29"/>
      <c r="G34" s="28"/>
      <c r="H34" s="29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9"/>
    </row>
    <row r="35" spans="1:19">
      <c r="A35" s="48">
        <v>31</v>
      </c>
      <c r="B35" s="48"/>
      <c r="C35" s="48"/>
      <c r="D35" s="48"/>
      <c r="E35" s="48"/>
      <c r="F35" s="49"/>
      <c r="G35" s="48"/>
      <c r="H35" s="49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9"/>
    </row>
    <row r="36" spans="1:19">
      <c r="A36" s="28">
        <v>32</v>
      </c>
      <c r="B36" s="28"/>
      <c r="C36" s="28"/>
      <c r="D36" s="28"/>
      <c r="E36" s="28"/>
      <c r="F36" s="29"/>
      <c r="G36" s="28"/>
      <c r="H36" s="29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9"/>
    </row>
    <row r="37" spans="1:19">
      <c r="A37" s="48">
        <v>33</v>
      </c>
      <c r="B37" s="48"/>
      <c r="C37" s="48"/>
      <c r="D37" s="48"/>
      <c r="E37" s="48"/>
      <c r="F37" s="49"/>
      <c r="G37" s="48"/>
      <c r="H37" s="49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9"/>
    </row>
    <row r="38" spans="1:19">
      <c r="A38" s="28">
        <v>34</v>
      </c>
      <c r="B38" s="28"/>
      <c r="C38" s="28"/>
      <c r="D38" s="28"/>
      <c r="E38" s="28"/>
      <c r="F38" s="29"/>
      <c r="G38" s="28"/>
      <c r="H38" s="29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9"/>
    </row>
    <row r="39" spans="1:19">
      <c r="A39" s="48">
        <v>35</v>
      </c>
      <c r="B39" s="48"/>
      <c r="C39" s="48"/>
      <c r="D39" s="48"/>
      <c r="E39" s="48"/>
      <c r="F39" s="49"/>
      <c r="G39" s="48"/>
      <c r="H39" s="49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9"/>
    </row>
    <row r="40" spans="1:19">
      <c r="A40" s="28">
        <v>36</v>
      </c>
      <c r="B40" s="28"/>
      <c r="C40" s="28"/>
      <c r="D40" s="28"/>
      <c r="E40" s="28"/>
      <c r="F40" s="29"/>
      <c r="G40" s="28"/>
      <c r="H40" s="29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9"/>
    </row>
    <row r="41" spans="1:19">
      <c r="A41" s="48">
        <v>37</v>
      </c>
      <c r="B41" s="48"/>
      <c r="C41" s="48"/>
      <c r="D41" s="48"/>
      <c r="E41" s="48"/>
      <c r="F41" s="49"/>
      <c r="G41" s="48"/>
      <c r="H41" s="49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9"/>
    </row>
    <row r="42" spans="1:19">
      <c r="A42" s="28">
        <v>38</v>
      </c>
      <c r="B42" s="28"/>
      <c r="C42" s="28"/>
      <c r="D42" s="28"/>
      <c r="E42" s="28"/>
      <c r="F42" s="29"/>
      <c r="G42" s="28"/>
      <c r="H42" s="29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9"/>
    </row>
    <row r="43" spans="1:19">
      <c r="A43" s="48">
        <v>39</v>
      </c>
      <c r="B43" s="48"/>
      <c r="C43" s="48"/>
      <c r="D43" s="48"/>
      <c r="E43" s="48"/>
      <c r="F43" s="49"/>
      <c r="G43" s="48"/>
      <c r="H43" s="49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9"/>
    </row>
    <row r="44" spans="1:19">
      <c r="A44" s="28">
        <v>40</v>
      </c>
      <c r="B44" s="28"/>
      <c r="C44" s="28"/>
      <c r="D44" s="28"/>
      <c r="E44" s="28"/>
      <c r="F44" s="29"/>
      <c r="G44" s="28"/>
      <c r="H44" s="29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9"/>
    </row>
    <row r="45" spans="1:19">
      <c r="A45" s="48">
        <v>41</v>
      </c>
      <c r="B45" s="48"/>
      <c r="C45" s="48"/>
      <c r="D45" s="48"/>
      <c r="E45" s="48"/>
      <c r="F45" s="49"/>
      <c r="G45" s="48"/>
      <c r="H45" s="49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9"/>
    </row>
    <row r="46" spans="1:19">
      <c r="A46" s="28">
        <v>42</v>
      </c>
      <c r="B46" s="28"/>
      <c r="C46" s="28"/>
      <c r="D46" s="28"/>
      <c r="E46" s="28"/>
      <c r="F46" s="29"/>
      <c r="G46" s="28"/>
      <c r="H46" s="29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9"/>
    </row>
    <row r="47" spans="1:19">
      <c r="A47" s="48">
        <v>43</v>
      </c>
      <c r="B47" s="48"/>
      <c r="C47" s="48"/>
      <c r="D47" s="48"/>
      <c r="E47" s="48"/>
      <c r="F47" s="49"/>
      <c r="G47" s="48"/>
      <c r="H47" s="49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9"/>
    </row>
    <row r="48" spans="1:19">
      <c r="A48" s="28">
        <v>44</v>
      </c>
      <c r="B48" s="28"/>
      <c r="C48" s="28"/>
      <c r="D48" s="28"/>
      <c r="E48" s="28"/>
      <c r="F48" s="29"/>
      <c r="G48" s="28"/>
      <c r="H48" s="29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9"/>
    </row>
    <row r="49" spans="1:19">
      <c r="A49" s="48">
        <v>45</v>
      </c>
      <c r="B49" s="48"/>
      <c r="C49" s="48"/>
      <c r="D49" s="48"/>
      <c r="E49" s="48"/>
      <c r="F49" s="49"/>
      <c r="G49" s="48"/>
      <c r="H49" s="49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9"/>
    </row>
    <row r="50" spans="1:19">
      <c r="A50" s="28">
        <v>46</v>
      </c>
      <c r="B50" s="28"/>
      <c r="C50" s="28"/>
      <c r="D50" s="28"/>
      <c r="E50" s="28"/>
      <c r="F50" s="29"/>
      <c r="G50" s="28"/>
      <c r="H50" s="29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9"/>
    </row>
    <row r="51" spans="1:19">
      <c r="A51" s="48">
        <v>47</v>
      </c>
      <c r="B51" s="48"/>
      <c r="C51" s="48"/>
      <c r="D51" s="48"/>
      <c r="E51" s="48"/>
      <c r="F51" s="49"/>
      <c r="G51" s="48"/>
      <c r="H51" s="49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9"/>
    </row>
    <row r="52" spans="1:19">
      <c r="A52" s="28">
        <v>48</v>
      </c>
      <c r="B52" s="28"/>
      <c r="C52" s="28"/>
      <c r="D52" s="28"/>
      <c r="E52" s="28"/>
      <c r="F52" s="29"/>
      <c r="G52" s="28"/>
      <c r="H52" s="29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9"/>
    </row>
    <row r="53" spans="1:19">
      <c r="A53" s="48">
        <v>49</v>
      </c>
      <c r="B53" s="48"/>
      <c r="C53" s="48"/>
      <c r="D53" s="48"/>
      <c r="E53" s="48"/>
      <c r="F53" s="49"/>
      <c r="G53" s="48"/>
      <c r="H53" s="49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9"/>
    </row>
    <row r="54" spans="1:19">
      <c r="A54" s="28">
        <v>50</v>
      </c>
      <c r="B54" s="28"/>
      <c r="C54" s="28"/>
      <c r="D54" s="28"/>
      <c r="E54" s="28"/>
      <c r="F54" s="29"/>
      <c r="G54" s="28"/>
      <c r="H54" s="29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9"/>
    </row>
    <row r="55" spans="1:19" s="39" customFormat="1" ht="21.75" customHeight="1">
      <c r="A55" s="102" t="s">
        <v>460</v>
      </c>
      <c r="B55" s="112"/>
      <c r="C55" s="112"/>
      <c r="D55" s="7">
        <f>COUNTA(C5:C54)</f>
        <v>0</v>
      </c>
      <c r="I55" s="7" t="s">
        <v>461</v>
      </c>
      <c r="J55" s="39">
        <f t="array" ref="J55">COUNTIF(S5:S54,"Active")-SUMPRODUCT((S5:S54="Active")*(I5:I54="Yes")*(J5:J54="Yes")*(K5:K54="Yes")*(L5:L54="Yes")*(M5:M54="Yes")*(N5:N54="Yes")*(O5:O54="Yes")*(P5:P54="Yes")*(Q5:Q54="Yes")*(R5:R54="Yes"))</f>
        <v>0</v>
      </c>
      <c r="P55" s="34"/>
      <c r="Q55" s="99" t="s">
        <v>462</v>
      </c>
      <c r="R55" s="99"/>
      <c r="S55" s="39">
        <f>COUNTIF(S5:S54,"Terminated")+COUNTIF(S5:S54,"Resigned")+COUNTIF(S5:S54,"NCNS")</f>
        <v>0</v>
      </c>
    </row>
    <row r="56" spans="1:19" ht="7.5" customHeight="1"/>
    <row r="57" spans="1:19" ht="24" customHeight="1">
      <c r="A57" s="105" t="s">
        <v>463</v>
      </c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1"/>
      <c r="O57" s="101"/>
      <c r="P57" s="101"/>
    </row>
    <row r="58" spans="1:19" ht="24" customHeight="1">
      <c r="A58" s="27" t="s">
        <v>407</v>
      </c>
      <c r="B58" s="27" t="s">
        <v>408</v>
      </c>
      <c r="C58" s="27" t="s">
        <v>409</v>
      </c>
      <c r="D58" s="27" t="s">
        <v>464</v>
      </c>
      <c r="E58" s="27" t="s">
        <v>465</v>
      </c>
      <c r="F58" s="27" t="s">
        <v>466</v>
      </c>
      <c r="G58" s="27" t="s">
        <v>467</v>
      </c>
      <c r="H58" s="80" t="s">
        <v>468</v>
      </c>
      <c r="I58" s="27" t="s">
        <v>469</v>
      </c>
      <c r="J58" s="27" t="s">
        <v>470</v>
      </c>
      <c r="K58" s="27" t="s">
        <v>73</v>
      </c>
      <c r="L58" s="27" t="s">
        <v>74</v>
      </c>
      <c r="M58" s="27" t="s">
        <v>471</v>
      </c>
      <c r="N58" s="27" t="s">
        <v>76</v>
      </c>
      <c r="O58" s="27" t="s">
        <v>472</v>
      </c>
      <c r="P58" s="27" t="s">
        <v>415</v>
      </c>
    </row>
    <row r="59" spans="1:19">
      <c r="A59" s="48">
        <v>1</v>
      </c>
      <c r="B59" s="48"/>
      <c r="C59" s="48"/>
      <c r="D59" s="48"/>
      <c r="E59" s="48"/>
      <c r="F59" s="48"/>
      <c r="G59" s="49"/>
      <c r="H59" s="76"/>
      <c r="I59" s="48"/>
      <c r="J59" s="48"/>
      <c r="K59" s="48"/>
      <c r="L59" s="48"/>
      <c r="M59" s="48"/>
      <c r="N59" s="48"/>
      <c r="O59" s="48"/>
      <c r="P59" s="48"/>
    </row>
    <row r="60" spans="1:19">
      <c r="A60" s="28">
        <v>2</v>
      </c>
      <c r="B60" s="28"/>
      <c r="C60" s="28"/>
      <c r="D60" s="28"/>
      <c r="E60" s="28"/>
      <c r="F60" s="28"/>
      <c r="G60" s="29"/>
      <c r="H60" s="75"/>
      <c r="I60" s="28"/>
      <c r="J60" s="28"/>
      <c r="K60" s="28"/>
      <c r="L60" s="28"/>
      <c r="M60" s="28"/>
      <c r="N60" s="28"/>
      <c r="O60" s="28"/>
      <c r="P60" s="28"/>
    </row>
    <row r="61" spans="1:19">
      <c r="A61" s="48">
        <v>3</v>
      </c>
      <c r="B61" s="48"/>
      <c r="C61" s="48"/>
      <c r="D61" s="48"/>
      <c r="E61" s="48"/>
      <c r="F61" s="48"/>
      <c r="G61" s="49"/>
      <c r="H61" s="76"/>
      <c r="I61" s="48"/>
      <c r="J61" s="48"/>
      <c r="K61" s="48"/>
      <c r="L61" s="48"/>
      <c r="M61" s="48"/>
      <c r="N61" s="48"/>
      <c r="O61" s="48"/>
      <c r="P61" s="48"/>
    </row>
    <row r="62" spans="1:19">
      <c r="A62" s="28">
        <v>4</v>
      </c>
      <c r="B62" s="28"/>
      <c r="C62" s="28"/>
      <c r="D62" s="28"/>
      <c r="E62" s="28"/>
      <c r="F62" s="28"/>
      <c r="G62" s="29"/>
      <c r="H62" s="75"/>
      <c r="I62" s="28"/>
      <c r="J62" s="28"/>
      <c r="K62" s="28"/>
      <c r="L62" s="28"/>
      <c r="M62" s="28"/>
      <c r="N62" s="28"/>
      <c r="O62" s="28"/>
      <c r="P62" s="28"/>
    </row>
    <row r="63" spans="1:19">
      <c r="A63" s="48">
        <v>5</v>
      </c>
      <c r="B63" s="48"/>
      <c r="C63" s="48"/>
      <c r="D63" s="48"/>
      <c r="E63" s="48"/>
      <c r="F63" s="48"/>
      <c r="G63" s="49"/>
      <c r="H63" s="76"/>
      <c r="I63" s="48"/>
      <c r="J63" s="48"/>
      <c r="K63" s="48"/>
      <c r="L63" s="48"/>
      <c r="M63" s="48"/>
      <c r="N63" s="48"/>
      <c r="O63" s="48"/>
      <c r="P63" s="48"/>
    </row>
    <row r="64" spans="1:19">
      <c r="A64" s="28">
        <v>6</v>
      </c>
      <c r="B64" s="28"/>
      <c r="C64" s="28"/>
      <c r="D64" s="28"/>
      <c r="E64" s="28"/>
      <c r="F64" s="28"/>
      <c r="G64" s="29"/>
      <c r="H64" s="75"/>
      <c r="I64" s="28"/>
      <c r="J64" s="28"/>
      <c r="K64" s="28"/>
      <c r="L64" s="28"/>
      <c r="M64" s="28"/>
      <c r="N64" s="28"/>
      <c r="O64" s="28"/>
      <c r="P64" s="28"/>
    </row>
    <row r="65" spans="1:16">
      <c r="A65" s="48">
        <v>7</v>
      </c>
      <c r="B65" s="48"/>
      <c r="C65" s="48"/>
      <c r="D65" s="48"/>
      <c r="E65" s="48"/>
      <c r="F65" s="48"/>
      <c r="G65" s="49"/>
      <c r="H65" s="76"/>
      <c r="I65" s="48"/>
      <c r="J65" s="48"/>
      <c r="K65" s="48"/>
      <c r="L65" s="48"/>
      <c r="M65" s="48"/>
      <c r="N65" s="48"/>
      <c r="O65" s="48"/>
      <c r="P65" s="48"/>
    </row>
    <row r="66" spans="1:16">
      <c r="A66" s="28">
        <v>8</v>
      </c>
      <c r="B66" s="28"/>
      <c r="C66" s="28"/>
      <c r="D66" s="28"/>
      <c r="E66" s="28"/>
      <c r="F66" s="28"/>
      <c r="G66" s="29"/>
      <c r="H66" s="75"/>
      <c r="I66" s="28"/>
      <c r="J66" s="28"/>
      <c r="K66" s="28"/>
      <c r="L66" s="28"/>
      <c r="M66" s="28"/>
      <c r="N66" s="28"/>
      <c r="O66" s="28"/>
      <c r="P66" s="28"/>
    </row>
    <row r="67" spans="1:16">
      <c r="A67" s="48">
        <v>9</v>
      </c>
      <c r="B67" s="48"/>
      <c r="C67" s="48"/>
      <c r="D67" s="48"/>
      <c r="E67" s="48"/>
      <c r="F67" s="48"/>
      <c r="G67" s="49"/>
      <c r="H67" s="76"/>
      <c r="I67" s="48"/>
      <c r="J67" s="48"/>
      <c r="K67" s="48"/>
      <c r="L67" s="48"/>
      <c r="M67" s="48"/>
      <c r="N67" s="48"/>
      <c r="O67" s="48"/>
      <c r="P67" s="48"/>
    </row>
    <row r="68" spans="1:16">
      <c r="A68" s="28">
        <v>10</v>
      </c>
      <c r="B68" s="28"/>
      <c r="C68" s="28"/>
      <c r="D68" s="28"/>
      <c r="E68" s="28"/>
      <c r="F68" s="28"/>
      <c r="G68" s="29"/>
      <c r="H68" s="75"/>
      <c r="I68" s="28"/>
      <c r="J68" s="28"/>
      <c r="K68" s="28"/>
      <c r="L68" s="28"/>
      <c r="M68" s="28"/>
      <c r="N68" s="28"/>
      <c r="O68" s="28"/>
      <c r="P68" s="28"/>
    </row>
    <row r="69" spans="1:16">
      <c r="A69" s="48">
        <v>11</v>
      </c>
      <c r="B69" s="48"/>
      <c r="C69" s="48"/>
      <c r="D69" s="48"/>
      <c r="E69" s="48"/>
      <c r="F69" s="48"/>
      <c r="G69" s="49"/>
      <c r="H69" s="76"/>
      <c r="I69" s="48"/>
      <c r="J69" s="48"/>
      <c r="K69" s="48"/>
      <c r="L69" s="48"/>
      <c r="M69" s="48"/>
      <c r="N69" s="48"/>
      <c r="O69" s="48"/>
      <c r="P69" s="48"/>
    </row>
    <row r="70" spans="1:16">
      <c r="A70" s="28">
        <v>12</v>
      </c>
      <c r="B70" s="28"/>
      <c r="C70" s="28"/>
      <c r="D70" s="28"/>
      <c r="E70" s="28"/>
      <c r="F70" s="28"/>
      <c r="G70" s="29"/>
      <c r="H70" s="75"/>
      <c r="I70" s="28"/>
      <c r="J70" s="28"/>
      <c r="K70" s="28"/>
      <c r="L70" s="28"/>
      <c r="M70" s="28"/>
      <c r="N70" s="28"/>
      <c r="O70" s="28"/>
      <c r="P70" s="28"/>
    </row>
    <row r="71" spans="1:16">
      <c r="A71" s="48">
        <v>13</v>
      </c>
      <c r="B71" s="48"/>
      <c r="C71" s="48"/>
      <c r="D71" s="48"/>
      <c r="E71" s="48"/>
      <c r="F71" s="48"/>
      <c r="G71" s="49"/>
      <c r="H71" s="76"/>
      <c r="I71" s="48"/>
      <c r="J71" s="48"/>
      <c r="K71" s="48"/>
      <c r="L71" s="48"/>
      <c r="M71" s="48"/>
      <c r="N71" s="48"/>
      <c r="O71" s="48"/>
      <c r="P71" s="48"/>
    </row>
    <row r="72" spans="1:16">
      <c r="A72" s="28">
        <v>14</v>
      </c>
      <c r="B72" s="28"/>
      <c r="C72" s="28"/>
      <c r="D72" s="28"/>
      <c r="E72" s="28"/>
      <c r="F72" s="28"/>
      <c r="G72" s="29"/>
      <c r="H72" s="75"/>
      <c r="I72" s="28"/>
      <c r="J72" s="28"/>
      <c r="K72" s="28"/>
      <c r="L72" s="28"/>
      <c r="M72" s="28"/>
      <c r="N72" s="28"/>
      <c r="O72" s="28"/>
      <c r="P72" s="28"/>
    </row>
    <row r="73" spans="1:16">
      <c r="A73" s="48">
        <v>15</v>
      </c>
      <c r="B73" s="48"/>
      <c r="C73" s="48"/>
      <c r="D73" s="48"/>
      <c r="E73" s="48"/>
      <c r="F73" s="48"/>
      <c r="G73" s="49"/>
      <c r="H73" s="76"/>
      <c r="I73" s="48"/>
      <c r="J73" s="48"/>
      <c r="K73" s="48"/>
      <c r="L73" s="48"/>
      <c r="M73" s="48"/>
      <c r="N73" s="48"/>
      <c r="O73" s="48"/>
      <c r="P73" s="48"/>
    </row>
    <row r="74" spans="1:16">
      <c r="A74" s="28">
        <v>16</v>
      </c>
      <c r="B74" s="28"/>
      <c r="C74" s="28"/>
      <c r="D74" s="28"/>
      <c r="E74" s="28"/>
      <c r="F74" s="28"/>
      <c r="G74" s="29"/>
      <c r="H74" s="75"/>
      <c r="I74" s="28"/>
      <c r="J74" s="28"/>
      <c r="K74" s="28"/>
      <c r="L74" s="28"/>
      <c r="M74" s="28"/>
      <c r="N74" s="28"/>
      <c r="O74" s="28"/>
      <c r="P74" s="28"/>
    </row>
    <row r="75" spans="1:16">
      <c r="A75" s="48">
        <v>17</v>
      </c>
      <c r="B75" s="48"/>
      <c r="C75" s="48"/>
      <c r="D75" s="48"/>
      <c r="E75" s="48"/>
      <c r="F75" s="48"/>
      <c r="G75" s="49"/>
      <c r="H75" s="76"/>
      <c r="I75" s="48"/>
      <c r="J75" s="48"/>
      <c r="K75" s="48"/>
      <c r="L75" s="48"/>
      <c r="M75" s="48"/>
      <c r="N75" s="48"/>
      <c r="O75" s="48"/>
      <c r="P75" s="48"/>
    </row>
    <row r="76" spans="1:16">
      <c r="A76" s="28">
        <v>18</v>
      </c>
      <c r="B76" s="28"/>
      <c r="C76" s="28"/>
      <c r="D76" s="28"/>
      <c r="E76" s="28"/>
      <c r="F76" s="28"/>
      <c r="G76" s="29"/>
      <c r="H76" s="75"/>
      <c r="I76" s="28"/>
      <c r="J76" s="28"/>
      <c r="K76" s="28"/>
      <c r="L76" s="28"/>
      <c r="M76" s="28"/>
      <c r="N76" s="28"/>
      <c r="O76" s="28"/>
      <c r="P76" s="28"/>
    </row>
    <row r="77" spans="1:16">
      <c r="A77" s="48">
        <v>19</v>
      </c>
      <c r="B77" s="48"/>
      <c r="C77" s="48"/>
      <c r="D77" s="48"/>
      <c r="E77" s="48"/>
      <c r="F77" s="48"/>
      <c r="G77" s="49"/>
      <c r="H77" s="76"/>
      <c r="I77" s="48"/>
      <c r="J77" s="48"/>
      <c r="K77" s="48"/>
      <c r="L77" s="48"/>
      <c r="M77" s="48"/>
      <c r="N77" s="48"/>
      <c r="O77" s="48"/>
      <c r="P77" s="48"/>
    </row>
    <row r="78" spans="1:16">
      <c r="A78" s="28">
        <v>20</v>
      </c>
      <c r="B78" s="28"/>
      <c r="C78" s="28"/>
      <c r="D78" s="28"/>
      <c r="E78" s="28"/>
      <c r="F78" s="28"/>
      <c r="G78" s="29"/>
      <c r="H78" s="75"/>
      <c r="I78" s="28"/>
      <c r="J78" s="28"/>
      <c r="K78" s="28"/>
      <c r="L78" s="28"/>
      <c r="M78" s="28"/>
      <c r="N78" s="28"/>
      <c r="O78" s="28"/>
      <c r="P78" s="28"/>
    </row>
    <row r="79" spans="1:16">
      <c r="A79" s="48">
        <v>21</v>
      </c>
      <c r="B79" s="48"/>
      <c r="C79" s="48"/>
      <c r="D79" s="48"/>
      <c r="E79" s="48"/>
      <c r="F79" s="48"/>
      <c r="G79" s="49"/>
      <c r="H79" s="76"/>
      <c r="I79" s="48"/>
      <c r="J79" s="48"/>
      <c r="K79" s="48"/>
      <c r="L79" s="48"/>
      <c r="M79" s="48"/>
      <c r="N79" s="48"/>
      <c r="O79" s="48"/>
      <c r="P79" s="48"/>
    </row>
    <row r="80" spans="1:16">
      <c r="A80" s="28">
        <v>22</v>
      </c>
      <c r="B80" s="28"/>
      <c r="C80" s="28"/>
      <c r="D80" s="28"/>
      <c r="E80" s="28"/>
      <c r="F80" s="28"/>
      <c r="G80" s="29"/>
      <c r="H80" s="75"/>
      <c r="I80" s="28"/>
      <c r="J80" s="28"/>
      <c r="K80" s="28"/>
      <c r="L80" s="28"/>
      <c r="M80" s="28"/>
      <c r="N80" s="28"/>
      <c r="O80" s="28"/>
      <c r="P80" s="28"/>
    </row>
    <row r="81" spans="1:16">
      <c r="A81" s="48">
        <v>23</v>
      </c>
      <c r="B81" s="48"/>
      <c r="C81" s="48"/>
      <c r="D81" s="48"/>
      <c r="E81" s="48"/>
      <c r="F81" s="48"/>
      <c r="G81" s="49"/>
      <c r="H81" s="76"/>
      <c r="I81" s="48"/>
      <c r="J81" s="48"/>
      <c r="K81" s="48"/>
      <c r="L81" s="48"/>
      <c r="M81" s="48"/>
      <c r="N81" s="48"/>
      <c r="O81" s="48"/>
      <c r="P81" s="48"/>
    </row>
    <row r="82" spans="1:16">
      <c r="A82" s="28">
        <v>24</v>
      </c>
      <c r="B82" s="28"/>
      <c r="C82" s="28"/>
      <c r="D82" s="28"/>
      <c r="E82" s="28"/>
      <c r="F82" s="28"/>
      <c r="G82" s="29"/>
      <c r="H82" s="75"/>
      <c r="I82" s="28"/>
      <c r="J82" s="28"/>
      <c r="K82" s="28"/>
      <c r="L82" s="28"/>
      <c r="M82" s="28"/>
      <c r="N82" s="28"/>
      <c r="O82" s="28"/>
      <c r="P82" s="28"/>
    </row>
    <row r="83" spans="1:16">
      <c r="A83" s="48">
        <v>25</v>
      </c>
      <c r="B83" s="48"/>
      <c r="C83" s="48"/>
      <c r="D83" s="48"/>
      <c r="E83" s="48"/>
      <c r="F83" s="48"/>
      <c r="G83" s="49"/>
      <c r="H83" s="76"/>
      <c r="I83" s="48"/>
      <c r="J83" s="48"/>
      <c r="K83" s="48"/>
      <c r="L83" s="48"/>
      <c r="M83" s="48"/>
      <c r="N83" s="48"/>
      <c r="O83" s="48"/>
      <c r="P83" s="48"/>
    </row>
    <row r="84" spans="1:16">
      <c r="A84" s="28">
        <v>26</v>
      </c>
      <c r="B84" s="28"/>
      <c r="C84" s="28"/>
      <c r="D84" s="28"/>
      <c r="E84" s="28"/>
      <c r="F84" s="28"/>
      <c r="G84" s="29"/>
      <c r="H84" s="75"/>
      <c r="I84" s="28"/>
      <c r="J84" s="28"/>
      <c r="K84" s="28"/>
      <c r="L84" s="28"/>
      <c r="M84" s="28"/>
      <c r="N84" s="28"/>
      <c r="O84" s="28"/>
      <c r="P84" s="28"/>
    </row>
    <row r="85" spans="1:16">
      <c r="A85" s="48">
        <v>27</v>
      </c>
      <c r="B85" s="48"/>
      <c r="C85" s="48"/>
      <c r="D85" s="48"/>
      <c r="E85" s="48"/>
      <c r="F85" s="48"/>
      <c r="G85" s="49"/>
      <c r="H85" s="76"/>
      <c r="I85" s="48"/>
      <c r="J85" s="48"/>
      <c r="K85" s="48"/>
      <c r="L85" s="48"/>
      <c r="M85" s="48"/>
      <c r="N85" s="48"/>
      <c r="O85" s="48"/>
      <c r="P85" s="48"/>
    </row>
    <row r="86" spans="1:16">
      <c r="A86" s="28">
        <v>28</v>
      </c>
      <c r="B86" s="28"/>
      <c r="C86" s="28"/>
      <c r="D86" s="28"/>
      <c r="E86" s="28"/>
      <c r="F86" s="28"/>
      <c r="G86" s="29"/>
      <c r="H86" s="75"/>
      <c r="I86" s="28"/>
      <c r="J86" s="28"/>
      <c r="K86" s="28"/>
      <c r="L86" s="28"/>
      <c r="M86" s="28"/>
      <c r="N86" s="28"/>
      <c r="O86" s="28"/>
      <c r="P86" s="28"/>
    </row>
    <row r="87" spans="1:16">
      <c r="A87" s="48">
        <v>29</v>
      </c>
      <c r="B87" s="48"/>
      <c r="C87" s="48"/>
      <c r="D87" s="48"/>
      <c r="E87" s="48"/>
      <c r="F87" s="48"/>
      <c r="G87" s="49"/>
      <c r="H87" s="76"/>
      <c r="I87" s="48"/>
      <c r="J87" s="48"/>
      <c r="K87" s="48"/>
      <c r="L87" s="48"/>
      <c r="M87" s="48"/>
      <c r="N87" s="48"/>
      <c r="O87" s="48"/>
      <c r="P87" s="48"/>
    </row>
    <row r="88" spans="1:16">
      <c r="A88" s="28">
        <v>30</v>
      </c>
      <c r="B88" s="28"/>
      <c r="C88" s="28"/>
      <c r="D88" s="28"/>
      <c r="E88" s="28"/>
      <c r="F88" s="28"/>
      <c r="G88" s="29"/>
      <c r="H88" s="75"/>
      <c r="I88" s="28"/>
      <c r="J88" s="28"/>
      <c r="K88" s="28"/>
      <c r="L88" s="28"/>
      <c r="M88" s="28"/>
      <c r="N88" s="28"/>
      <c r="O88" s="28"/>
      <c r="P88" s="28"/>
    </row>
    <row r="89" spans="1:16">
      <c r="A89" s="48">
        <v>31</v>
      </c>
      <c r="B89" s="48"/>
      <c r="C89" s="48"/>
      <c r="D89" s="48"/>
      <c r="E89" s="48"/>
      <c r="F89" s="48"/>
      <c r="G89" s="49"/>
      <c r="H89" s="76"/>
      <c r="I89" s="48"/>
      <c r="J89" s="48"/>
      <c r="K89" s="48"/>
      <c r="L89" s="48"/>
      <c r="M89" s="48"/>
      <c r="N89" s="48"/>
      <c r="O89" s="48"/>
      <c r="P89" s="48"/>
    </row>
    <row r="90" spans="1:16">
      <c r="A90" s="28">
        <v>32</v>
      </c>
      <c r="B90" s="28"/>
      <c r="C90" s="28"/>
      <c r="D90" s="28"/>
      <c r="E90" s="28"/>
      <c r="F90" s="28"/>
      <c r="G90" s="29"/>
      <c r="H90" s="75"/>
      <c r="I90" s="28"/>
      <c r="J90" s="28"/>
      <c r="K90" s="28"/>
      <c r="L90" s="28"/>
      <c r="M90" s="28"/>
      <c r="N90" s="28"/>
      <c r="O90" s="28"/>
      <c r="P90" s="28"/>
    </row>
    <row r="91" spans="1:16">
      <c r="A91" s="48">
        <v>33</v>
      </c>
      <c r="B91" s="48"/>
      <c r="C91" s="48"/>
      <c r="D91" s="48"/>
      <c r="E91" s="48"/>
      <c r="F91" s="48"/>
      <c r="G91" s="49"/>
      <c r="H91" s="76"/>
      <c r="I91" s="48"/>
      <c r="J91" s="48"/>
      <c r="K91" s="48"/>
      <c r="L91" s="48"/>
      <c r="M91" s="48"/>
      <c r="N91" s="48"/>
      <c r="O91" s="48"/>
      <c r="P91" s="48"/>
    </row>
    <row r="92" spans="1:16">
      <c r="A92" s="28">
        <v>34</v>
      </c>
      <c r="B92" s="28"/>
      <c r="C92" s="28"/>
      <c r="D92" s="28"/>
      <c r="E92" s="28"/>
      <c r="F92" s="28"/>
      <c r="G92" s="29"/>
      <c r="H92" s="75"/>
      <c r="I92" s="28"/>
      <c r="J92" s="28"/>
      <c r="K92" s="28"/>
      <c r="L92" s="28"/>
      <c r="M92" s="28"/>
      <c r="N92" s="28"/>
      <c r="O92" s="28"/>
      <c r="P92" s="28"/>
    </row>
    <row r="93" spans="1:16">
      <c r="A93" s="48">
        <v>35</v>
      </c>
      <c r="B93" s="48"/>
      <c r="C93" s="48"/>
      <c r="D93" s="48"/>
      <c r="E93" s="48"/>
      <c r="F93" s="48"/>
      <c r="G93" s="49"/>
      <c r="H93" s="76"/>
      <c r="I93" s="48"/>
      <c r="J93" s="48"/>
      <c r="K93" s="48"/>
      <c r="L93" s="48"/>
      <c r="M93" s="48"/>
      <c r="N93" s="48"/>
      <c r="O93" s="48"/>
      <c r="P93" s="48"/>
    </row>
    <row r="94" spans="1:16">
      <c r="A94" s="28">
        <v>36</v>
      </c>
      <c r="B94" s="28"/>
      <c r="C94" s="28"/>
      <c r="D94" s="28"/>
      <c r="E94" s="28"/>
      <c r="F94" s="28"/>
      <c r="G94" s="29"/>
      <c r="H94" s="75"/>
      <c r="I94" s="28"/>
      <c r="J94" s="28"/>
      <c r="K94" s="28"/>
      <c r="L94" s="28"/>
      <c r="M94" s="28"/>
      <c r="N94" s="28"/>
      <c r="O94" s="28"/>
      <c r="P94" s="28"/>
    </row>
    <row r="95" spans="1:16">
      <c r="A95" s="48">
        <v>37</v>
      </c>
      <c r="B95" s="48"/>
      <c r="C95" s="48"/>
      <c r="D95" s="48"/>
      <c r="E95" s="48"/>
      <c r="F95" s="48"/>
      <c r="G95" s="49"/>
      <c r="H95" s="76"/>
      <c r="I95" s="48"/>
      <c r="J95" s="48"/>
      <c r="K95" s="48"/>
      <c r="L95" s="48"/>
      <c r="M95" s="48"/>
      <c r="N95" s="48"/>
      <c r="O95" s="48"/>
      <c r="P95" s="48"/>
    </row>
    <row r="96" spans="1:16">
      <c r="A96" s="28">
        <v>38</v>
      </c>
      <c r="B96" s="28"/>
      <c r="C96" s="28"/>
      <c r="D96" s="28"/>
      <c r="E96" s="28"/>
      <c r="F96" s="28"/>
      <c r="G96" s="29"/>
      <c r="H96" s="75"/>
      <c r="I96" s="28"/>
      <c r="J96" s="28"/>
      <c r="K96" s="28"/>
      <c r="L96" s="28"/>
      <c r="M96" s="28"/>
      <c r="N96" s="28"/>
      <c r="O96" s="28"/>
      <c r="P96" s="28"/>
    </row>
    <row r="97" spans="1:16">
      <c r="A97" s="48">
        <v>39</v>
      </c>
      <c r="B97" s="48"/>
      <c r="C97" s="48"/>
      <c r="D97" s="48"/>
      <c r="E97" s="48"/>
      <c r="F97" s="48"/>
      <c r="G97" s="49"/>
      <c r="H97" s="76"/>
      <c r="I97" s="48"/>
      <c r="J97" s="48"/>
      <c r="K97" s="48"/>
      <c r="L97" s="48"/>
      <c r="M97" s="48"/>
      <c r="N97" s="48"/>
      <c r="O97" s="48"/>
      <c r="P97" s="48"/>
    </row>
    <row r="98" spans="1:16">
      <c r="A98" s="28">
        <v>40</v>
      </c>
      <c r="B98" s="28"/>
      <c r="C98" s="28"/>
      <c r="D98" s="28"/>
      <c r="E98" s="28"/>
      <c r="F98" s="28"/>
      <c r="G98" s="29"/>
      <c r="H98" s="75"/>
      <c r="I98" s="28"/>
      <c r="J98" s="28"/>
      <c r="K98" s="28"/>
      <c r="L98" s="28"/>
      <c r="M98" s="28"/>
      <c r="N98" s="28"/>
      <c r="O98" s="28"/>
      <c r="P98" s="28"/>
    </row>
    <row r="99" spans="1:16">
      <c r="A99" s="48">
        <v>41</v>
      </c>
      <c r="B99" s="48"/>
      <c r="C99" s="48"/>
      <c r="D99" s="48"/>
      <c r="E99" s="48"/>
      <c r="F99" s="48"/>
      <c r="G99" s="49"/>
      <c r="H99" s="76"/>
      <c r="I99" s="48"/>
      <c r="J99" s="48"/>
      <c r="K99" s="48"/>
      <c r="L99" s="48"/>
      <c r="M99" s="48"/>
      <c r="N99" s="48"/>
      <c r="O99" s="48"/>
      <c r="P99" s="48"/>
    </row>
    <row r="100" spans="1:16">
      <c r="A100" s="28">
        <v>42</v>
      </c>
      <c r="B100" s="28"/>
      <c r="C100" s="28"/>
      <c r="D100" s="28"/>
      <c r="E100" s="28"/>
      <c r="F100" s="28"/>
      <c r="G100" s="29"/>
      <c r="H100" s="75"/>
      <c r="I100" s="28"/>
      <c r="J100" s="28"/>
      <c r="K100" s="28"/>
      <c r="L100" s="28"/>
      <c r="M100" s="28"/>
      <c r="N100" s="28"/>
      <c r="O100" s="28"/>
      <c r="P100" s="28"/>
    </row>
    <row r="101" spans="1:16">
      <c r="A101" s="48">
        <v>43</v>
      </c>
      <c r="B101" s="48"/>
      <c r="C101" s="48"/>
      <c r="D101" s="48"/>
      <c r="E101" s="48"/>
      <c r="F101" s="48"/>
      <c r="G101" s="49"/>
      <c r="H101" s="76"/>
      <c r="I101" s="48"/>
      <c r="J101" s="48"/>
      <c r="K101" s="48"/>
      <c r="L101" s="48"/>
      <c r="M101" s="48"/>
      <c r="N101" s="48"/>
      <c r="O101" s="48"/>
      <c r="P101" s="48"/>
    </row>
    <row r="102" spans="1:16">
      <c r="A102" s="28">
        <v>44</v>
      </c>
      <c r="B102" s="28"/>
      <c r="C102" s="28"/>
      <c r="D102" s="28"/>
      <c r="E102" s="28"/>
      <c r="F102" s="28"/>
      <c r="G102" s="29"/>
      <c r="H102" s="75"/>
      <c r="I102" s="28"/>
      <c r="J102" s="28"/>
      <c r="K102" s="28"/>
      <c r="L102" s="28"/>
      <c r="M102" s="28"/>
      <c r="N102" s="28"/>
      <c r="O102" s="28"/>
      <c r="P102" s="28"/>
    </row>
    <row r="103" spans="1:16">
      <c r="A103" s="48">
        <v>45</v>
      </c>
      <c r="B103" s="48"/>
      <c r="C103" s="48"/>
      <c r="D103" s="48"/>
      <c r="E103" s="48"/>
      <c r="F103" s="48"/>
      <c r="G103" s="49"/>
      <c r="H103" s="76"/>
      <c r="I103" s="48"/>
      <c r="J103" s="48"/>
      <c r="K103" s="48"/>
      <c r="L103" s="48"/>
      <c r="M103" s="48"/>
      <c r="N103" s="48"/>
      <c r="O103" s="48"/>
      <c r="P103" s="48"/>
    </row>
    <row r="104" spans="1:16">
      <c r="A104" s="28">
        <v>46</v>
      </c>
      <c r="B104" s="28"/>
      <c r="C104" s="28"/>
      <c r="D104" s="28"/>
      <c r="E104" s="28"/>
      <c r="F104" s="28"/>
      <c r="G104" s="29"/>
      <c r="H104" s="75"/>
      <c r="I104" s="28"/>
      <c r="J104" s="28"/>
      <c r="K104" s="28"/>
      <c r="L104" s="28"/>
      <c r="M104" s="28"/>
      <c r="N104" s="28"/>
      <c r="O104" s="28"/>
      <c r="P104" s="28"/>
    </row>
    <row r="105" spans="1:16">
      <c r="A105" s="48">
        <v>47</v>
      </c>
      <c r="B105" s="48"/>
      <c r="C105" s="48"/>
      <c r="D105" s="48"/>
      <c r="E105" s="48"/>
      <c r="F105" s="48"/>
      <c r="G105" s="49"/>
      <c r="H105" s="76"/>
      <c r="I105" s="48"/>
      <c r="J105" s="48"/>
      <c r="K105" s="48"/>
      <c r="L105" s="48"/>
      <c r="M105" s="48"/>
      <c r="N105" s="48"/>
      <c r="O105" s="48"/>
      <c r="P105" s="48"/>
    </row>
    <row r="106" spans="1:16">
      <c r="A106" s="28">
        <v>48</v>
      </c>
      <c r="B106" s="28"/>
      <c r="C106" s="28"/>
      <c r="D106" s="28"/>
      <c r="E106" s="28"/>
      <c r="F106" s="28"/>
      <c r="G106" s="29"/>
      <c r="H106" s="75"/>
      <c r="I106" s="28"/>
      <c r="J106" s="28"/>
      <c r="K106" s="28"/>
      <c r="L106" s="28"/>
      <c r="M106" s="28"/>
      <c r="N106" s="28"/>
      <c r="O106" s="28"/>
      <c r="P106" s="28"/>
    </row>
    <row r="107" spans="1:16">
      <c r="A107" s="48">
        <v>49</v>
      </c>
      <c r="B107" s="48"/>
      <c r="C107" s="48"/>
      <c r="D107" s="48"/>
      <c r="E107" s="48"/>
      <c r="F107" s="48"/>
      <c r="G107" s="49"/>
      <c r="H107" s="76"/>
      <c r="I107" s="48"/>
      <c r="J107" s="48"/>
      <c r="K107" s="48"/>
      <c r="L107" s="48"/>
      <c r="M107" s="48"/>
      <c r="N107" s="48"/>
      <c r="O107" s="48"/>
      <c r="P107" s="48"/>
    </row>
    <row r="108" spans="1:16">
      <c r="A108" s="28">
        <v>50</v>
      </c>
      <c r="B108" s="28"/>
      <c r="C108" s="28"/>
      <c r="D108" s="28"/>
      <c r="E108" s="28"/>
      <c r="F108" s="28"/>
      <c r="G108" s="29"/>
      <c r="H108" s="75"/>
      <c r="I108" s="28"/>
      <c r="J108" s="28"/>
      <c r="K108" s="28"/>
      <c r="L108" s="28"/>
      <c r="M108" s="28"/>
      <c r="N108" s="28"/>
      <c r="O108" s="28"/>
      <c r="P108" s="28"/>
    </row>
    <row r="109" spans="1:16" s="39" customFormat="1" ht="12.75" customHeight="1">
      <c r="A109" s="102" t="s">
        <v>498</v>
      </c>
      <c r="B109" s="112"/>
      <c r="C109" s="112"/>
      <c r="D109" s="7">
        <f>COUNTA(C59:C108)</f>
        <v>0</v>
      </c>
    </row>
  </sheetData>
  <mergeCells count="7">
    <mergeCell ref="Q55:R55"/>
    <mergeCell ref="A1:S1"/>
    <mergeCell ref="A109:C109"/>
    <mergeCell ref="A3:S3"/>
    <mergeCell ref="A55:C55"/>
    <mergeCell ref="L2:N2"/>
    <mergeCell ref="A57:P57"/>
  </mergeCells>
  <conditionalFormatting sqref="A5:S54">
    <cfRule type="expression" dxfId="31" priority="2">
      <formula>$S5="Terminated"</formula>
    </cfRule>
    <cfRule type="expression" dxfId="30" priority="3">
      <formula>$S5="Resigned"</formula>
    </cfRule>
    <cfRule type="expression" dxfId="29" priority="4">
      <formula>$S5="NCNS"</formula>
    </cfRule>
    <cfRule type="expression" dxfId="28" priority="5">
      <formula>$S5="Suspended"</formula>
    </cfRule>
  </conditionalFormatting>
  <conditionalFormatting sqref="A59:O108">
    <cfRule type="expression" dxfId="27" priority="6">
      <formula>$O59="QUIT"</formula>
    </cfRule>
    <cfRule type="expression" dxfId="26" priority="7">
      <formula>$O59="Terminated"</formula>
    </cfRule>
    <cfRule type="expression" dxfId="25" priority="8">
      <formula>$O59="Resigned"</formula>
    </cfRule>
    <cfRule type="expression" dxfId="24" priority="9">
      <formula>$O59="NCNS"</formula>
    </cfRule>
  </conditionalFormatting>
  <dataValidations disablePrompts="1" count="5">
    <dataValidation type="list" sqref="E5:E54" xr:uid="{00000000-0002-0000-0A00-000000000000}">
      <formula1>"Yes,No,Pending"</formula1>
    </dataValidation>
    <dataValidation type="list" sqref="B5:B54 B59:B108" xr:uid="{00000000-0002-0000-0A00-000001000000}">
      <formula1>"Residential,Administration,Finance,Facilities,HR,ELC,LLL,Prof. Services,Behavioral,IT,Other"</formula1>
    </dataValidation>
    <dataValidation type="list" sqref="S5:S54" xr:uid="{00000000-0002-0000-0A00-000002000000}">
      <formula1>"Active,Terminated,Resigned,NCNS,Suspended"</formula1>
    </dataValidation>
    <dataValidation type="list" sqref="I5:R54 I59:O108" xr:uid="{00000000-0002-0000-0A00-000003000000}">
      <formula1>"Yes,No,N/A,In Progress"</formula1>
    </dataValidation>
    <dataValidation type="list" sqref="P59:P108" xr:uid="{00000000-0002-0000-0A00-000004000000}">
      <formula1>"Active,QUIT,Terminated,Resigned,NCNS,Transferred"</formula1>
    </dataValidation>
  </dataValidations>
  <hyperlinks>
    <hyperlink ref="A2" location="Dashboard!A1" display="← Dashboard" xr:uid="{00000000-0004-0000-0A00-000000000000}"/>
  </hyperlinks>
  <pageMargins left="0.75" right="0.75" top="1" bottom="1" header="0.511811023622047" footer="0.511811023622047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2C5282"/>
  </sheetPr>
  <dimension ref="A1:S109"/>
  <sheetViews>
    <sheetView zoomScale="80" zoomScaleNormal="80" workbookViewId="0">
      <pane ySplit="4" topLeftCell="A32" activePane="bottomLeft" state="frozen"/>
      <selection pane="bottomLeft" activeCell="F16" sqref="F16"/>
      <selection activeCell="F16" sqref="F16"/>
    </sheetView>
  </sheetViews>
  <sheetFormatPr defaultColWidth="8.7109375" defaultRowHeight="14.25"/>
  <cols>
    <col min="1" max="1" width="4" style="32" customWidth="1"/>
    <col min="2" max="2" width="15" style="32" customWidth="1"/>
    <col min="3" max="3" width="13" style="32" customWidth="1"/>
    <col min="4" max="4" width="17" style="32" customWidth="1"/>
    <col min="5" max="5" width="11" style="32" customWidth="1"/>
    <col min="6" max="6" width="14" style="32" customWidth="1"/>
    <col min="7" max="7" width="22" style="32" customWidth="1"/>
    <col min="8" max="8" width="12" style="32" customWidth="1"/>
    <col min="9" max="17" width="11" style="32" customWidth="1"/>
    <col min="18" max="19" width="10" style="32" customWidth="1"/>
    <col min="20" max="20" width="8.7109375" style="32" customWidth="1"/>
    <col min="21" max="16384" width="8.7109375" style="32"/>
  </cols>
  <sheetData>
    <row r="1" spans="1:19" ht="33.75" customHeight="1">
      <c r="A1" s="100" t="s">
        <v>667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</row>
    <row r="2" spans="1:19" s="1" customFormat="1" ht="18" customHeight="1">
      <c r="A2" s="33" t="s">
        <v>79</v>
      </c>
      <c r="E2" s="35" t="s">
        <v>402</v>
      </c>
      <c r="F2" s="35">
        <f>D55</f>
        <v>0</v>
      </c>
      <c r="G2" s="36" t="s">
        <v>403</v>
      </c>
      <c r="H2" s="36">
        <f>S55</f>
        <v>0</v>
      </c>
      <c r="I2" s="37" t="s">
        <v>404</v>
      </c>
      <c r="J2" s="37">
        <f>D109</f>
        <v>0</v>
      </c>
      <c r="L2" s="104" t="s">
        <v>405</v>
      </c>
      <c r="M2" s="87"/>
      <c r="N2" s="87"/>
      <c r="O2" s="38" t="str">
        <f t="array" ref="O2">IF(COUNTIF(S5:S54,"Active")&gt;0,SUMPRODUCT((S5:S54="Active")*(I5:R54="Yes"))/SUMPRODUCT((S5:S54="Active")*(I5:R54&lt;&gt;"N/A")*(I5:R54&lt;&gt;"")),"—")</f>
        <v>—</v>
      </c>
    </row>
    <row r="3" spans="1:19" ht="24" customHeight="1">
      <c r="A3" s="103" t="s">
        <v>406</v>
      </c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</row>
    <row r="4" spans="1:19" ht="27.75" customHeight="1">
      <c r="A4" s="27" t="s">
        <v>407</v>
      </c>
      <c r="B4" s="27" t="s">
        <v>408</v>
      </c>
      <c r="C4" s="27" t="s">
        <v>409</v>
      </c>
      <c r="D4" s="27" t="s">
        <v>410</v>
      </c>
      <c r="E4" s="27" t="s">
        <v>411</v>
      </c>
      <c r="F4" s="27" t="s">
        <v>412</v>
      </c>
      <c r="G4" s="27" t="s">
        <v>413</v>
      </c>
      <c r="H4" s="27" t="s">
        <v>414</v>
      </c>
      <c r="I4" s="27" t="s">
        <v>357</v>
      </c>
      <c r="J4" s="27" t="s">
        <v>69</v>
      </c>
      <c r="K4" s="27" t="s">
        <v>360</v>
      </c>
      <c r="L4" s="27" t="s">
        <v>96</v>
      </c>
      <c r="M4" s="27" t="s">
        <v>72</v>
      </c>
      <c r="N4" s="27" t="s">
        <v>73</v>
      </c>
      <c r="O4" s="27" t="s">
        <v>74</v>
      </c>
      <c r="P4" s="27" t="s">
        <v>75</v>
      </c>
      <c r="Q4" s="27" t="s">
        <v>76</v>
      </c>
      <c r="R4" s="27" t="s">
        <v>77</v>
      </c>
      <c r="S4" s="27" t="s">
        <v>415</v>
      </c>
    </row>
    <row r="5" spans="1:19">
      <c r="A5" s="48">
        <v>1</v>
      </c>
      <c r="B5" s="48"/>
      <c r="C5" s="48"/>
      <c r="D5" s="48"/>
      <c r="E5" s="48"/>
      <c r="F5" s="49"/>
      <c r="G5" s="48"/>
      <c r="H5" s="49"/>
      <c r="I5" s="48"/>
      <c r="J5" s="48"/>
      <c r="K5" s="48"/>
      <c r="L5" s="48"/>
      <c r="M5" s="48"/>
      <c r="N5" s="48"/>
      <c r="O5" s="48"/>
      <c r="P5" s="48"/>
      <c r="Q5" s="48"/>
      <c r="R5" s="48"/>
      <c r="S5" s="49"/>
    </row>
    <row r="6" spans="1:19">
      <c r="A6" s="28">
        <v>2</v>
      </c>
      <c r="B6" s="28"/>
      <c r="C6" s="28"/>
      <c r="D6" s="28"/>
      <c r="E6" s="28"/>
      <c r="F6" s="29"/>
      <c r="G6" s="28"/>
      <c r="H6" s="29"/>
      <c r="I6" s="28"/>
      <c r="J6" s="28"/>
      <c r="K6" s="28"/>
      <c r="L6" s="28"/>
      <c r="M6" s="28"/>
      <c r="N6" s="28"/>
      <c r="O6" s="28"/>
      <c r="P6" s="28"/>
      <c r="Q6" s="28"/>
      <c r="R6" s="28"/>
      <c r="S6" s="29"/>
    </row>
    <row r="7" spans="1:19">
      <c r="A7" s="48">
        <v>3</v>
      </c>
      <c r="B7" s="48"/>
      <c r="C7" s="48"/>
      <c r="D7" s="48"/>
      <c r="E7" s="48"/>
      <c r="F7" s="49"/>
      <c r="G7" s="48"/>
      <c r="H7" s="49"/>
      <c r="I7" s="48"/>
      <c r="J7" s="48"/>
      <c r="K7" s="48"/>
      <c r="L7" s="48"/>
      <c r="M7" s="48"/>
      <c r="N7" s="48"/>
      <c r="O7" s="48"/>
      <c r="P7" s="48"/>
      <c r="Q7" s="48"/>
      <c r="R7" s="48"/>
      <c r="S7" s="49"/>
    </row>
    <row r="8" spans="1:19">
      <c r="A8" s="28">
        <v>4</v>
      </c>
      <c r="B8" s="28"/>
      <c r="C8" s="28"/>
      <c r="D8" s="28"/>
      <c r="E8" s="28"/>
      <c r="F8" s="29"/>
      <c r="G8" s="28"/>
      <c r="H8" s="29"/>
      <c r="I8" s="28"/>
      <c r="J8" s="28"/>
      <c r="K8" s="28"/>
      <c r="L8" s="28"/>
      <c r="M8" s="28"/>
      <c r="N8" s="28"/>
      <c r="O8" s="28"/>
      <c r="P8" s="28"/>
      <c r="Q8" s="28"/>
      <c r="R8" s="28"/>
      <c r="S8" s="29"/>
    </row>
    <row r="9" spans="1:19">
      <c r="A9" s="48">
        <v>5</v>
      </c>
      <c r="B9" s="48"/>
      <c r="C9" s="48"/>
      <c r="D9" s="48"/>
      <c r="E9" s="48"/>
      <c r="F9" s="49"/>
      <c r="G9" s="48"/>
      <c r="H9" s="49"/>
      <c r="I9" s="48"/>
      <c r="J9" s="48"/>
      <c r="K9" s="48"/>
      <c r="L9" s="48"/>
      <c r="M9" s="48"/>
      <c r="N9" s="48"/>
      <c r="O9" s="48"/>
      <c r="P9" s="48"/>
      <c r="Q9" s="48"/>
      <c r="R9" s="48"/>
      <c r="S9" s="49"/>
    </row>
    <row r="10" spans="1:19">
      <c r="A10" s="28">
        <v>6</v>
      </c>
      <c r="B10" s="28"/>
      <c r="C10" s="28"/>
      <c r="D10" s="28"/>
      <c r="E10" s="28"/>
      <c r="F10" s="29"/>
      <c r="G10" s="28"/>
      <c r="H10" s="29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9"/>
    </row>
    <row r="11" spans="1:19">
      <c r="A11" s="48">
        <v>7</v>
      </c>
      <c r="B11" s="48"/>
      <c r="C11" s="48"/>
      <c r="D11" s="48"/>
      <c r="E11" s="48"/>
      <c r="F11" s="49"/>
      <c r="G11" s="48"/>
      <c r="H11" s="49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9"/>
    </row>
    <row r="12" spans="1:19">
      <c r="A12" s="28">
        <v>8</v>
      </c>
      <c r="B12" s="28"/>
      <c r="C12" s="28"/>
      <c r="D12" s="28"/>
      <c r="E12" s="28"/>
      <c r="F12" s="29"/>
      <c r="G12" s="28"/>
      <c r="H12" s="29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9"/>
    </row>
    <row r="13" spans="1:19">
      <c r="A13" s="48">
        <v>9</v>
      </c>
      <c r="B13" s="48"/>
      <c r="C13" s="48"/>
      <c r="D13" s="48"/>
      <c r="E13" s="48"/>
      <c r="F13" s="49"/>
      <c r="G13" s="48"/>
      <c r="H13" s="49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9"/>
    </row>
    <row r="14" spans="1:19">
      <c r="A14" s="28">
        <v>10</v>
      </c>
      <c r="B14" s="28"/>
      <c r="C14" s="28"/>
      <c r="D14" s="28"/>
      <c r="E14" s="28"/>
      <c r="F14" s="29"/>
      <c r="G14" s="28"/>
      <c r="H14" s="29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9"/>
    </row>
    <row r="15" spans="1:19">
      <c r="A15" s="48">
        <v>11</v>
      </c>
      <c r="B15" s="48"/>
      <c r="C15" s="48"/>
      <c r="D15" s="48"/>
      <c r="E15" s="48"/>
      <c r="F15" s="49"/>
      <c r="G15" s="48"/>
      <c r="H15" s="49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9"/>
    </row>
    <row r="16" spans="1:19">
      <c r="A16" s="28">
        <v>12</v>
      </c>
      <c r="B16" s="28"/>
      <c r="C16" s="28"/>
      <c r="D16" s="28"/>
      <c r="E16" s="28"/>
      <c r="F16" s="29"/>
      <c r="G16" s="28"/>
      <c r="H16" s="29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9"/>
    </row>
    <row r="17" spans="1:19">
      <c r="A17" s="48">
        <v>13</v>
      </c>
      <c r="B17" s="48"/>
      <c r="C17" s="48"/>
      <c r="D17" s="48"/>
      <c r="E17" s="48"/>
      <c r="F17" s="49"/>
      <c r="G17" s="48"/>
      <c r="H17" s="49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9"/>
    </row>
    <row r="18" spans="1:19">
      <c r="A18" s="28">
        <v>14</v>
      </c>
      <c r="B18" s="28"/>
      <c r="C18" s="28"/>
      <c r="D18" s="28"/>
      <c r="E18" s="28"/>
      <c r="F18" s="29"/>
      <c r="G18" s="28"/>
      <c r="H18" s="29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9"/>
    </row>
    <row r="19" spans="1:19">
      <c r="A19" s="48">
        <v>15</v>
      </c>
      <c r="B19" s="48"/>
      <c r="C19" s="48"/>
      <c r="D19" s="48"/>
      <c r="E19" s="48"/>
      <c r="F19" s="49"/>
      <c r="G19" s="48"/>
      <c r="H19" s="49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9"/>
    </row>
    <row r="20" spans="1:19">
      <c r="A20" s="28">
        <v>16</v>
      </c>
      <c r="B20" s="28"/>
      <c r="C20" s="28"/>
      <c r="D20" s="28"/>
      <c r="E20" s="28"/>
      <c r="F20" s="29"/>
      <c r="G20" s="28"/>
      <c r="H20" s="29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9"/>
    </row>
    <row r="21" spans="1:19">
      <c r="A21" s="48">
        <v>17</v>
      </c>
      <c r="B21" s="48"/>
      <c r="C21" s="48"/>
      <c r="D21" s="48"/>
      <c r="E21" s="48"/>
      <c r="F21" s="49"/>
      <c r="G21" s="48"/>
      <c r="H21" s="49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9"/>
    </row>
    <row r="22" spans="1:19">
      <c r="A22" s="28">
        <v>18</v>
      </c>
      <c r="B22" s="28"/>
      <c r="C22" s="28"/>
      <c r="D22" s="28"/>
      <c r="E22" s="28"/>
      <c r="F22" s="29"/>
      <c r="G22" s="28"/>
      <c r="H22" s="29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9"/>
    </row>
    <row r="23" spans="1:19">
      <c r="A23" s="48">
        <v>19</v>
      </c>
      <c r="B23" s="48"/>
      <c r="C23" s="48"/>
      <c r="D23" s="48"/>
      <c r="E23" s="48"/>
      <c r="F23" s="49"/>
      <c r="G23" s="48"/>
      <c r="H23" s="49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9"/>
    </row>
    <row r="24" spans="1:19">
      <c r="A24" s="28">
        <v>20</v>
      </c>
      <c r="B24" s="28"/>
      <c r="C24" s="28"/>
      <c r="D24" s="28"/>
      <c r="E24" s="28"/>
      <c r="F24" s="29"/>
      <c r="G24" s="28"/>
      <c r="H24" s="29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</row>
    <row r="25" spans="1:19">
      <c r="A25" s="48">
        <v>21</v>
      </c>
      <c r="B25" s="48"/>
      <c r="C25" s="48"/>
      <c r="D25" s="48"/>
      <c r="E25" s="48"/>
      <c r="F25" s="49"/>
      <c r="G25" s="48"/>
      <c r="H25" s="49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9"/>
    </row>
    <row r="26" spans="1:19">
      <c r="A26" s="28">
        <v>22</v>
      </c>
      <c r="B26" s="28"/>
      <c r="C26" s="28"/>
      <c r="D26" s="28"/>
      <c r="E26" s="28"/>
      <c r="F26" s="29"/>
      <c r="G26" s="28"/>
      <c r="H26" s="29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9"/>
    </row>
    <row r="27" spans="1:19">
      <c r="A27" s="48">
        <v>23</v>
      </c>
      <c r="B27" s="48"/>
      <c r="C27" s="48"/>
      <c r="D27" s="48"/>
      <c r="E27" s="48"/>
      <c r="F27" s="49"/>
      <c r="G27" s="48"/>
      <c r="H27" s="49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9"/>
    </row>
    <row r="28" spans="1:19">
      <c r="A28" s="28">
        <v>24</v>
      </c>
      <c r="B28" s="28"/>
      <c r="C28" s="28"/>
      <c r="D28" s="28"/>
      <c r="E28" s="28"/>
      <c r="F28" s="29"/>
      <c r="G28" s="28"/>
      <c r="H28" s="29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9"/>
    </row>
    <row r="29" spans="1:19">
      <c r="A29" s="48">
        <v>25</v>
      </c>
      <c r="B29" s="48"/>
      <c r="C29" s="48"/>
      <c r="D29" s="48"/>
      <c r="E29" s="48"/>
      <c r="F29" s="49"/>
      <c r="G29" s="48"/>
      <c r="H29" s="49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9"/>
    </row>
    <row r="30" spans="1:19">
      <c r="A30" s="28">
        <v>26</v>
      </c>
      <c r="B30" s="28"/>
      <c r="C30" s="28"/>
      <c r="D30" s="28"/>
      <c r="E30" s="28"/>
      <c r="F30" s="29"/>
      <c r="G30" s="28"/>
      <c r="H30" s="29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9"/>
    </row>
    <row r="31" spans="1:19">
      <c r="A31" s="48">
        <v>27</v>
      </c>
      <c r="B31" s="48"/>
      <c r="C31" s="48"/>
      <c r="D31" s="48"/>
      <c r="E31" s="48"/>
      <c r="F31" s="49"/>
      <c r="G31" s="48"/>
      <c r="H31" s="49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9"/>
    </row>
    <row r="32" spans="1:19">
      <c r="A32" s="28">
        <v>28</v>
      </c>
      <c r="B32" s="28"/>
      <c r="C32" s="28"/>
      <c r="D32" s="28"/>
      <c r="E32" s="28"/>
      <c r="F32" s="29"/>
      <c r="G32" s="28"/>
      <c r="H32" s="29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9"/>
    </row>
    <row r="33" spans="1:19">
      <c r="A33" s="48">
        <v>29</v>
      </c>
      <c r="B33" s="48"/>
      <c r="C33" s="48"/>
      <c r="D33" s="48"/>
      <c r="E33" s="48"/>
      <c r="F33" s="49"/>
      <c r="G33" s="48"/>
      <c r="H33" s="49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9"/>
    </row>
    <row r="34" spans="1:19">
      <c r="A34" s="28">
        <v>30</v>
      </c>
      <c r="B34" s="28"/>
      <c r="C34" s="28"/>
      <c r="D34" s="28"/>
      <c r="E34" s="28"/>
      <c r="F34" s="29"/>
      <c r="G34" s="28"/>
      <c r="H34" s="29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9"/>
    </row>
    <row r="35" spans="1:19">
      <c r="A35" s="48">
        <v>31</v>
      </c>
      <c r="B35" s="48"/>
      <c r="C35" s="48"/>
      <c r="D35" s="48"/>
      <c r="E35" s="48"/>
      <c r="F35" s="49"/>
      <c r="G35" s="48"/>
      <c r="H35" s="49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9"/>
    </row>
    <row r="36" spans="1:19">
      <c r="A36" s="28">
        <v>32</v>
      </c>
      <c r="B36" s="28"/>
      <c r="C36" s="28"/>
      <c r="D36" s="28"/>
      <c r="E36" s="28"/>
      <c r="F36" s="29"/>
      <c r="G36" s="28"/>
      <c r="H36" s="29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9"/>
    </row>
    <row r="37" spans="1:19">
      <c r="A37" s="48">
        <v>33</v>
      </c>
      <c r="B37" s="48"/>
      <c r="C37" s="48"/>
      <c r="D37" s="48"/>
      <c r="E37" s="48"/>
      <c r="F37" s="49"/>
      <c r="G37" s="48"/>
      <c r="H37" s="49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9"/>
    </row>
    <row r="38" spans="1:19">
      <c r="A38" s="28">
        <v>34</v>
      </c>
      <c r="B38" s="28"/>
      <c r="C38" s="28"/>
      <c r="D38" s="28"/>
      <c r="E38" s="28"/>
      <c r="F38" s="29"/>
      <c r="G38" s="28"/>
      <c r="H38" s="29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9"/>
    </row>
    <row r="39" spans="1:19">
      <c r="A39" s="48">
        <v>35</v>
      </c>
      <c r="B39" s="48"/>
      <c r="C39" s="48"/>
      <c r="D39" s="48"/>
      <c r="E39" s="48"/>
      <c r="F39" s="49"/>
      <c r="G39" s="48"/>
      <c r="H39" s="49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9"/>
    </row>
    <row r="40" spans="1:19">
      <c r="A40" s="28">
        <v>36</v>
      </c>
      <c r="B40" s="28"/>
      <c r="C40" s="28"/>
      <c r="D40" s="28"/>
      <c r="E40" s="28"/>
      <c r="F40" s="29"/>
      <c r="G40" s="28"/>
      <c r="H40" s="29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9"/>
    </row>
    <row r="41" spans="1:19">
      <c r="A41" s="48">
        <v>37</v>
      </c>
      <c r="B41" s="48"/>
      <c r="C41" s="48"/>
      <c r="D41" s="48"/>
      <c r="E41" s="48"/>
      <c r="F41" s="49"/>
      <c r="G41" s="48"/>
      <c r="H41" s="49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9"/>
    </row>
    <row r="42" spans="1:19">
      <c r="A42" s="28">
        <v>38</v>
      </c>
      <c r="B42" s="28"/>
      <c r="C42" s="28"/>
      <c r="D42" s="28"/>
      <c r="E42" s="28"/>
      <c r="F42" s="29"/>
      <c r="G42" s="28"/>
      <c r="H42" s="29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9"/>
    </row>
    <row r="43" spans="1:19">
      <c r="A43" s="48">
        <v>39</v>
      </c>
      <c r="B43" s="48"/>
      <c r="C43" s="48"/>
      <c r="D43" s="48"/>
      <c r="E43" s="48"/>
      <c r="F43" s="49"/>
      <c r="G43" s="48"/>
      <c r="H43" s="49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9"/>
    </row>
    <row r="44" spans="1:19">
      <c r="A44" s="28">
        <v>40</v>
      </c>
      <c r="B44" s="28"/>
      <c r="C44" s="28"/>
      <c r="D44" s="28"/>
      <c r="E44" s="28"/>
      <c r="F44" s="29"/>
      <c r="G44" s="28"/>
      <c r="H44" s="29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9"/>
    </row>
    <row r="45" spans="1:19">
      <c r="A45" s="48">
        <v>41</v>
      </c>
      <c r="B45" s="48"/>
      <c r="C45" s="48"/>
      <c r="D45" s="48"/>
      <c r="E45" s="48"/>
      <c r="F45" s="49"/>
      <c r="G45" s="48"/>
      <c r="H45" s="49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9"/>
    </row>
    <row r="46" spans="1:19">
      <c r="A46" s="28">
        <v>42</v>
      </c>
      <c r="B46" s="28"/>
      <c r="C46" s="28"/>
      <c r="D46" s="28"/>
      <c r="E46" s="28"/>
      <c r="F46" s="29"/>
      <c r="G46" s="28"/>
      <c r="H46" s="29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9"/>
    </row>
    <row r="47" spans="1:19">
      <c r="A47" s="48">
        <v>43</v>
      </c>
      <c r="B47" s="48"/>
      <c r="C47" s="48"/>
      <c r="D47" s="48"/>
      <c r="E47" s="48"/>
      <c r="F47" s="49"/>
      <c r="G47" s="48"/>
      <c r="H47" s="49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9"/>
    </row>
    <row r="48" spans="1:19">
      <c r="A48" s="28">
        <v>44</v>
      </c>
      <c r="B48" s="28"/>
      <c r="C48" s="28"/>
      <c r="D48" s="28"/>
      <c r="E48" s="28"/>
      <c r="F48" s="29"/>
      <c r="G48" s="28"/>
      <c r="H48" s="29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9"/>
    </row>
    <row r="49" spans="1:19">
      <c r="A49" s="48">
        <v>45</v>
      </c>
      <c r="B49" s="48"/>
      <c r="C49" s="48"/>
      <c r="D49" s="48"/>
      <c r="E49" s="48"/>
      <c r="F49" s="49"/>
      <c r="G49" s="48"/>
      <c r="H49" s="49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9"/>
    </row>
    <row r="50" spans="1:19">
      <c r="A50" s="28">
        <v>46</v>
      </c>
      <c r="B50" s="28"/>
      <c r="C50" s="28"/>
      <c r="D50" s="28"/>
      <c r="E50" s="28"/>
      <c r="F50" s="29"/>
      <c r="G50" s="28"/>
      <c r="H50" s="29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9"/>
    </row>
    <row r="51" spans="1:19">
      <c r="A51" s="48">
        <v>47</v>
      </c>
      <c r="B51" s="48"/>
      <c r="C51" s="48"/>
      <c r="D51" s="48"/>
      <c r="E51" s="48"/>
      <c r="F51" s="49"/>
      <c r="G51" s="48"/>
      <c r="H51" s="49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9"/>
    </row>
    <row r="52" spans="1:19">
      <c r="A52" s="28">
        <v>48</v>
      </c>
      <c r="B52" s="28"/>
      <c r="C52" s="28"/>
      <c r="D52" s="28"/>
      <c r="E52" s="28"/>
      <c r="F52" s="29"/>
      <c r="G52" s="28"/>
      <c r="H52" s="29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9"/>
    </row>
    <row r="53" spans="1:19">
      <c r="A53" s="48">
        <v>49</v>
      </c>
      <c r="B53" s="48"/>
      <c r="C53" s="48"/>
      <c r="D53" s="48"/>
      <c r="E53" s="48"/>
      <c r="F53" s="49"/>
      <c r="G53" s="48"/>
      <c r="H53" s="49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9"/>
    </row>
    <row r="54" spans="1:19">
      <c r="A54" s="28">
        <v>50</v>
      </c>
      <c r="B54" s="28"/>
      <c r="C54" s="28"/>
      <c r="D54" s="28"/>
      <c r="E54" s="28"/>
      <c r="F54" s="29"/>
      <c r="G54" s="28"/>
      <c r="H54" s="29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9"/>
    </row>
    <row r="55" spans="1:19" s="39" customFormat="1" ht="21.75" customHeight="1">
      <c r="A55" s="102" t="s">
        <v>460</v>
      </c>
      <c r="B55" s="112"/>
      <c r="C55" s="112"/>
      <c r="D55" s="7">
        <f>COUNTA(C5:C54)</f>
        <v>0</v>
      </c>
      <c r="I55" s="7" t="s">
        <v>461</v>
      </c>
      <c r="J55" s="39">
        <f t="array" ref="J55">COUNTIF(S5:S54,"Active")-SUMPRODUCT((S5:S54="Active")*(I5:I54="Yes")*(J5:J54="Yes")*(K5:K54="Yes")*(L5:L54="Yes")*(M5:M54="Yes")*(N5:N54="Yes")*(O5:O54="Yes")*(P5:P54="Yes")*(Q5:Q54="Yes")*(R5:R54="Yes"))</f>
        <v>0</v>
      </c>
      <c r="P55" s="34"/>
      <c r="Q55" s="99" t="s">
        <v>462</v>
      </c>
      <c r="R55" s="99"/>
      <c r="S55" s="39">
        <f>COUNTIF(S5:S54,"Terminated")+COUNTIF(S5:S54,"Resigned")+COUNTIF(S5:S54,"NCNS")</f>
        <v>0</v>
      </c>
    </row>
    <row r="56" spans="1:19" ht="7.5" customHeight="1"/>
    <row r="57" spans="1:19" ht="24" customHeight="1">
      <c r="A57" s="105" t="s">
        <v>463</v>
      </c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1"/>
      <c r="O57" s="101"/>
      <c r="P57" s="101"/>
    </row>
    <row r="58" spans="1:19" ht="24" customHeight="1">
      <c r="A58" s="27" t="s">
        <v>407</v>
      </c>
      <c r="B58" s="27" t="s">
        <v>408</v>
      </c>
      <c r="C58" s="27" t="s">
        <v>409</v>
      </c>
      <c r="D58" s="27" t="s">
        <v>464</v>
      </c>
      <c r="E58" s="27" t="s">
        <v>465</v>
      </c>
      <c r="F58" s="27" t="s">
        <v>466</v>
      </c>
      <c r="G58" s="27" t="s">
        <v>467</v>
      </c>
      <c r="H58" s="80" t="s">
        <v>468</v>
      </c>
      <c r="I58" s="27" t="s">
        <v>469</v>
      </c>
      <c r="J58" s="27" t="s">
        <v>470</v>
      </c>
      <c r="K58" s="27" t="s">
        <v>73</v>
      </c>
      <c r="L58" s="27" t="s">
        <v>74</v>
      </c>
      <c r="M58" s="27" t="s">
        <v>471</v>
      </c>
      <c r="N58" s="27" t="s">
        <v>76</v>
      </c>
      <c r="O58" s="27" t="s">
        <v>472</v>
      </c>
      <c r="P58" s="27" t="s">
        <v>415</v>
      </c>
    </row>
    <row r="59" spans="1:19">
      <c r="A59" s="48">
        <v>1</v>
      </c>
      <c r="B59" s="48"/>
      <c r="C59" s="48"/>
      <c r="D59" s="48"/>
      <c r="E59" s="48"/>
      <c r="F59" s="48"/>
      <c r="G59" s="49"/>
      <c r="H59" s="76"/>
      <c r="I59" s="48"/>
      <c r="J59" s="48"/>
      <c r="K59" s="48"/>
      <c r="L59" s="48"/>
      <c r="M59" s="48"/>
      <c r="N59" s="48"/>
      <c r="O59" s="48"/>
      <c r="P59" s="48"/>
    </row>
    <row r="60" spans="1:19">
      <c r="A60" s="28">
        <v>2</v>
      </c>
      <c r="B60" s="28"/>
      <c r="C60" s="28"/>
      <c r="D60" s="28"/>
      <c r="E60" s="28"/>
      <c r="F60" s="28"/>
      <c r="G60" s="29"/>
      <c r="H60" s="75"/>
      <c r="I60" s="28"/>
      <c r="J60" s="28"/>
      <c r="K60" s="28"/>
      <c r="L60" s="28"/>
      <c r="M60" s="28"/>
      <c r="N60" s="28"/>
      <c r="O60" s="28"/>
      <c r="P60" s="28"/>
    </row>
    <row r="61" spans="1:19">
      <c r="A61" s="48">
        <v>3</v>
      </c>
      <c r="B61" s="48"/>
      <c r="C61" s="48"/>
      <c r="D61" s="48"/>
      <c r="E61" s="48"/>
      <c r="F61" s="48"/>
      <c r="G61" s="49"/>
      <c r="H61" s="76"/>
      <c r="I61" s="48"/>
      <c r="J61" s="48"/>
      <c r="K61" s="48"/>
      <c r="L61" s="48"/>
      <c r="M61" s="48"/>
      <c r="N61" s="48"/>
      <c r="O61" s="48"/>
      <c r="P61" s="48"/>
    </row>
    <row r="62" spans="1:19">
      <c r="A62" s="28">
        <v>4</v>
      </c>
      <c r="B62" s="28"/>
      <c r="C62" s="28"/>
      <c r="D62" s="28"/>
      <c r="E62" s="28"/>
      <c r="F62" s="28"/>
      <c r="G62" s="29"/>
      <c r="H62" s="75"/>
      <c r="I62" s="28"/>
      <c r="J62" s="28"/>
      <c r="K62" s="28"/>
      <c r="L62" s="28"/>
      <c r="M62" s="28"/>
      <c r="N62" s="28"/>
      <c r="O62" s="28"/>
      <c r="P62" s="28"/>
    </row>
    <row r="63" spans="1:19">
      <c r="A63" s="48">
        <v>5</v>
      </c>
      <c r="B63" s="48"/>
      <c r="C63" s="48"/>
      <c r="D63" s="48"/>
      <c r="E63" s="48"/>
      <c r="F63" s="48"/>
      <c r="G63" s="49"/>
      <c r="H63" s="76"/>
      <c r="I63" s="48"/>
      <c r="J63" s="48"/>
      <c r="K63" s="48"/>
      <c r="L63" s="48"/>
      <c r="M63" s="48"/>
      <c r="N63" s="48"/>
      <c r="O63" s="48"/>
      <c r="P63" s="48"/>
    </row>
    <row r="64" spans="1:19">
      <c r="A64" s="28">
        <v>6</v>
      </c>
      <c r="B64" s="28"/>
      <c r="C64" s="28"/>
      <c r="D64" s="28"/>
      <c r="E64" s="28"/>
      <c r="F64" s="28"/>
      <c r="G64" s="29"/>
      <c r="H64" s="75"/>
      <c r="I64" s="28"/>
      <c r="J64" s="28"/>
      <c r="K64" s="28"/>
      <c r="L64" s="28"/>
      <c r="M64" s="28"/>
      <c r="N64" s="28"/>
      <c r="O64" s="28"/>
      <c r="P64" s="28"/>
    </row>
    <row r="65" spans="1:16">
      <c r="A65" s="48">
        <v>7</v>
      </c>
      <c r="B65" s="48"/>
      <c r="C65" s="48"/>
      <c r="D65" s="48"/>
      <c r="E65" s="48"/>
      <c r="F65" s="48"/>
      <c r="G65" s="49"/>
      <c r="H65" s="76"/>
      <c r="I65" s="48"/>
      <c r="J65" s="48"/>
      <c r="K65" s="48"/>
      <c r="L65" s="48"/>
      <c r="M65" s="48"/>
      <c r="N65" s="48"/>
      <c r="O65" s="48"/>
      <c r="P65" s="48"/>
    </row>
    <row r="66" spans="1:16">
      <c r="A66" s="28">
        <v>8</v>
      </c>
      <c r="B66" s="28"/>
      <c r="C66" s="28"/>
      <c r="D66" s="28"/>
      <c r="E66" s="28"/>
      <c r="F66" s="28"/>
      <c r="G66" s="29"/>
      <c r="H66" s="75"/>
      <c r="I66" s="28"/>
      <c r="J66" s="28"/>
      <c r="K66" s="28"/>
      <c r="L66" s="28"/>
      <c r="M66" s="28"/>
      <c r="N66" s="28"/>
      <c r="O66" s="28"/>
      <c r="P66" s="28"/>
    </row>
    <row r="67" spans="1:16">
      <c r="A67" s="48">
        <v>9</v>
      </c>
      <c r="B67" s="48"/>
      <c r="C67" s="48"/>
      <c r="D67" s="48"/>
      <c r="E67" s="48"/>
      <c r="F67" s="48"/>
      <c r="G67" s="49"/>
      <c r="H67" s="76"/>
      <c r="I67" s="48"/>
      <c r="J67" s="48"/>
      <c r="K67" s="48"/>
      <c r="L67" s="48"/>
      <c r="M67" s="48"/>
      <c r="N67" s="48"/>
      <c r="O67" s="48"/>
      <c r="P67" s="48"/>
    </row>
    <row r="68" spans="1:16">
      <c r="A68" s="28">
        <v>10</v>
      </c>
      <c r="B68" s="28"/>
      <c r="C68" s="28"/>
      <c r="D68" s="28"/>
      <c r="E68" s="28"/>
      <c r="F68" s="28"/>
      <c r="G68" s="29"/>
      <c r="H68" s="75"/>
      <c r="I68" s="28"/>
      <c r="J68" s="28"/>
      <c r="K68" s="28"/>
      <c r="L68" s="28"/>
      <c r="M68" s="28"/>
      <c r="N68" s="28"/>
      <c r="O68" s="28"/>
      <c r="P68" s="28"/>
    </row>
    <row r="69" spans="1:16">
      <c r="A69" s="48">
        <v>11</v>
      </c>
      <c r="B69" s="48"/>
      <c r="C69" s="48"/>
      <c r="D69" s="48"/>
      <c r="E69" s="48"/>
      <c r="F69" s="48"/>
      <c r="G69" s="49"/>
      <c r="H69" s="76"/>
      <c r="I69" s="48"/>
      <c r="J69" s="48"/>
      <c r="K69" s="48"/>
      <c r="L69" s="48"/>
      <c r="M69" s="48"/>
      <c r="N69" s="48"/>
      <c r="O69" s="48"/>
      <c r="P69" s="48"/>
    </row>
    <row r="70" spans="1:16">
      <c r="A70" s="28">
        <v>12</v>
      </c>
      <c r="B70" s="28"/>
      <c r="C70" s="28"/>
      <c r="D70" s="28"/>
      <c r="E70" s="28"/>
      <c r="F70" s="28"/>
      <c r="G70" s="29"/>
      <c r="H70" s="75"/>
      <c r="I70" s="28"/>
      <c r="J70" s="28"/>
      <c r="K70" s="28"/>
      <c r="L70" s="28"/>
      <c r="M70" s="28"/>
      <c r="N70" s="28"/>
      <c r="O70" s="28"/>
      <c r="P70" s="28"/>
    </row>
    <row r="71" spans="1:16">
      <c r="A71" s="48">
        <v>13</v>
      </c>
      <c r="B71" s="48"/>
      <c r="C71" s="48"/>
      <c r="D71" s="48"/>
      <c r="E71" s="48"/>
      <c r="F71" s="48"/>
      <c r="G71" s="49"/>
      <c r="H71" s="76"/>
      <c r="I71" s="48"/>
      <c r="J71" s="48"/>
      <c r="K71" s="48"/>
      <c r="L71" s="48"/>
      <c r="M71" s="48"/>
      <c r="N71" s="48"/>
      <c r="O71" s="48"/>
      <c r="P71" s="48"/>
    </row>
    <row r="72" spans="1:16">
      <c r="A72" s="28">
        <v>14</v>
      </c>
      <c r="B72" s="28"/>
      <c r="C72" s="28"/>
      <c r="D72" s="28"/>
      <c r="E72" s="28"/>
      <c r="F72" s="28"/>
      <c r="G72" s="29"/>
      <c r="H72" s="75"/>
      <c r="I72" s="28"/>
      <c r="J72" s="28"/>
      <c r="K72" s="28"/>
      <c r="L72" s="28"/>
      <c r="M72" s="28"/>
      <c r="N72" s="28"/>
      <c r="O72" s="28"/>
      <c r="P72" s="28"/>
    </row>
    <row r="73" spans="1:16">
      <c r="A73" s="48">
        <v>15</v>
      </c>
      <c r="B73" s="48"/>
      <c r="C73" s="48"/>
      <c r="D73" s="48"/>
      <c r="E73" s="48"/>
      <c r="F73" s="48"/>
      <c r="G73" s="49"/>
      <c r="H73" s="76"/>
      <c r="I73" s="48"/>
      <c r="J73" s="48"/>
      <c r="K73" s="48"/>
      <c r="L73" s="48"/>
      <c r="M73" s="48"/>
      <c r="N73" s="48"/>
      <c r="O73" s="48"/>
      <c r="P73" s="48"/>
    </row>
    <row r="74" spans="1:16">
      <c r="A74" s="28">
        <v>16</v>
      </c>
      <c r="B74" s="28"/>
      <c r="C74" s="28"/>
      <c r="D74" s="28"/>
      <c r="E74" s="28"/>
      <c r="F74" s="28"/>
      <c r="G74" s="29"/>
      <c r="H74" s="75"/>
      <c r="I74" s="28"/>
      <c r="J74" s="28"/>
      <c r="K74" s="28"/>
      <c r="L74" s="28"/>
      <c r="M74" s="28"/>
      <c r="N74" s="28"/>
      <c r="O74" s="28"/>
      <c r="P74" s="28"/>
    </row>
    <row r="75" spans="1:16">
      <c r="A75" s="48">
        <v>17</v>
      </c>
      <c r="B75" s="48"/>
      <c r="C75" s="48"/>
      <c r="D75" s="48"/>
      <c r="E75" s="48"/>
      <c r="F75" s="48"/>
      <c r="G75" s="49"/>
      <c r="H75" s="76"/>
      <c r="I75" s="48"/>
      <c r="J75" s="48"/>
      <c r="K75" s="48"/>
      <c r="L75" s="48"/>
      <c r="M75" s="48"/>
      <c r="N75" s="48"/>
      <c r="O75" s="48"/>
      <c r="P75" s="48"/>
    </row>
    <row r="76" spans="1:16">
      <c r="A76" s="28">
        <v>18</v>
      </c>
      <c r="B76" s="28"/>
      <c r="C76" s="28"/>
      <c r="D76" s="28"/>
      <c r="E76" s="28"/>
      <c r="F76" s="28"/>
      <c r="G76" s="29"/>
      <c r="H76" s="75"/>
      <c r="I76" s="28"/>
      <c r="J76" s="28"/>
      <c r="K76" s="28"/>
      <c r="L76" s="28"/>
      <c r="M76" s="28"/>
      <c r="N76" s="28"/>
      <c r="O76" s="28"/>
      <c r="P76" s="28"/>
    </row>
    <row r="77" spans="1:16">
      <c r="A77" s="48">
        <v>19</v>
      </c>
      <c r="B77" s="48"/>
      <c r="C77" s="48"/>
      <c r="D77" s="48"/>
      <c r="E77" s="48"/>
      <c r="F77" s="48"/>
      <c r="G77" s="49"/>
      <c r="H77" s="76"/>
      <c r="I77" s="48"/>
      <c r="J77" s="48"/>
      <c r="K77" s="48"/>
      <c r="L77" s="48"/>
      <c r="M77" s="48"/>
      <c r="N77" s="48"/>
      <c r="O77" s="48"/>
      <c r="P77" s="48"/>
    </row>
    <row r="78" spans="1:16">
      <c r="A78" s="28">
        <v>20</v>
      </c>
      <c r="B78" s="28"/>
      <c r="C78" s="28"/>
      <c r="D78" s="28"/>
      <c r="E78" s="28"/>
      <c r="F78" s="28"/>
      <c r="G78" s="29"/>
      <c r="H78" s="75"/>
      <c r="I78" s="28"/>
      <c r="J78" s="28"/>
      <c r="K78" s="28"/>
      <c r="L78" s="28"/>
      <c r="M78" s="28"/>
      <c r="N78" s="28"/>
      <c r="O78" s="28"/>
      <c r="P78" s="28"/>
    </row>
    <row r="79" spans="1:16">
      <c r="A79" s="48">
        <v>21</v>
      </c>
      <c r="B79" s="48"/>
      <c r="C79" s="48"/>
      <c r="D79" s="48"/>
      <c r="E79" s="48"/>
      <c r="F79" s="48"/>
      <c r="G79" s="49"/>
      <c r="H79" s="76"/>
      <c r="I79" s="48"/>
      <c r="J79" s="48"/>
      <c r="K79" s="48"/>
      <c r="L79" s="48"/>
      <c r="M79" s="48"/>
      <c r="N79" s="48"/>
      <c r="O79" s="48"/>
      <c r="P79" s="48"/>
    </row>
    <row r="80" spans="1:16">
      <c r="A80" s="28">
        <v>22</v>
      </c>
      <c r="B80" s="28"/>
      <c r="C80" s="28"/>
      <c r="D80" s="28"/>
      <c r="E80" s="28"/>
      <c r="F80" s="28"/>
      <c r="G80" s="29"/>
      <c r="H80" s="75"/>
      <c r="I80" s="28"/>
      <c r="J80" s="28"/>
      <c r="K80" s="28"/>
      <c r="L80" s="28"/>
      <c r="M80" s="28"/>
      <c r="N80" s="28"/>
      <c r="O80" s="28"/>
      <c r="P80" s="28"/>
    </row>
    <row r="81" spans="1:16">
      <c r="A81" s="48">
        <v>23</v>
      </c>
      <c r="B81" s="48"/>
      <c r="C81" s="48"/>
      <c r="D81" s="48"/>
      <c r="E81" s="48"/>
      <c r="F81" s="48"/>
      <c r="G81" s="49"/>
      <c r="H81" s="76"/>
      <c r="I81" s="48"/>
      <c r="J81" s="48"/>
      <c r="K81" s="48"/>
      <c r="L81" s="48"/>
      <c r="M81" s="48"/>
      <c r="N81" s="48"/>
      <c r="O81" s="48"/>
      <c r="P81" s="48"/>
    </row>
    <row r="82" spans="1:16">
      <c r="A82" s="28">
        <v>24</v>
      </c>
      <c r="B82" s="28"/>
      <c r="C82" s="28"/>
      <c r="D82" s="28"/>
      <c r="E82" s="28"/>
      <c r="F82" s="28"/>
      <c r="G82" s="29"/>
      <c r="H82" s="75"/>
      <c r="I82" s="28"/>
      <c r="J82" s="28"/>
      <c r="K82" s="28"/>
      <c r="L82" s="28"/>
      <c r="M82" s="28"/>
      <c r="N82" s="28"/>
      <c r="O82" s="28"/>
      <c r="P82" s="28"/>
    </row>
    <row r="83" spans="1:16">
      <c r="A83" s="48">
        <v>25</v>
      </c>
      <c r="B83" s="48"/>
      <c r="C83" s="48"/>
      <c r="D83" s="48"/>
      <c r="E83" s="48"/>
      <c r="F83" s="48"/>
      <c r="G83" s="49"/>
      <c r="H83" s="76"/>
      <c r="I83" s="48"/>
      <c r="J83" s="48"/>
      <c r="K83" s="48"/>
      <c r="L83" s="48"/>
      <c r="M83" s="48"/>
      <c r="N83" s="48"/>
      <c r="O83" s="48"/>
      <c r="P83" s="48"/>
    </row>
    <row r="84" spans="1:16">
      <c r="A84" s="28">
        <v>26</v>
      </c>
      <c r="B84" s="28"/>
      <c r="C84" s="28"/>
      <c r="D84" s="28"/>
      <c r="E84" s="28"/>
      <c r="F84" s="28"/>
      <c r="G84" s="29"/>
      <c r="H84" s="75"/>
      <c r="I84" s="28"/>
      <c r="J84" s="28"/>
      <c r="K84" s="28"/>
      <c r="L84" s="28"/>
      <c r="M84" s="28"/>
      <c r="N84" s="28"/>
      <c r="O84" s="28"/>
      <c r="P84" s="28"/>
    </row>
    <row r="85" spans="1:16">
      <c r="A85" s="48">
        <v>27</v>
      </c>
      <c r="B85" s="48"/>
      <c r="C85" s="48"/>
      <c r="D85" s="48"/>
      <c r="E85" s="48"/>
      <c r="F85" s="48"/>
      <c r="G85" s="49"/>
      <c r="H85" s="76"/>
      <c r="I85" s="48"/>
      <c r="J85" s="48"/>
      <c r="K85" s="48"/>
      <c r="L85" s="48"/>
      <c r="M85" s="48"/>
      <c r="N85" s="48"/>
      <c r="O85" s="48"/>
      <c r="P85" s="48"/>
    </row>
    <row r="86" spans="1:16">
      <c r="A86" s="28">
        <v>28</v>
      </c>
      <c r="B86" s="28"/>
      <c r="C86" s="28"/>
      <c r="D86" s="28"/>
      <c r="E86" s="28"/>
      <c r="F86" s="28"/>
      <c r="G86" s="29"/>
      <c r="H86" s="75"/>
      <c r="I86" s="28"/>
      <c r="J86" s="28"/>
      <c r="K86" s="28"/>
      <c r="L86" s="28"/>
      <c r="M86" s="28"/>
      <c r="N86" s="28"/>
      <c r="O86" s="28"/>
      <c r="P86" s="28"/>
    </row>
    <row r="87" spans="1:16">
      <c r="A87" s="48">
        <v>29</v>
      </c>
      <c r="B87" s="48"/>
      <c r="C87" s="48"/>
      <c r="D87" s="48"/>
      <c r="E87" s="48"/>
      <c r="F87" s="48"/>
      <c r="G87" s="49"/>
      <c r="H87" s="76"/>
      <c r="I87" s="48"/>
      <c r="J87" s="48"/>
      <c r="K87" s="48"/>
      <c r="L87" s="48"/>
      <c r="M87" s="48"/>
      <c r="N87" s="48"/>
      <c r="O87" s="48"/>
      <c r="P87" s="48"/>
    </row>
    <row r="88" spans="1:16">
      <c r="A88" s="28">
        <v>30</v>
      </c>
      <c r="B88" s="28"/>
      <c r="C88" s="28"/>
      <c r="D88" s="28"/>
      <c r="E88" s="28"/>
      <c r="F88" s="28"/>
      <c r="G88" s="29"/>
      <c r="H88" s="75"/>
      <c r="I88" s="28"/>
      <c r="J88" s="28"/>
      <c r="K88" s="28"/>
      <c r="L88" s="28"/>
      <c r="M88" s="28"/>
      <c r="N88" s="28"/>
      <c r="O88" s="28"/>
      <c r="P88" s="28"/>
    </row>
    <row r="89" spans="1:16">
      <c r="A89" s="48">
        <v>31</v>
      </c>
      <c r="B89" s="48"/>
      <c r="C89" s="48"/>
      <c r="D89" s="48"/>
      <c r="E89" s="48"/>
      <c r="F89" s="48"/>
      <c r="G89" s="49"/>
      <c r="H89" s="76"/>
      <c r="I89" s="48"/>
      <c r="J89" s="48"/>
      <c r="K89" s="48"/>
      <c r="L89" s="48"/>
      <c r="M89" s="48"/>
      <c r="N89" s="48"/>
      <c r="O89" s="48"/>
      <c r="P89" s="48"/>
    </row>
    <row r="90" spans="1:16">
      <c r="A90" s="28">
        <v>32</v>
      </c>
      <c r="B90" s="28"/>
      <c r="C90" s="28"/>
      <c r="D90" s="28"/>
      <c r="E90" s="28"/>
      <c r="F90" s="28"/>
      <c r="G90" s="29"/>
      <c r="H90" s="75"/>
      <c r="I90" s="28"/>
      <c r="J90" s="28"/>
      <c r="K90" s="28"/>
      <c r="L90" s="28"/>
      <c r="M90" s="28"/>
      <c r="N90" s="28"/>
      <c r="O90" s="28"/>
      <c r="P90" s="28"/>
    </row>
    <row r="91" spans="1:16">
      <c r="A91" s="48">
        <v>33</v>
      </c>
      <c r="B91" s="48"/>
      <c r="C91" s="48"/>
      <c r="D91" s="48"/>
      <c r="E91" s="48"/>
      <c r="F91" s="48"/>
      <c r="G91" s="49"/>
      <c r="H91" s="76"/>
      <c r="I91" s="48"/>
      <c r="J91" s="48"/>
      <c r="K91" s="48"/>
      <c r="L91" s="48"/>
      <c r="M91" s="48"/>
      <c r="N91" s="48"/>
      <c r="O91" s="48"/>
      <c r="P91" s="48"/>
    </row>
    <row r="92" spans="1:16">
      <c r="A92" s="28">
        <v>34</v>
      </c>
      <c r="B92" s="28"/>
      <c r="C92" s="28"/>
      <c r="D92" s="28"/>
      <c r="E92" s="28"/>
      <c r="F92" s="28"/>
      <c r="G92" s="29"/>
      <c r="H92" s="75"/>
      <c r="I92" s="28"/>
      <c r="J92" s="28"/>
      <c r="K92" s="28"/>
      <c r="L92" s="28"/>
      <c r="M92" s="28"/>
      <c r="N92" s="28"/>
      <c r="O92" s="28"/>
      <c r="P92" s="28"/>
    </row>
    <row r="93" spans="1:16">
      <c r="A93" s="48">
        <v>35</v>
      </c>
      <c r="B93" s="48"/>
      <c r="C93" s="48"/>
      <c r="D93" s="48"/>
      <c r="E93" s="48"/>
      <c r="F93" s="48"/>
      <c r="G93" s="49"/>
      <c r="H93" s="76"/>
      <c r="I93" s="48"/>
      <c r="J93" s="48"/>
      <c r="K93" s="48"/>
      <c r="L93" s="48"/>
      <c r="M93" s="48"/>
      <c r="N93" s="48"/>
      <c r="O93" s="48"/>
      <c r="P93" s="48"/>
    </row>
    <row r="94" spans="1:16">
      <c r="A94" s="28">
        <v>36</v>
      </c>
      <c r="B94" s="28"/>
      <c r="C94" s="28"/>
      <c r="D94" s="28"/>
      <c r="E94" s="28"/>
      <c r="F94" s="28"/>
      <c r="G94" s="29"/>
      <c r="H94" s="75"/>
      <c r="I94" s="28"/>
      <c r="J94" s="28"/>
      <c r="K94" s="28"/>
      <c r="L94" s="28"/>
      <c r="M94" s="28"/>
      <c r="N94" s="28"/>
      <c r="O94" s="28"/>
      <c r="P94" s="28"/>
    </row>
    <row r="95" spans="1:16">
      <c r="A95" s="48">
        <v>37</v>
      </c>
      <c r="B95" s="48"/>
      <c r="C95" s="48"/>
      <c r="D95" s="48"/>
      <c r="E95" s="48"/>
      <c r="F95" s="48"/>
      <c r="G95" s="49"/>
      <c r="H95" s="76"/>
      <c r="I95" s="48"/>
      <c r="J95" s="48"/>
      <c r="K95" s="48"/>
      <c r="L95" s="48"/>
      <c r="M95" s="48"/>
      <c r="N95" s="48"/>
      <c r="O95" s="48"/>
      <c r="P95" s="48"/>
    </row>
    <row r="96" spans="1:16">
      <c r="A96" s="28">
        <v>38</v>
      </c>
      <c r="B96" s="28"/>
      <c r="C96" s="28"/>
      <c r="D96" s="28"/>
      <c r="E96" s="28"/>
      <c r="F96" s="28"/>
      <c r="G96" s="29"/>
      <c r="H96" s="75"/>
      <c r="I96" s="28"/>
      <c r="J96" s="28"/>
      <c r="K96" s="28"/>
      <c r="L96" s="28"/>
      <c r="M96" s="28"/>
      <c r="N96" s="28"/>
      <c r="O96" s="28"/>
      <c r="P96" s="28"/>
    </row>
    <row r="97" spans="1:16">
      <c r="A97" s="48">
        <v>39</v>
      </c>
      <c r="B97" s="48"/>
      <c r="C97" s="48"/>
      <c r="D97" s="48"/>
      <c r="E97" s="48"/>
      <c r="F97" s="48"/>
      <c r="G97" s="49"/>
      <c r="H97" s="76"/>
      <c r="I97" s="48"/>
      <c r="J97" s="48"/>
      <c r="K97" s="48"/>
      <c r="L97" s="48"/>
      <c r="M97" s="48"/>
      <c r="N97" s="48"/>
      <c r="O97" s="48"/>
      <c r="P97" s="48"/>
    </row>
    <row r="98" spans="1:16">
      <c r="A98" s="28">
        <v>40</v>
      </c>
      <c r="B98" s="28"/>
      <c r="C98" s="28"/>
      <c r="D98" s="28"/>
      <c r="E98" s="28"/>
      <c r="F98" s="28"/>
      <c r="G98" s="29"/>
      <c r="H98" s="75"/>
      <c r="I98" s="28"/>
      <c r="J98" s="28"/>
      <c r="K98" s="28"/>
      <c r="L98" s="28"/>
      <c r="M98" s="28"/>
      <c r="N98" s="28"/>
      <c r="O98" s="28"/>
      <c r="P98" s="28"/>
    </row>
    <row r="99" spans="1:16">
      <c r="A99" s="48">
        <v>41</v>
      </c>
      <c r="B99" s="48"/>
      <c r="C99" s="48"/>
      <c r="D99" s="48"/>
      <c r="E99" s="48"/>
      <c r="F99" s="48"/>
      <c r="G99" s="49"/>
      <c r="H99" s="76"/>
      <c r="I99" s="48"/>
      <c r="J99" s="48"/>
      <c r="K99" s="48"/>
      <c r="L99" s="48"/>
      <c r="M99" s="48"/>
      <c r="N99" s="48"/>
      <c r="O99" s="48"/>
      <c r="P99" s="48"/>
    </row>
    <row r="100" spans="1:16">
      <c r="A100" s="28">
        <v>42</v>
      </c>
      <c r="B100" s="28"/>
      <c r="C100" s="28"/>
      <c r="D100" s="28"/>
      <c r="E100" s="28"/>
      <c r="F100" s="28"/>
      <c r="G100" s="29"/>
      <c r="H100" s="75"/>
      <c r="I100" s="28"/>
      <c r="J100" s="28"/>
      <c r="K100" s="28"/>
      <c r="L100" s="28"/>
      <c r="M100" s="28"/>
      <c r="N100" s="28"/>
      <c r="O100" s="28"/>
      <c r="P100" s="28"/>
    </row>
    <row r="101" spans="1:16">
      <c r="A101" s="48">
        <v>43</v>
      </c>
      <c r="B101" s="48"/>
      <c r="C101" s="48"/>
      <c r="D101" s="48"/>
      <c r="E101" s="48"/>
      <c r="F101" s="48"/>
      <c r="G101" s="49"/>
      <c r="H101" s="76"/>
      <c r="I101" s="48"/>
      <c r="J101" s="48"/>
      <c r="K101" s="48"/>
      <c r="L101" s="48"/>
      <c r="M101" s="48"/>
      <c r="N101" s="48"/>
      <c r="O101" s="48"/>
      <c r="P101" s="48"/>
    </row>
    <row r="102" spans="1:16">
      <c r="A102" s="28">
        <v>44</v>
      </c>
      <c r="B102" s="28"/>
      <c r="C102" s="28"/>
      <c r="D102" s="28"/>
      <c r="E102" s="28"/>
      <c r="F102" s="28"/>
      <c r="G102" s="29"/>
      <c r="H102" s="75"/>
      <c r="I102" s="28"/>
      <c r="J102" s="28"/>
      <c r="K102" s="28"/>
      <c r="L102" s="28"/>
      <c r="M102" s="28"/>
      <c r="N102" s="28"/>
      <c r="O102" s="28"/>
      <c r="P102" s="28"/>
    </row>
    <row r="103" spans="1:16">
      <c r="A103" s="48">
        <v>45</v>
      </c>
      <c r="B103" s="48"/>
      <c r="C103" s="48"/>
      <c r="D103" s="48"/>
      <c r="E103" s="48"/>
      <c r="F103" s="48"/>
      <c r="G103" s="49"/>
      <c r="H103" s="76"/>
      <c r="I103" s="48"/>
      <c r="J103" s="48"/>
      <c r="K103" s="48"/>
      <c r="L103" s="48"/>
      <c r="M103" s="48"/>
      <c r="N103" s="48"/>
      <c r="O103" s="48"/>
      <c r="P103" s="48"/>
    </row>
    <row r="104" spans="1:16">
      <c r="A104" s="28">
        <v>46</v>
      </c>
      <c r="B104" s="28"/>
      <c r="C104" s="28"/>
      <c r="D104" s="28"/>
      <c r="E104" s="28"/>
      <c r="F104" s="28"/>
      <c r="G104" s="29"/>
      <c r="H104" s="75"/>
      <c r="I104" s="28"/>
      <c r="J104" s="28"/>
      <c r="K104" s="28"/>
      <c r="L104" s="28"/>
      <c r="M104" s="28"/>
      <c r="N104" s="28"/>
      <c r="O104" s="28"/>
      <c r="P104" s="28"/>
    </row>
    <row r="105" spans="1:16">
      <c r="A105" s="48">
        <v>47</v>
      </c>
      <c r="B105" s="48"/>
      <c r="C105" s="48"/>
      <c r="D105" s="48"/>
      <c r="E105" s="48"/>
      <c r="F105" s="48"/>
      <c r="G105" s="49"/>
      <c r="H105" s="76"/>
      <c r="I105" s="48"/>
      <c r="J105" s="48"/>
      <c r="K105" s="48"/>
      <c r="L105" s="48"/>
      <c r="M105" s="48"/>
      <c r="N105" s="48"/>
      <c r="O105" s="48"/>
      <c r="P105" s="48"/>
    </row>
    <row r="106" spans="1:16">
      <c r="A106" s="28">
        <v>48</v>
      </c>
      <c r="B106" s="28"/>
      <c r="C106" s="28"/>
      <c r="D106" s="28"/>
      <c r="E106" s="28"/>
      <c r="F106" s="28"/>
      <c r="G106" s="29"/>
      <c r="H106" s="75"/>
      <c r="I106" s="28"/>
      <c r="J106" s="28"/>
      <c r="K106" s="28"/>
      <c r="L106" s="28"/>
      <c r="M106" s="28"/>
      <c r="N106" s="28"/>
      <c r="O106" s="28"/>
      <c r="P106" s="28"/>
    </row>
    <row r="107" spans="1:16">
      <c r="A107" s="48">
        <v>49</v>
      </c>
      <c r="B107" s="48"/>
      <c r="C107" s="48"/>
      <c r="D107" s="48"/>
      <c r="E107" s="48"/>
      <c r="F107" s="48"/>
      <c r="G107" s="49"/>
      <c r="H107" s="76"/>
      <c r="I107" s="48"/>
      <c r="J107" s="48"/>
      <c r="K107" s="48"/>
      <c r="L107" s="48"/>
      <c r="M107" s="48"/>
      <c r="N107" s="48"/>
      <c r="O107" s="48"/>
      <c r="P107" s="48"/>
    </row>
    <row r="108" spans="1:16">
      <c r="A108" s="28">
        <v>50</v>
      </c>
      <c r="B108" s="28"/>
      <c r="C108" s="28"/>
      <c r="D108" s="28"/>
      <c r="E108" s="28"/>
      <c r="F108" s="28"/>
      <c r="G108" s="29"/>
      <c r="H108" s="75"/>
      <c r="I108" s="28"/>
      <c r="J108" s="28"/>
      <c r="K108" s="28"/>
      <c r="L108" s="28"/>
      <c r="M108" s="28"/>
      <c r="N108" s="28"/>
      <c r="O108" s="28"/>
      <c r="P108" s="28"/>
    </row>
    <row r="109" spans="1:16" s="39" customFormat="1" ht="12.75" customHeight="1">
      <c r="A109" s="102" t="s">
        <v>498</v>
      </c>
      <c r="B109" s="112"/>
      <c r="C109" s="112"/>
      <c r="D109" s="7">
        <f>COUNTA(C59:C108)</f>
        <v>0</v>
      </c>
    </row>
  </sheetData>
  <mergeCells count="7">
    <mergeCell ref="Q55:R55"/>
    <mergeCell ref="A1:S1"/>
    <mergeCell ref="A109:C109"/>
    <mergeCell ref="A3:S3"/>
    <mergeCell ref="A55:C55"/>
    <mergeCell ref="L2:N2"/>
    <mergeCell ref="A57:P57"/>
  </mergeCells>
  <conditionalFormatting sqref="A5:S54">
    <cfRule type="expression" dxfId="23" priority="2">
      <formula>$S5="Terminated"</formula>
    </cfRule>
    <cfRule type="expression" dxfId="22" priority="3">
      <formula>$S5="Resigned"</formula>
    </cfRule>
    <cfRule type="expression" dxfId="21" priority="4">
      <formula>$S5="NCNS"</formula>
    </cfRule>
    <cfRule type="expression" dxfId="20" priority="5">
      <formula>$S5="Suspended"</formula>
    </cfRule>
  </conditionalFormatting>
  <conditionalFormatting sqref="A59:O108">
    <cfRule type="expression" dxfId="19" priority="6">
      <formula>$O59="QUIT"</formula>
    </cfRule>
    <cfRule type="expression" dxfId="18" priority="7">
      <formula>$O59="Terminated"</formula>
    </cfRule>
    <cfRule type="expression" dxfId="17" priority="8">
      <formula>$O59="Resigned"</formula>
    </cfRule>
    <cfRule type="expression" dxfId="16" priority="9">
      <formula>$O59="NCNS"</formula>
    </cfRule>
  </conditionalFormatting>
  <dataValidations count="5">
    <dataValidation type="list" sqref="E5:E54" xr:uid="{00000000-0002-0000-0B00-000000000000}">
      <formula1>"Yes,No,Pending"</formula1>
    </dataValidation>
    <dataValidation type="list" sqref="B5:B54 B59:B108" xr:uid="{00000000-0002-0000-0B00-000001000000}">
      <formula1>"Residential,Administration,Finance,Facilities,HR,ELC,LLL,Prof. Services,Behavioral,IT,Other"</formula1>
    </dataValidation>
    <dataValidation type="list" sqref="S5:S54" xr:uid="{00000000-0002-0000-0B00-000002000000}">
      <formula1>"Active,Terminated,Resigned,NCNS,Suspended"</formula1>
    </dataValidation>
    <dataValidation type="list" sqref="I5:R54 I59:O108" xr:uid="{00000000-0002-0000-0B00-000003000000}">
      <formula1>"Yes,No,N/A,In Progress"</formula1>
    </dataValidation>
    <dataValidation type="list" sqref="P59:P108" xr:uid="{00000000-0002-0000-0B00-000004000000}">
      <formula1>"Active,QUIT,Terminated,Resigned,NCNS,Transferred"</formula1>
    </dataValidation>
  </dataValidations>
  <hyperlinks>
    <hyperlink ref="A2" location="Dashboard!A1" display="← Dashboard" xr:uid="{00000000-0004-0000-0B00-000000000000}"/>
  </hyperlinks>
  <pageMargins left="0.75" right="0.75" top="1" bottom="1" header="0.511811023622047" footer="0.511811023622047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2C5282"/>
  </sheetPr>
  <dimension ref="A1:S109"/>
  <sheetViews>
    <sheetView zoomScale="80" zoomScaleNormal="80" workbookViewId="0">
      <pane ySplit="4" topLeftCell="A5" activePane="bottomLeft" state="frozen"/>
      <selection pane="bottomLeft" activeCell="F16" sqref="F16"/>
      <selection activeCell="F16" sqref="F16"/>
    </sheetView>
  </sheetViews>
  <sheetFormatPr defaultColWidth="8.7109375" defaultRowHeight="14.25"/>
  <cols>
    <col min="1" max="1" width="4" style="32" customWidth="1"/>
    <col min="2" max="2" width="15" style="32" customWidth="1"/>
    <col min="3" max="3" width="13" style="32" customWidth="1"/>
    <col min="4" max="4" width="17" style="32" customWidth="1"/>
    <col min="5" max="5" width="11" style="32" customWidth="1"/>
    <col min="6" max="6" width="14" style="32" customWidth="1"/>
    <col min="7" max="7" width="22" style="32" customWidth="1"/>
    <col min="8" max="8" width="12" style="32" customWidth="1"/>
    <col min="9" max="17" width="11" style="32" customWidth="1"/>
    <col min="18" max="19" width="10" style="32" customWidth="1"/>
    <col min="20" max="20" width="8.7109375" style="32" customWidth="1"/>
    <col min="21" max="16384" width="8.7109375" style="32"/>
  </cols>
  <sheetData>
    <row r="1" spans="1:19" ht="33.75" customHeight="1">
      <c r="A1" s="100" t="s">
        <v>668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</row>
    <row r="2" spans="1:19" s="1" customFormat="1" ht="18" customHeight="1">
      <c r="A2" s="33" t="s">
        <v>79</v>
      </c>
      <c r="E2" s="35" t="s">
        <v>402</v>
      </c>
      <c r="F2" s="35">
        <f>D55</f>
        <v>0</v>
      </c>
      <c r="G2" s="36" t="s">
        <v>403</v>
      </c>
      <c r="H2" s="36">
        <f>S55</f>
        <v>0</v>
      </c>
      <c r="I2" s="37" t="s">
        <v>404</v>
      </c>
      <c r="J2" s="37">
        <f>D109</f>
        <v>0</v>
      </c>
      <c r="L2" s="104" t="s">
        <v>405</v>
      </c>
      <c r="M2" s="87"/>
      <c r="N2" s="87"/>
      <c r="O2" s="38" t="str">
        <f t="array" ref="O2">IF(COUNTIF(S5:S54,"Active")&gt;0,SUMPRODUCT((S5:S54="Active")*(I5:R54="Yes"))/SUMPRODUCT((S5:S54="Active")*(I5:R54&lt;&gt;"N/A")*(I5:R54&lt;&gt;"")),"—")</f>
        <v>—</v>
      </c>
    </row>
    <row r="3" spans="1:19" ht="24" customHeight="1">
      <c r="A3" s="103" t="s">
        <v>406</v>
      </c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</row>
    <row r="4" spans="1:19" ht="27.75" customHeight="1">
      <c r="A4" s="27" t="s">
        <v>407</v>
      </c>
      <c r="B4" s="27" t="s">
        <v>408</v>
      </c>
      <c r="C4" s="27" t="s">
        <v>409</v>
      </c>
      <c r="D4" s="27" t="s">
        <v>410</v>
      </c>
      <c r="E4" s="27" t="s">
        <v>411</v>
      </c>
      <c r="F4" s="27" t="s">
        <v>412</v>
      </c>
      <c r="G4" s="27" t="s">
        <v>413</v>
      </c>
      <c r="H4" s="27" t="s">
        <v>414</v>
      </c>
      <c r="I4" s="27" t="s">
        <v>357</v>
      </c>
      <c r="J4" s="27" t="s">
        <v>69</v>
      </c>
      <c r="K4" s="27" t="s">
        <v>360</v>
      </c>
      <c r="L4" s="27" t="s">
        <v>96</v>
      </c>
      <c r="M4" s="27" t="s">
        <v>72</v>
      </c>
      <c r="N4" s="27" t="s">
        <v>73</v>
      </c>
      <c r="O4" s="27" t="s">
        <v>74</v>
      </c>
      <c r="P4" s="27" t="s">
        <v>75</v>
      </c>
      <c r="Q4" s="27" t="s">
        <v>76</v>
      </c>
      <c r="R4" s="27" t="s">
        <v>77</v>
      </c>
      <c r="S4" s="27" t="s">
        <v>415</v>
      </c>
    </row>
    <row r="5" spans="1:19">
      <c r="A5" s="48">
        <v>1</v>
      </c>
      <c r="B5" s="48"/>
      <c r="C5" s="48"/>
      <c r="D5" s="48"/>
      <c r="E5" s="48"/>
      <c r="F5" s="49"/>
      <c r="G5" s="48"/>
      <c r="H5" s="49"/>
      <c r="I5" s="48"/>
      <c r="J5" s="48"/>
      <c r="K5" s="48"/>
      <c r="L5" s="48"/>
      <c r="M5" s="48"/>
      <c r="N5" s="48"/>
      <c r="O5" s="48"/>
      <c r="P5" s="48"/>
      <c r="Q5" s="48"/>
      <c r="R5" s="48"/>
      <c r="S5" s="49"/>
    </row>
    <row r="6" spans="1:19">
      <c r="A6" s="28">
        <v>2</v>
      </c>
      <c r="B6" s="28"/>
      <c r="C6" s="28"/>
      <c r="D6" s="28"/>
      <c r="E6" s="28"/>
      <c r="F6" s="29"/>
      <c r="G6" s="28"/>
      <c r="H6" s="29"/>
      <c r="I6" s="28"/>
      <c r="J6" s="28"/>
      <c r="K6" s="28"/>
      <c r="L6" s="28"/>
      <c r="M6" s="28"/>
      <c r="N6" s="28"/>
      <c r="O6" s="28"/>
      <c r="P6" s="28"/>
      <c r="Q6" s="28"/>
      <c r="R6" s="28"/>
      <c r="S6" s="29"/>
    </row>
    <row r="7" spans="1:19">
      <c r="A7" s="48">
        <v>3</v>
      </c>
      <c r="B7" s="48"/>
      <c r="C7" s="48"/>
      <c r="D7" s="48"/>
      <c r="E7" s="48"/>
      <c r="F7" s="49"/>
      <c r="G7" s="48"/>
      <c r="H7" s="49"/>
      <c r="I7" s="48"/>
      <c r="J7" s="48"/>
      <c r="K7" s="48"/>
      <c r="L7" s="48"/>
      <c r="M7" s="48"/>
      <c r="N7" s="48"/>
      <c r="O7" s="48"/>
      <c r="P7" s="48"/>
      <c r="Q7" s="48"/>
      <c r="R7" s="48"/>
      <c r="S7" s="49"/>
    </row>
    <row r="8" spans="1:19">
      <c r="A8" s="28">
        <v>4</v>
      </c>
      <c r="B8" s="28"/>
      <c r="C8" s="28"/>
      <c r="D8" s="28"/>
      <c r="E8" s="28"/>
      <c r="F8" s="29"/>
      <c r="G8" s="28"/>
      <c r="H8" s="29"/>
      <c r="I8" s="28"/>
      <c r="J8" s="28"/>
      <c r="K8" s="28"/>
      <c r="L8" s="28"/>
      <c r="M8" s="28"/>
      <c r="N8" s="28"/>
      <c r="O8" s="28"/>
      <c r="P8" s="28"/>
      <c r="Q8" s="28"/>
      <c r="R8" s="28"/>
      <c r="S8" s="29"/>
    </row>
    <row r="9" spans="1:19">
      <c r="A9" s="48">
        <v>5</v>
      </c>
      <c r="B9" s="48"/>
      <c r="C9" s="48"/>
      <c r="D9" s="48"/>
      <c r="E9" s="48"/>
      <c r="F9" s="49"/>
      <c r="G9" s="48"/>
      <c r="H9" s="49"/>
      <c r="I9" s="48"/>
      <c r="J9" s="48"/>
      <c r="K9" s="48"/>
      <c r="L9" s="48"/>
      <c r="M9" s="48"/>
      <c r="N9" s="48"/>
      <c r="O9" s="48"/>
      <c r="P9" s="48"/>
      <c r="Q9" s="48"/>
      <c r="R9" s="48"/>
      <c r="S9" s="49"/>
    </row>
    <row r="10" spans="1:19">
      <c r="A10" s="28">
        <v>6</v>
      </c>
      <c r="B10" s="28"/>
      <c r="C10" s="28"/>
      <c r="D10" s="28"/>
      <c r="E10" s="28"/>
      <c r="F10" s="29"/>
      <c r="G10" s="28"/>
      <c r="H10" s="29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9"/>
    </row>
    <row r="11" spans="1:19">
      <c r="A11" s="48">
        <v>7</v>
      </c>
      <c r="B11" s="48"/>
      <c r="C11" s="48"/>
      <c r="D11" s="48"/>
      <c r="E11" s="48"/>
      <c r="F11" s="49"/>
      <c r="G11" s="48"/>
      <c r="H11" s="49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9"/>
    </row>
    <row r="12" spans="1:19">
      <c r="A12" s="28">
        <v>8</v>
      </c>
      <c r="B12" s="28"/>
      <c r="C12" s="28"/>
      <c r="D12" s="28"/>
      <c r="E12" s="28"/>
      <c r="F12" s="29"/>
      <c r="G12" s="28"/>
      <c r="H12" s="29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9"/>
    </row>
    <row r="13" spans="1:19">
      <c r="A13" s="48">
        <v>9</v>
      </c>
      <c r="B13" s="48"/>
      <c r="C13" s="48"/>
      <c r="D13" s="48"/>
      <c r="E13" s="48"/>
      <c r="F13" s="49"/>
      <c r="G13" s="48"/>
      <c r="H13" s="49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9"/>
    </row>
    <row r="14" spans="1:19">
      <c r="A14" s="28">
        <v>10</v>
      </c>
      <c r="B14" s="28"/>
      <c r="C14" s="28"/>
      <c r="D14" s="28"/>
      <c r="E14" s="28"/>
      <c r="F14" s="29"/>
      <c r="G14" s="28"/>
      <c r="H14" s="29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9"/>
    </row>
    <row r="15" spans="1:19">
      <c r="A15" s="48">
        <v>11</v>
      </c>
      <c r="B15" s="48"/>
      <c r="C15" s="48"/>
      <c r="D15" s="48"/>
      <c r="E15" s="48"/>
      <c r="F15" s="49"/>
      <c r="G15" s="48"/>
      <c r="H15" s="49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9"/>
    </row>
    <row r="16" spans="1:19">
      <c r="A16" s="28">
        <v>12</v>
      </c>
      <c r="B16" s="28"/>
      <c r="C16" s="28"/>
      <c r="D16" s="28"/>
      <c r="E16" s="28"/>
      <c r="F16" s="29"/>
      <c r="G16" s="28"/>
      <c r="H16" s="29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9"/>
    </row>
    <row r="17" spans="1:19">
      <c r="A17" s="48">
        <v>13</v>
      </c>
      <c r="B17" s="48"/>
      <c r="C17" s="48"/>
      <c r="D17" s="48"/>
      <c r="E17" s="48"/>
      <c r="F17" s="49"/>
      <c r="G17" s="48"/>
      <c r="H17" s="49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9"/>
    </row>
    <row r="18" spans="1:19">
      <c r="A18" s="28">
        <v>14</v>
      </c>
      <c r="B18" s="28"/>
      <c r="C18" s="28"/>
      <c r="D18" s="28"/>
      <c r="E18" s="28"/>
      <c r="F18" s="29"/>
      <c r="G18" s="28"/>
      <c r="H18" s="29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9"/>
    </row>
    <row r="19" spans="1:19">
      <c r="A19" s="48">
        <v>15</v>
      </c>
      <c r="B19" s="48"/>
      <c r="C19" s="48"/>
      <c r="D19" s="48"/>
      <c r="E19" s="48"/>
      <c r="F19" s="49"/>
      <c r="G19" s="48"/>
      <c r="H19" s="49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9"/>
    </row>
    <row r="20" spans="1:19">
      <c r="A20" s="28">
        <v>16</v>
      </c>
      <c r="B20" s="28"/>
      <c r="C20" s="28"/>
      <c r="D20" s="28"/>
      <c r="E20" s="28"/>
      <c r="F20" s="29"/>
      <c r="G20" s="28"/>
      <c r="H20" s="29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9"/>
    </row>
    <row r="21" spans="1:19">
      <c r="A21" s="48">
        <v>17</v>
      </c>
      <c r="B21" s="48"/>
      <c r="C21" s="48"/>
      <c r="D21" s="48"/>
      <c r="E21" s="48"/>
      <c r="F21" s="49"/>
      <c r="G21" s="48"/>
      <c r="H21" s="49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9"/>
    </row>
    <row r="22" spans="1:19">
      <c r="A22" s="28">
        <v>18</v>
      </c>
      <c r="B22" s="28"/>
      <c r="C22" s="28"/>
      <c r="D22" s="28"/>
      <c r="E22" s="28"/>
      <c r="F22" s="29"/>
      <c r="G22" s="28"/>
      <c r="H22" s="29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9"/>
    </row>
    <row r="23" spans="1:19">
      <c r="A23" s="48">
        <v>19</v>
      </c>
      <c r="B23" s="48"/>
      <c r="C23" s="48"/>
      <c r="D23" s="48"/>
      <c r="E23" s="48"/>
      <c r="F23" s="49"/>
      <c r="G23" s="48"/>
      <c r="H23" s="49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9"/>
    </row>
    <row r="24" spans="1:19">
      <c r="A24" s="28">
        <v>20</v>
      </c>
      <c r="B24" s="28"/>
      <c r="C24" s="28"/>
      <c r="D24" s="28"/>
      <c r="E24" s="28"/>
      <c r="F24" s="29"/>
      <c r="G24" s="28"/>
      <c r="H24" s="29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</row>
    <row r="25" spans="1:19">
      <c r="A25" s="48">
        <v>21</v>
      </c>
      <c r="B25" s="48"/>
      <c r="C25" s="48"/>
      <c r="D25" s="48"/>
      <c r="E25" s="48"/>
      <c r="F25" s="49"/>
      <c r="G25" s="48"/>
      <c r="H25" s="49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9"/>
    </row>
    <row r="26" spans="1:19">
      <c r="A26" s="28">
        <v>22</v>
      </c>
      <c r="B26" s="28"/>
      <c r="C26" s="28"/>
      <c r="D26" s="28"/>
      <c r="E26" s="28"/>
      <c r="F26" s="29"/>
      <c r="G26" s="28"/>
      <c r="H26" s="29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9"/>
    </row>
    <row r="27" spans="1:19">
      <c r="A27" s="48">
        <v>23</v>
      </c>
      <c r="B27" s="48"/>
      <c r="C27" s="48"/>
      <c r="D27" s="48"/>
      <c r="E27" s="48"/>
      <c r="F27" s="49"/>
      <c r="G27" s="48"/>
      <c r="H27" s="49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9"/>
    </row>
    <row r="28" spans="1:19">
      <c r="A28" s="28">
        <v>24</v>
      </c>
      <c r="B28" s="28"/>
      <c r="C28" s="28"/>
      <c r="D28" s="28"/>
      <c r="E28" s="28"/>
      <c r="F28" s="29"/>
      <c r="G28" s="28"/>
      <c r="H28" s="29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9"/>
    </row>
    <row r="29" spans="1:19">
      <c r="A29" s="48">
        <v>25</v>
      </c>
      <c r="B29" s="48"/>
      <c r="C29" s="48"/>
      <c r="D29" s="48"/>
      <c r="E29" s="48"/>
      <c r="F29" s="49"/>
      <c r="G29" s="48"/>
      <c r="H29" s="49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9"/>
    </row>
    <row r="30" spans="1:19">
      <c r="A30" s="28">
        <v>26</v>
      </c>
      <c r="B30" s="28"/>
      <c r="C30" s="28"/>
      <c r="D30" s="28"/>
      <c r="E30" s="28"/>
      <c r="F30" s="29"/>
      <c r="G30" s="28"/>
      <c r="H30" s="29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9"/>
    </row>
    <row r="31" spans="1:19">
      <c r="A31" s="48">
        <v>27</v>
      </c>
      <c r="B31" s="48"/>
      <c r="C31" s="48"/>
      <c r="D31" s="48"/>
      <c r="E31" s="48"/>
      <c r="F31" s="49"/>
      <c r="G31" s="48"/>
      <c r="H31" s="49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9"/>
    </row>
    <row r="32" spans="1:19">
      <c r="A32" s="28">
        <v>28</v>
      </c>
      <c r="B32" s="28"/>
      <c r="C32" s="28"/>
      <c r="D32" s="28"/>
      <c r="E32" s="28"/>
      <c r="F32" s="29"/>
      <c r="G32" s="28"/>
      <c r="H32" s="29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9"/>
    </row>
    <row r="33" spans="1:19">
      <c r="A33" s="48">
        <v>29</v>
      </c>
      <c r="B33" s="48"/>
      <c r="C33" s="48"/>
      <c r="D33" s="48"/>
      <c r="E33" s="48"/>
      <c r="F33" s="49"/>
      <c r="G33" s="48"/>
      <c r="H33" s="49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9"/>
    </row>
    <row r="34" spans="1:19">
      <c r="A34" s="28">
        <v>30</v>
      </c>
      <c r="B34" s="28"/>
      <c r="C34" s="28"/>
      <c r="D34" s="28"/>
      <c r="E34" s="28"/>
      <c r="F34" s="29"/>
      <c r="G34" s="28"/>
      <c r="H34" s="29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9"/>
    </row>
    <row r="35" spans="1:19">
      <c r="A35" s="48">
        <v>31</v>
      </c>
      <c r="B35" s="48"/>
      <c r="C35" s="48"/>
      <c r="D35" s="48"/>
      <c r="E35" s="48"/>
      <c r="F35" s="49"/>
      <c r="G35" s="48"/>
      <c r="H35" s="49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9"/>
    </row>
    <row r="36" spans="1:19">
      <c r="A36" s="28">
        <v>32</v>
      </c>
      <c r="B36" s="28"/>
      <c r="C36" s="28"/>
      <c r="D36" s="28"/>
      <c r="E36" s="28"/>
      <c r="F36" s="29"/>
      <c r="G36" s="28"/>
      <c r="H36" s="29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9"/>
    </row>
    <row r="37" spans="1:19">
      <c r="A37" s="48">
        <v>33</v>
      </c>
      <c r="B37" s="48"/>
      <c r="C37" s="48"/>
      <c r="D37" s="48"/>
      <c r="E37" s="48"/>
      <c r="F37" s="49"/>
      <c r="G37" s="48"/>
      <c r="H37" s="49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9"/>
    </row>
    <row r="38" spans="1:19">
      <c r="A38" s="28">
        <v>34</v>
      </c>
      <c r="B38" s="28"/>
      <c r="C38" s="28"/>
      <c r="D38" s="28"/>
      <c r="E38" s="28"/>
      <c r="F38" s="29"/>
      <c r="G38" s="28"/>
      <c r="H38" s="29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9"/>
    </row>
    <row r="39" spans="1:19">
      <c r="A39" s="48">
        <v>35</v>
      </c>
      <c r="B39" s="48"/>
      <c r="C39" s="48"/>
      <c r="D39" s="48"/>
      <c r="E39" s="48"/>
      <c r="F39" s="49"/>
      <c r="G39" s="48"/>
      <c r="H39" s="49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9"/>
    </row>
    <row r="40" spans="1:19">
      <c r="A40" s="28">
        <v>36</v>
      </c>
      <c r="B40" s="28"/>
      <c r="C40" s="28"/>
      <c r="D40" s="28"/>
      <c r="E40" s="28"/>
      <c r="F40" s="29"/>
      <c r="G40" s="28"/>
      <c r="H40" s="29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9"/>
    </row>
    <row r="41" spans="1:19">
      <c r="A41" s="48">
        <v>37</v>
      </c>
      <c r="B41" s="48"/>
      <c r="C41" s="48"/>
      <c r="D41" s="48"/>
      <c r="E41" s="48"/>
      <c r="F41" s="49"/>
      <c r="G41" s="48"/>
      <c r="H41" s="49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9"/>
    </row>
    <row r="42" spans="1:19">
      <c r="A42" s="28">
        <v>38</v>
      </c>
      <c r="B42" s="28"/>
      <c r="C42" s="28"/>
      <c r="D42" s="28"/>
      <c r="E42" s="28"/>
      <c r="F42" s="29"/>
      <c r="G42" s="28"/>
      <c r="H42" s="29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9"/>
    </row>
    <row r="43" spans="1:19">
      <c r="A43" s="48">
        <v>39</v>
      </c>
      <c r="B43" s="48"/>
      <c r="C43" s="48"/>
      <c r="D43" s="48"/>
      <c r="E43" s="48"/>
      <c r="F43" s="49"/>
      <c r="G43" s="48"/>
      <c r="H43" s="49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9"/>
    </row>
    <row r="44" spans="1:19">
      <c r="A44" s="28">
        <v>40</v>
      </c>
      <c r="B44" s="28"/>
      <c r="C44" s="28"/>
      <c r="D44" s="28"/>
      <c r="E44" s="28"/>
      <c r="F44" s="29"/>
      <c r="G44" s="28"/>
      <c r="H44" s="29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9"/>
    </row>
    <row r="45" spans="1:19">
      <c r="A45" s="48">
        <v>41</v>
      </c>
      <c r="B45" s="48"/>
      <c r="C45" s="48"/>
      <c r="D45" s="48"/>
      <c r="E45" s="48"/>
      <c r="F45" s="49"/>
      <c r="G45" s="48"/>
      <c r="H45" s="49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9"/>
    </row>
    <row r="46" spans="1:19">
      <c r="A46" s="28">
        <v>42</v>
      </c>
      <c r="B46" s="28"/>
      <c r="C46" s="28"/>
      <c r="D46" s="28"/>
      <c r="E46" s="28"/>
      <c r="F46" s="29"/>
      <c r="G46" s="28"/>
      <c r="H46" s="29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9"/>
    </row>
    <row r="47" spans="1:19">
      <c r="A47" s="48">
        <v>43</v>
      </c>
      <c r="B47" s="48"/>
      <c r="C47" s="48"/>
      <c r="D47" s="48"/>
      <c r="E47" s="48"/>
      <c r="F47" s="49"/>
      <c r="G47" s="48"/>
      <c r="H47" s="49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9"/>
    </row>
    <row r="48" spans="1:19">
      <c r="A48" s="28">
        <v>44</v>
      </c>
      <c r="B48" s="28"/>
      <c r="C48" s="28"/>
      <c r="D48" s="28"/>
      <c r="E48" s="28"/>
      <c r="F48" s="29"/>
      <c r="G48" s="28"/>
      <c r="H48" s="29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9"/>
    </row>
    <row r="49" spans="1:19">
      <c r="A49" s="48">
        <v>45</v>
      </c>
      <c r="B49" s="48"/>
      <c r="C49" s="48"/>
      <c r="D49" s="48"/>
      <c r="E49" s="48"/>
      <c r="F49" s="49"/>
      <c r="G49" s="48"/>
      <c r="H49" s="49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9"/>
    </row>
    <row r="50" spans="1:19">
      <c r="A50" s="28">
        <v>46</v>
      </c>
      <c r="B50" s="28"/>
      <c r="C50" s="28"/>
      <c r="D50" s="28"/>
      <c r="E50" s="28"/>
      <c r="F50" s="29"/>
      <c r="G50" s="28"/>
      <c r="H50" s="29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9"/>
    </row>
    <row r="51" spans="1:19">
      <c r="A51" s="48">
        <v>47</v>
      </c>
      <c r="B51" s="48"/>
      <c r="C51" s="48"/>
      <c r="D51" s="48"/>
      <c r="E51" s="48"/>
      <c r="F51" s="49"/>
      <c r="G51" s="48"/>
      <c r="H51" s="49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9"/>
    </row>
    <row r="52" spans="1:19">
      <c r="A52" s="28">
        <v>48</v>
      </c>
      <c r="B52" s="28"/>
      <c r="C52" s="28"/>
      <c r="D52" s="28"/>
      <c r="E52" s="28"/>
      <c r="F52" s="29"/>
      <c r="G52" s="28"/>
      <c r="H52" s="29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9"/>
    </row>
    <row r="53" spans="1:19">
      <c r="A53" s="48">
        <v>49</v>
      </c>
      <c r="B53" s="48"/>
      <c r="C53" s="48"/>
      <c r="D53" s="48"/>
      <c r="E53" s="48"/>
      <c r="F53" s="49"/>
      <c r="G53" s="48"/>
      <c r="H53" s="49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9"/>
    </row>
    <row r="54" spans="1:19">
      <c r="A54" s="28">
        <v>50</v>
      </c>
      <c r="B54" s="28"/>
      <c r="C54" s="28"/>
      <c r="D54" s="28"/>
      <c r="E54" s="28"/>
      <c r="F54" s="29"/>
      <c r="G54" s="28"/>
      <c r="H54" s="29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9"/>
    </row>
    <row r="55" spans="1:19" s="39" customFormat="1" ht="21.75" customHeight="1">
      <c r="A55" s="102" t="s">
        <v>460</v>
      </c>
      <c r="B55" s="112"/>
      <c r="C55" s="112"/>
      <c r="D55" s="7">
        <f>COUNTA(C5:C54)</f>
        <v>0</v>
      </c>
      <c r="I55" s="7" t="s">
        <v>461</v>
      </c>
      <c r="J55" s="39">
        <f t="array" ref="J55">COUNTIF(S5:S54,"Active")-SUMPRODUCT((S5:S54="Active")*(I5:I54="Yes")*(J5:J54="Yes")*(K5:K54="Yes")*(L5:L54="Yes")*(M5:M54="Yes")*(N5:N54="Yes")*(O5:O54="Yes")*(P5:P54="Yes")*(Q5:Q54="Yes")*(R5:R54="Yes"))</f>
        <v>0</v>
      </c>
      <c r="P55" s="34"/>
      <c r="Q55" s="99" t="s">
        <v>462</v>
      </c>
      <c r="R55" s="99"/>
      <c r="S55" s="39">
        <f>COUNTIF(S5:S54,"Terminated")+COUNTIF(S5:S54,"Resigned")+COUNTIF(S5:S54,"NCNS")</f>
        <v>0</v>
      </c>
    </row>
    <row r="56" spans="1:19" ht="7.5" customHeight="1"/>
    <row r="57" spans="1:19" ht="24" customHeight="1">
      <c r="A57" s="105" t="s">
        <v>463</v>
      </c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1"/>
      <c r="O57" s="101"/>
      <c r="P57" s="101"/>
    </row>
    <row r="58" spans="1:19" ht="24" customHeight="1">
      <c r="A58" s="27" t="s">
        <v>407</v>
      </c>
      <c r="B58" s="27" t="s">
        <v>408</v>
      </c>
      <c r="C58" s="27" t="s">
        <v>409</v>
      </c>
      <c r="D58" s="27" t="s">
        <v>464</v>
      </c>
      <c r="E58" s="27" t="s">
        <v>465</v>
      </c>
      <c r="F58" s="27" t="s">
        <v>466</v>
      </c>
      <c r="G58" s="27" t="s">
        <v>467</v>
      </c>
      <c r="H58" s="80" t="s">
        <v>468</v>
      </c>
      <c r="I58" s="27" t="s">
        <v>469</v>
      </c>
      <c r="J58" s="27" t="s">
        <v>470</v>
      </c>
      <c r="K58" s="27" t="s">
        <v>73</v>
      </c>
      <c r="L58" s="27" t="s">
        <v>74</v>
      </c>
      <c r="M58" s="27" t="s">
        <v>471</v>
      </c>
      <c r="N58" s="27" t="s">
        <v>76</v>
      </c>
      <c r="O58" s="27" t="s">
        <v>472</v>
      </c>
      <c r="P58" s="27" t="s">
        <v>415</v>
      </c>
    </row>
    <row r="59" spans="1:19">
      <c r="A59" s="48">
        <v>1</v>
      </c>
      <c r="B59" s="48"/>
      <c r="C59" s="48"/>
      <c r="D59" s="48"/>
      <c r="E59" s="48"/>
      <c r="F59" s="48"/>
      <c r="G59" s="49"/>
      <c r="H59" s="76"/>
      <c r="I59" s="48"/>
      <c r="J59" s="48"/>
      <c r="K59" s="48"/>
      <c r="L59" s="48"/>
      <c r="M59" s="48"/>
      <c r="N59" s="48"/>
      <c r="O59" s="48"/>
      <c r="P59" s="48"/>
    </row>
    <row r="60" spans="1:19">
      <c r="A60" s="28">
        <v>2</v>
      </c>
      <c r="B60" s="28"/>
      <c r="C60" s="28"/>
      <c r="D60" s="28"/>
      <c r="E60" s="28"/>
      <c r="F60" s="28"/>
      <c r="G60" s="29"/>
      <c r="H60" s="75"/>
      <c r="I60" s="28"/>
      <c r="J60" s="28"/>
      <c r="K60" s="28"/>
      <c r="L60" s="28"/>
      <c r="M60" s="28"/>
      <c r="N60" s="28"/>
      <c r="O60" s="28"/>
      <c r="P60" s="28"/>
    </row>
    <row r="61" spans="1:19">
      <c r="A61" s="48">
        <v>3</v>
      </c>
      <c r="B61" s="48"/>
      <c r="C61" s="48"/>
      <c r="D61" s="48"/>
      <c r="E61" s="48"/>
      <c r="F61" s="48"/>
      <c r="G61" s="49"/>
      <c r="H61" s="76"/>
      <c r="I61" s="48"/>
      <c r="J61" s="48"/>
      <c r="K61" s="48"/>
      <c r="L61" s="48"/>
      <c r="M61" s="48"/>
      <c r="N61" s="48"/>
      <c r="O61" s="48"/>
      <c r="P61" s="48"/>
    </row>
    <row r="62" spans="1:19">
      <c r="A62" s="28">
        <v>4</v>
      </c>
      <c r="B62" s="28"/>
      <c r="C62" s="28"/>
      <c r="D62" s="28"/>
      <c r="E62" s="28"/>
      <c r="F62" s="28"/>
      <c r="G62" s="29"/>
      <c r="H62" s="75"/>
      <c r="I62" s="28"/>
      <c r="J62" s="28"/>
      <c r="K62" s="28"/>
      <c r="L62" s="28"/>
      <c r="M62" s="28"/>
      <c r="N62" s="28"/>
      <c r="O62" s="28"/>
      <c r="P62" s="28"/>
    </row>
    <row r="63" spans="1:19">
      <c r="A63" s="48">
        <v>5</v>
      </c>
      <c r="B63" s="48"/>
      <c r="C63" s="48"/>
      <c r="D63" s="48"/>
      <c r="E63" s="48"/>
      <c r="F63" s="48"/>
      <c r="G63" s="49"/>
      <c r="H63" s="76"/>
      <c r="I63" s="48"/>
      <c r="J63" s="48"/>
      <c r="K63" s="48"/>
      <c r="L63" s="48"/>
      <c r="M63" s="48"/>
      <c r="N63" s="48"/>
      <c r="O63" s="48"/>
      <c r="P63" s="48"/>
    </row>
    <row r="64" spans="1:19">
      <c r="A64" s="28">
        <v>6</v>
      </c>
      <c r="B64" s="28"/>
      <c r="C64" s="28"/>
      <c r="D64" s="28"/>
      <c r="E64" s="28"/>
      <c r="F64" s="28"/>
      <c r="G64" s="29"/>
      <c r="H64" s="75"/>
      <c r="I64" s="28"/>
      <c r="J64" s="28"/>
      <c r="K64" s="28"/>
      <c r="L64" s="28"/>
      <c r="M64" s="28"/>
      <c r="N64" s="28"/>
      <c r="O64" s="28"/>
      <c r="P64" s="28"/>
    </row>
    <row r="65" spans="1:16">
      <c r="A65" s="48">
        <v>7</v>
      </c>
      <c r="B65" s="48"/>
      <c r="C65" s="48"/>
      <c r="D65" s="48"/>
      <c r="E65" s="48"/>
      <c r="F65" s="48"/>
      <c r="G65" s="49"/>
      <c r="H65" s="76"/>
      <c r="I65" s="48"/>
      <c r="J65" s="48"/>
      <c r="K65" s="48"/>
      <c r="L65" s="48"/>
      <c r="M65" s="48"/>
      <c r="N65" s="48"/>
      <c r="O65" s="48"/>
      <c r="P65" s="48"/>
    </row>
    <row r="66" spans="1:16">
      <c r="A66" s="28">
        <v>8</v>
      </c>
      <c r="B66" s="28"/>
      <c r="C66" s="28"/>
      <c r="D66" s="28"/>
      <c r="E66" s="28"/>
      <c r="F66" s="28"/>
      <c r="G66" s="29"/>
      <c r="H66" s="75"/>
      <c r="I66" s="28"/>
      <c r="J66" s="28"/>
      <c r="K66" s="28"/>
      <c r="L66" s="28"/>
      <c r="M66" s="28"/>
      <c r="N66" s="28"/>
      <c r="O66" s="28"/>
      <c r="P66" s="28"/>
    </row>
    <row r="67" spans="1:16">
      <c r="A67" s="48">
        <v>9</v>
      </c>
      <c r="B67" s="48"/>
      <c r="C67" s="48"/>
      <c r="D67" s="48"/>
      <c r="E67" s="48"/>
      <c r="F67" s="48"/>
      <c r="G67" s="49"/>
      <c r="H67" s="76"/>
      <c r="I67" s="48"/>
      <c r="J67" s="48"/>
      <c r="K67" s="48"/>
      <c r="L67" s="48"/>
      <c r="M67" s="48"/>
      <c r="N67" s="48"/>
      <c r="O67" s="48"/>
      <c r="P67" s="48"/>
    </row>
    <row r="68" spans="1:16">
      <c r="A68" s="28">
        <v>10</v>
      </c>
      <c r="B68" s="28"/>
      <c r="C68" s="28"/>
      <c r="D68" s="28"/>
      <c r="E68" s="28"/>
      <c r="F68" s="28"/>
      <c r="G68" s="29"/>
      <c r="H68" s="75"/>
      <c r="I68" s="28"/>
      <c r="J68" s="28"/>
      <c r="K68" s="28"/>
      <c r="L68" s="28"/>
      <c r="M68" s="28"/>
      <c r="N68" s="28"/>
      <c r="O68" s="28"/>
      <c r="P68" s="28"/>
    </row>
    <row r="69" spans="1:16">
      <c r="A69" s="48">
        <v>11</v>
      </c>
      <c r="B69" s="48"/>
      <c r="C69" s="48"/>
      <c r="D69" s="48"/>
      <c r="E69" s="48"/>
      <c r="F69" s="48"/>
      <c r="G69" s="49"/>
      <c r="H69" s="76"/>
      <c r="I69" s="48"/>
      <c r="J69" s="48"/>
      <c r="K69" s="48"/>
      <c r="L69" s="48"/>
      <c r="M69" s="48"/>
      <c r="N69" s="48"/>
      <c r="O69" s="48"/>
      <c r="P69" s="48"/>
    </row>
    <row r="70" spans="1:16">
      <c r="A70" s="28">
        <v>12</v>
      </c>
      <c r="B70" s="28"/>
      <c r="C70" s="28"/>
      <c r="D70" s="28"/>
      <c r="E70" s="28"/>
      <c r="F70" s="28"/>
      <c r="G70" s="29"/>
      <c r="H70" s="75"/>
      <c r="I70" s="28"/>
      <c r="J70" s="28"/>
      <c r="K70" s="28"/>
      <c r="L70" s="28"/>
      <c r="M70" s="28"/>
      <c r="N70" s="28"/>
      <c r="O70" s="28"/>
      <c r="P70" s="28"/>
    </row>
    <row r="71" spans="1:16">
      <c r="A71" s="48">
        <v>13</v>
      </c>
      <c r="B71" s="48"/>
      <c r="C71" s="48"/>
      <c r="D71" s="48"/>
      <c r="E71" s="48"/>
      <c r="F71" s="48"/>
      <c r="G71" s="49"/>
      <c r="H71" s="76"/>
      <c r="I71" s="48"/>
      <c r="J71" s="48"/>
      <c r="K71" s="48"/>
      <c r="L71" s="48"/>
      <c r="M71" s="48"/>
      <c r="N71" s="48"/>
      <c r="O71" s="48"/>
      <c r="P71" s="48"/>
    </row>
    <row r="72" spans="1:16">
      <c r="A72" s="28">
        <v>14</v>
      </c>
      <c r="B72" s="28"/>
      <c r="C72" s="28"/>
      <c r="D72" s="28"/>
      <c r="E72" s="28"/>
      <c r="F72" s="28"/>
      <c r="G72" s="29"/>
      <c r="H72" s="75"/>
      <c r="I72" s="28"/>
      <c r="J72" s="28"/>
      <c r="K72" s="28"/>
      <c r="L72" s="28"/>
      <c r="M72" s="28"/>
      <c r="N72" s="28"/>
      <c r="O72" s="28"/>
      <c r="P72" s="28"/>
    </row>
    <row r="73" spans="1:16">
      <c r="A73" s="48">
        <v>15</v>
      </c>
      <c r="B73" s="48"/>
      <c r="C73" s="48"/>
      <c r="D73" s="48"/>
      <c r="E73" s="48"/>
      <c r="F73" s="48"/>
      <c r="G73" s="49"/>
      <c r="H73" s="76"/>
      <c r="I73" s="48"/>
      <c r="J73" s="48"/>
      <c r="K73" s="48"/>
      <c r="L73" s="48"/>
      <c r="M73" s="48"/>
      <c r="N73" s="48"/>
      <c r="O73" s="48"/>
      <c r="P73" s="48"/>
    </row>
    <row r="74" spans="1:16">
      <c r="A74" s="28">
        <v>16</v>
      </c>
      <c r="B74" s="28"/>
      <c r="C74" s="28"/>
      <c r="D74" s="28"/>
      <c r="E74" s="28"/>
      <c r="F74" s="28"/>
      <c r="G74" s="29"/>
      <c r="H74" s="75"/>
      <c r="I74" s="28"/>
      <c r="J74" s="28"/>
      <c r="K74" s="28"/>
      <c r="L74" s="28"/>
      <c r="M74" s="28"/>
      <c r="N74" s="28"/>
      <c r="O74" s="28"/>
      <c r="P74" s="28"/>
    </row>
    <row r="75" spans="1:16">
      <c r="A75" s="48">
        <v>17</v>
      </c>
      <c r="B75" s="48"/>
      <c r="C75" s="48"/>
      <c r="D75" s="48"/>
      <c r="E75" s="48"/>
      <c r="F75" s="48"/>
      <c r="G75" s="49"/>
      <c r="H75" s="76"/>
      <c r="I75" s="48"/>
      <c r="J75" s="48"/>
      <c r="K75" s="48"/>
      <c r="L75" s="48"/>
      <c r="M75" s="48"/>
      <c r="N75" s="48"/>
      <c r="O75" s="48"/>
      <c r="P75" s="48"/>
    </row>
    <row r="76" spans="1:16">
      <c r="A76" s="28">
        <v>18</v>
      </c>
      <c r="B76" s="28"/>
      <c r="C76" s="28"/>
      <c r="D76" s="28"/>
      <c r="E76" s="28"/>
      <c r="F76" s="28"/>
      <c r="G76" s="29"/>
      <c r="H76" s="75"/>
      <c r="I76" s="28"/>
      <c r="J76" s="28"/>
      <c r="K76" s="28"/>
      <c r="L76" s="28"/>
      <c r="M76" s="28"/>
      <c r="N76" s="28"/>
      <c r="O76" s="28"/>
      <c r="P76" s="28"/>
    </row>
    <row r="77" spans="1:16">
      <c r="A77" s="48">
        <v>19</v>
      </c>
      <c r="B77" s="48"/>
      <c r="C77" s="48"/>
      <c r="D77" s="48"/>
      <c r="E77" s="48"/>
      <c r="F77" s="48"/>
      <c r="G77" s="49"/>
      <c r="H77" s="76"/>
      <c r="I77" s="48"/>
      <c r="J77" s="48"/>
      <c r="K77" s="48"/>
      <c r="L77" s="48"/>
      <c r="M77" s="48"/>
      <c r="N77" s="48"/>
      <c r="O77" s="48"/>
      <c r="P77" s="48"/>
    </row>
    <row r="78" spans="1:16">
      <c r="A78" s="28">
        <v>20</v>
      </c>
      <c r="B78" s="28"/>
      <c r="C78" s="28"/>
      <c r="D78" s="28"/>
      <c r="E78" s="28"/>
      <c r="F78" s="28"/>
      <c r="G78" s="29"/>
      <c r="H78" s="75"/>
      <c r="I78" s="28"/>
      <c r="J78" s="28"/>
      <c r="K78" s="28"/>
      <c r="L78" s="28"/>
      <c r="M78" s="28"/>
      <c r="N78" s="28"/>
      <c r="O78" s="28"/>
      <c r="P78" s="28"/>
    </row>
    <row r="79" spans="1:16">
      <c r="A79" s="48">
        <v>21</v>
      </c>
      <c r="B79" s="48"/>
      <c r="C79" s="48"/>
      <c r="D79" s="48"/>
      <c r="E79" s="48"/>
      <c r="F79" s="48"/>
      <c r="G79" s="49"/>
      <c r="H79" s="76"/>
      <c r="I79" s="48"/>
      <c r="J79" s="48"/>
      <c r="K79" s="48"/>
      <c r="L79" s="48"/>
      <c r="M79" s="48"/>
      <c r="N79" s="48"/>
      <c r="O79" s="48"/>
      <c r="P79" s="48"/>
    </row>
    <row r="80" spans="1:16">
      <c r="A80" s="28">
        <v>22</v>
      </c>
      <c r="B80" s="28"/>
      <c r="C80" s="28"/>
      <c r="D80" s="28"/>
      <c r="E80" s="28"/>
      <c r="F80" s="28"/>
      <c r="G80" s="29"/>
      <c r="H80" s="75"/>
      <c r="I80" s="28"/>
      <c r="J80" s="28"/>
      <c r="K80" s="28"/>
      <c r="L80" s="28"/>
      <c r="M80" s="28"/>
      <c r="N80" s="28"/>
      <c r="O80" s="28"/>
      <c r="P80" s="28"/>
    </row>
    <row r="81" spans="1:16">
      <c r="A81" s="48">
        <v>23</v>
      </c>
      <c r="B81" s="48"/>
      <c r="C81" s="48"/>
      <c r="D81" s="48"/>
      <c r="E81" s="48"/>
      <c r="F81" s="48"/>
      <c r="G81" s="49"/>
      <c r="H81" s="76"/>
      <c r="I81" s="48"/>
      <c r="J81" s="48"/>
      <c r="K81" s="48"/>
      <c r="L81" s="48"/>
      <c r="M81" s="48"/>
      <c r="N81" s="48"/>
      <c r="O81" s="48"/>
      <c r="P81" s="48"/>
    </row>
    <row r="82" spans="1:16">
      <c r="A82" s="28">
        <v>24</v>
      </c>
      <c r="B82" s="28"/>
      <c r="C82" s="28"/>
      <c r="D82" s="28"/>
      <c r="E82" s="28"/>
      <c r="F82" s="28"/>
      <c r="G82" s="29"/>
      <c r="H82" s="75"/>
      <c r="I82" s="28"/>
      <c r="J82" s="28"/>
      <c r="K82" s="28"/>
      <c r="L82" s="28"/>
      <c r="M82" s="28"/>
      <c r="N82" s="28"/>
      <c r="O82" s="28"/>
      <c r="P82" s="28"/>
    </row>
    <row r="83" spans="1:16">
      <c r="A83" s="48">
        <v>25</v>
      </c>
      <c r="B83" s="48"/>
      <c r="C83" s="48"/>
      <c r="D83" s="48"/>
      <c r="E83" s="48"/>
      <c r="F83" s="48"/>
      <c r="G83" s="49"/>
      <c r="H83" s="76"/>
      <c r="I83" s="48"/>
      <c r="J83" s="48"/>
      <c r="K83" s="48"/>
      <c r="L83" s="48"/>
      <c r="M83" s="48"/>
      <c r="N83" s="48"/>
      <c r="O83" s="48"/>
      <c r="P83" s="48"/>
    </row>
    <row r="84" spans="1:16">
      <c r="A84" s="28">
        <v>26</v>
      </c>
      <c r="B84" s="28"/>
      <c r="C84" s="28"/>
      <c r="D84" s="28"/>
      <c r="E84" s="28"/>
      <c r="F84" s="28"/>
      <c r="G84" s="29"/>
      <c r="H84" s="75"/>
      <c r="I84" s="28"/>
      <c r="J84" s="28"/>
      <c r="K84" s="28"/>
      <c r="L84" s="28"/>
      <c r="M84" s="28"/>
      <c r="N84" s="28"/>
      <c r="O84" s="28"/>
      <c r="P84" s="28"/>
    </row>
    <row r="85" spans="1:16">
      <c r="A85" s="48">
        <v>27</v>
      </c>
      <c r="B85" s="48"/>
      <c r="C85" s="48"/>
      <c r="D85" s="48"/>
      <c r="E85" s="48"/>
      <c r="F85" s="48"/>
      <c r="G85" s="49"/>
      <c r="H85" s="76"/>
      <c r="I85" s="48"/>
      <c r="J85" s="48"/>
      <c r="K85" s="48"/>
      <c r="L85" s="48"/>
      <c r="M85" s="48"/>
      <c r="N85" s="48"/>
      <c r="O85" s="48"/>
      <c r="P85" s="48"/>
    </row>
    <row r="86" spans="1:16">
      <c r="A86" s="28">
        <v>28</v>
      </c>
      <c r="B86" s="28"/>
      <c r="C86" s="28"/>
      <c r="D86" s="28"/>
      <c r="E86" s="28"/>
      <c r="F86" s="28"/>
      <c r="G86" s="29"/>
      <c r="H86" s="75"/>
      <c r="I86" s="28"/>
      <c r="J86" s="28"/>
      <c r="K86" s="28"/>
      <c r="L86" s="28"/>
      <c r="M86" s="28"/>
      <c r="N86" s="28"/>
      <c r="O86" s="28"/>
      <c r="P86" s="28"/>
    </row>
    <row r="87" spans="1:16">
      <c r="A87" s="48">
        <v>29</v>
      </c>
      <c r="B87" s="48"/>
      <c r="C87" s="48"/>
      <c r="D87" s="48"/>
      <c r="E87" s="48"/>
      <c r="F87" s="48"/>
      <c r="G87" s="49"/>
      <c r="H87" s="76"/>
      <c r="I87" s="48"/>
      <c r="J87" s="48"/>
      <c r="K87" s="48"/>
      <c r="L87" s="48"/>
      <c r="M87" s="48"/>
      <c r="N87" s="48"/>
      <c r="O87" s="48"/>
      <c r="P87" s="48"/>
    </row>
    <row r="88" spans="1:16">
      <c r="A88" s="28">
        <v>30</v>
      </c>
      <c r="B88" s="28"/>
      <c r="C88" s="28"/>
      <c r="D88" s="28"/>
      <c r="E88" s="28"/>
      <c r="F88" s="28"/>
      <c r="G88" s="29"/>
      <c r="H88" s="75"/>
      <c r="I88" s="28"/>
      <c r="J88" s="28"/>
      <c r="K88" s="28"/>
      <c r="L88" s="28"/>
      <c r="M88" s="28"/>
      <c r="N88" s="28"/>
      <c r="O88" s="28"/>
      <c r="P88" s="28"/>
    </row>
    <row r="89" spans="1:16">
      <c r="A89" s="48">
        <v>31</v>
      </c>
      <c r="B89" s="48"/>
      <c r="C89" s="48"/>
      <c r="D89" s="48"/>
      <c r="E89" s="48"/>
      <c r="F89" s="48"/>
      <c r="G89" s="49"/>
      <c r="H89" s="76"/>
      <c r="I89" s="48"/>
      <c r="J89" s="48"/>
      <c r="K89" s="48"/>
      <c r="L89" s="48"/>
      <c r="M89" s="48"/>
      <c r="N89" s="48"/>
      <c r="O89" s="48"/>
      <c r="P89" s="48"/>
    </row>
    <row r="90" spans="1:16">
      <c r="A90" s="28">
        <v>32</v>
      </c>
      <c r="B90" s="28"/>
      <c r="C90" s="28"/>
      <c r="D90" s="28"/>
      <c r="E90" s="28"/>
      <c r="F90" s="28"/>
      <c r="G90" s="29"/>
      <c r="H90" s="75"/>
      <c r="I90" s="28"/>
      <c r="J90" s="28"/>
      <c r="K90" s="28"/>
      <c r="L90" s="28"/>
      <c r="M90" s="28"/>
      <c r="N90" s="28"/>
      <c r="O90" s="28"/>
      <c r="P90" s="28"/>
    </row>
    <row r="91" spans="1:16">
      <c r="A91" s="48">
        <v>33</v>
      </c>
      <c r="B91" s="48"/>
      <c r="C91" s="48"/>
      <c r="D91" s="48"/>
      <c r="E91" s="48"/>
      <c r="F91" s="48"/>
      <c r="G91" s="49"/>
      <c r="H91" s="76"/>
      <c r="I91" s="48"/>
      <c r="J91" s="48"/>
      <c r="K91" s="48"/>
      <c r="L91" s="48"/>
      <c r="M91" s="48"/>
      <c r="N91" s="48"/>
      <c r="O91" s="48"/>
      <c r="P91" s="48"/>
    </row>
    <row r="92" spans="1:16">
      <c r="A92" s="28">
        <v>34</v>
      </c>
      <c r="B92" s="28"/>
      <c r="C92" s="28"/>
      <c r="D92" s="28"/>
      <c r="E92" s="28"/>
      <c r="F92" s="28"/>
      <c r="G92" s="29"/>
      <c r="H92" s="75"/>
      <c r="I92" s="28"/>
      <c r="J92" s="28"/>
      <c r="K92" s="28"/>
      <c r="L92" s="28"/>
      <c r="M92" s="28"/>
      <c r="N92" s="28"/>
      <c r="O92" s="28"/>
      <c r="P92" s="28"/>
    </row>
    <row r="93" spans="1:16">
      <c r="A93" s="48">
        <v>35</v>
      </c>
      <c r="B93" s="48"/>
      <c r="C93" s="48"/>
      <c r="D93" s="48"/>
      <c r="E93" s="48"/>
      <c r="F93" s="48"/>
      <c r="G93" s="49"/>
      <c r="H93" s="76"/>
      <c r="I93" s="48"/>
      <c r="J93" s="48"/>
      <c r="K93" s="48"/>
      <c r="L93" s="48"/>
      <c r="M93" s="48"/>
      <c r="N93" s="48"/>
      <c r="O93" s="48"/>
      <c r="P93" s="48"/>
    </row>
    <row r="94" spans="1:16">
      <c r="A94" s="28">
        <v>36</v>
      </c>
      <c r="B94" s="28"/>
      <c r="C94" s="28"/>
      <c r="D94" s="28"/>
      <c r="E94" s="28"/>
      <c r="F94" s="28"/>
      <c r="G94" s="29"/>
      <c r="H94" s="75"/>
      <c r="I94" s="28"/>
      <c r="J94" s="28"/>
      <c r="K94" s="28"/>
      <c r="L94" s="28"/>
      <c r="M94" s="28"/>
      <c r="N94" s="28"/>
      <c r="O94" s="28"/>
      <c r="P94" s="28"/>
    </row>
    <row r="95" spans="1:16">
      <c r="A95" s="48">
        <v>37</v>
      </c>
      <c r="B95" s="48"/>
      <c r="C95" s="48"/>
      <c r="D95" s="48"/>
      <c r="E95" s="48"/>
      <c r="F95" s="48"/>
      <c r="G95" s="49"/>
      <c r="H95" s="76"/>
      <c r="I95" s="48"/>
      <c r="J95" s="48"/>
      <c r="K95" s="48"/>
      <c r="L95" s="48"/>
      <c r="M95" s="48"/>
      <c r="N95" s="48"/>
      <c r="O95" s="48"/>
      <c r="P95" s="48"/>
    </row>
    <row r="96" spans="1:16">
      <c r="A96" s="28">
        <v>38</v>
      </c>
      <c r="B96" s="28"/>
      <c r="C96" s="28"/>
      <c r="D96" s="28"/>
      <c r="E96" s="28"/>
      <c r="F96" s="28"/>
      <c r="G96" s="29"/>
      <c r="H96" s="75"/>
      <c r="I96" s="28"/>
      <c r="J96" s="28"/>
      <c r="K96" s="28"/>
      <c r="L96" s="28"/>
      <c r="M96" s="28"/>
      <c r="N96" s="28"/>
      <c r="O96" s="28"/>
      <c r="P96" s="28"/>
    </row>
    <row r="97" spans="1:16">
      <c r="A97" s="48">
        <v>39</v>
      </c>
      <c r="B97" s="48"/>
      <c r="C97" s="48"/>
      <c r="D97" s="48"/>
      <c r="E97" s="48"/>
      <c r="F97" s="48"/>
      <c r="G97" s="49"/>
      <c r="H97" s="76"/>
      <c r="I97" s="48"/>
      <c r="J97" s="48"/>
      <c r="K97" s="48"/>
      <c r="L97" s="48"/>
      <c r="M97" s="48"/>
      <c r="N97" s="48"/>
      <c r="O97" s="48"/>
      <c r="P97" s="48"/>
    </row>
    <row r="98" spans="1:16">
      <c r="A98" s="28">
        <v>40</v>
      </c>
      <c r="B98" s="28"/>
      <c r="C98" s="28"/>
      <c r="D98" s="28"/>
      <c r="E98" s="28"/>
      <c r="F98" s="28"/>
      <c r="G98" s="29"/>
      <c r="H98" s="75"/>
      <c r="I98" s="28"/>
      <c r="J98" s="28"/>
      <c r="K98" s="28"/>
      <c r="L98" s="28"/>
      <c r="M98" s="28"/>
      <c r="N98" s="28"/>
      <c r="O98" s="28"/>
      <c r="P98" s="28"/>
    </row>
    <row r="99" spans="1:16">
      <c r="A99" s="48">
        <v>41</v>
      </c>
      <c r="B99" s="48"/>
      <c r="C99" s="48"/>
      <c r="D99" s="48"/>
      <c r="E99" s="48"/>
      <c r="F99" s="48"/>
      <c r="G99" s="49"/>
      <c r="H99" s="76"/>
      <c r="I99" s="48"/>
      <c r="J99" s="48"/>
      <c r="K99" s="48"/>
      <c r="L99" s="48"/>
      <c r="M99" s="48"/>
      <c r="N99" s="48"/>
      <c r="O99" s="48"/>
      <c r="P99" s="48"/>
    </row>
    <row r="100" spans="1:16">
      <c r="A100" s="28">
        <v>42</v>
      </c>
      <c r="B100" s="28"/>
      <c r="C100" s="28"/>
      <c r="D100" s="28"/>
      <c r="E100" s="28"/>
      <c r="F100" s="28"/>
      <c r="G100" s="29"/>
      <c r="H100" s="75"/>
      <c r="I100" s="28"/>
      <c r="J100" s="28"/>
      <c r="K100" s="28"/>
      <c r="L100" s="28"/>
      <c r="M100" s="28"/>
      <c r="N100" s="28"/>
      <c r="O100" s="28"/>
      <c r="P100" s="28"/>
    </row>
    <row r="101" spans="1:16">
      <c r="A101" s="48">
        <v>43</v>
      </c>
      <c r="B101" s="48"/>
      <c r="C101" s="48"/>
      <c r="D101" s="48"/>
      <c r="E101" s="48"/>
      <c r="F101" s="48"/>
      <c r="G101" s="49"/>
      <c r="H101" s="76"/>
      <c r="I101" s="48"/>
      <c r="J101" s="48"/>
      <c r="K101" s="48"/>
      <c r="L101" s="48"/>
      <c r="M101" s="48"/>
      <c r="N101" s="48"/>
      <c r="O101" s="48"/>
      <c r="P101" s="48"/>
    </row>
    <row r="102" spans="1:16">
      <c r="A102" s="28">
        <v>44</v>
      </c>
      <c r="B102" s="28"/>
      <c r="C102" s="28"/>
      <c r="D102" s="28"/>
      <c r="E102" s="28"/>
      <c r="F102" s="28"/>
      <c r="G102" s="29"/>
      <c r="H102" s="75"/>
      <c r="I102" s="28"/>
      <c r="J102" s="28"/>
      <c r="K102" s="28"/>
      <c r="L102" s="28"/>
      <c r="M102" s="28"/>
      <c r="N102" s="28"/>
      <c r="O102" s="28"/>
      <c r="P102" s="28"/>
    </row>
    <row r="103" spans="1:16">
      <c r="A103" s="48">
        <v>45</v>
      </c>
      <c r="B103" s="48"/>
      <c r="C103" s="48"/>
      <c r="D103" s="48"/>
      <c r="E103" s="48"/>
      <c r="F103" s="48"/>
      <c r="G103" s="49"/>
      <c r="H103" s="76"/>
      <c r="I103" s="48"/>
      <c r="J103" s="48"/>
      <c r="K103" s="48"/>
      <c r="L103" s="48"/>
      <c r="M103" s="48"/>
      <c r="N103" s="48"/>
      <c r="O103" s="48"/>
      <c r="P103" s="48"/>
    </row>
    <row r="104" spans="1:16">
      <c r="A104" s="28">
        <v>46</v>
      </c>
      <c r="B104" s="28"/>
      <c r="C104" s="28"/>
      <c r="D104" s="28"/>
      <c r="E104" s="28"/>
      <c r="F104" s="28"/>
      <c r="G104" s="29"/>
      <c r="H104" s="75"/>
      <c r="I104" s="28"/>
      <c r="J104" s="28"/>
      <c r="K104" s="28"/>
      <c r="L104" s="28"/>
      <c r="M104" s="28"/>
      <c r="N104" s="28"/>
      <c r="O104" s="28"/>
      <c r="P104" s="28"/>
    </row>
    <row r="105" spans="1:16">
      <c r="A105" s="48">
        <v>47</v>
      </c>
      <c r="B105" s="48"/>
      <c r="C105" s="48"/>
      <c r="D105" s="48"/>
      <c r="E105" s="48"/>
      <c r="F105" s="48"/>
      <c r="G105" s="49"/>
      <c r="H105" s="76"/>
      <c r="I105" s="48"/>
      <c r="J105" s="48"/>
      <c r="K105" s="48"/>
      <c r="L105" s="48"/>
      <c r="M105" s="48"/>
      <c r="N105" s="48"/>
      <c r="O105" s="48"/>
      <c r="P105" s="48"/>
    </row>
    <row r="106" spans="1:16">
      <c r="A106" s="28">
        <v>48</v>
      </c>
      <c r="B106" s="28"/>
      <c r="C106" s="28"/>
      <c r="D106" s="28"/>
      <c r="E106" s="28"/>
      <c r="F106" s="28"/>
      <c r="G106" s="29"/>
      <c r="H106" s="75"/>
      <c r="I106" s="28"/>
      <c r="J106" s="28"/>
      <c r="K106" s="28"/>
      <c r="L106" s="28"/>
      <c r="M106" s="28"/>
      <c r="N106" s="28"/>
      <c r="O106" s="28"/>
      <c r="P106" s="28"/>
    </row>
    <row r="107" spans="1:16">
      <c r="A107" s="48">
        <v>49</v>
      </c>
      <c r="B107" s="48"/>
      <c r="C107" s="48"/>
      <c r="D107" s="48"/>
      <c r="E107" s="48"/>
      <c r="F107" s="48"/>
      <c r="G107" s="49"/>
      <c r="H107" s="76"/>
      <c r="I107" s="48"/>
      <c r="J107" s="48"/>
      <c r="K107" s="48"/>
      <c r="L107" s="48"/>
      <c r="M107" s="48"/>
      <c r="N107" s="48"/>
      <c r="O107" s="48"/>
      <c r="P107" s="48"/>
    </row>
    <row r="108" spans="1:16">
      <c r="A108" s="28">
        <v>50</v>
      </c>
      <c r="B108" s="28"/>
      <c r="C108" s="28"/>
      <c r="D108" s="28"/>
      <c r="E108" s="28"/>
      <c r="F108" s="28"/>
      <c r="G108" s="29"/>
      <c r="H108" s="75"/>
      <c r="I108" s="28"/>
      <c r="J108" s="28"/>
      <c r="K108" s="28"/>
      <c r="L108" s="28"/>
      <c r="M108" s="28"/>
      <c r="N108" s="28"/>
      <c r="O108" s="28"/>
      <c r="P108" s="28"/>
    </row>
    <row r="109" spans="1:16" s="39" customFormat="1" ht="12.75" customHeight="1">
      <c r="A109" s="102" t="s">
        <v>498</v>
      </c>
      <c r="B109" s="112"/>
      <c r="C109" s="112"/>
      <c r="D109" s="7">
        <f>COUNTA(C59:C108)</f>
        <v>0</v>
      </c>
    </row>
  </sheetData>
  <mergeCells count="7">
    <mergeCell ref="Q55:R55"/>
    <mergeCell ref="A1:S1"/>
    <mergeCell ref="A109:C109"/>
    <mergeCell ref="A3:S3"/>
    <mergeCell ref="A55:C55"/>
    <mergeCell ref="L2:N2"/>
    <mergeCell ref="A57:P57"/>
  </mergeCells>
  <conditionalFormatting sqref="A5:S54">
    <cfRule type="expression" dxfId="15" priority="2">
      <formula>$S5="Terminated"</formula>
    </cfRule>
    <cfRule type="expression" dxfId="14" priority="3">
      <formula>$S5="Resigned"</formula>
    </cfRule>
    <cfRule type="expression" dxfId="13" priority="4">
      <formula>$S5="NCNS"</formula>
    </cfRule>
    <cfRule type="expression" dxfId="12" priority="5">
      <formula>$S5="Suspended"</formula>
    </cfRule>
  </conditionalFormatting>
  <conditionalFormatting sqref="A59:O108">
    <cfRule type="expression" dxfId="11" priority="6">
      <formula>$O59="QUIT"</formula>
    </cfRule>
    <cfRule type="expression" dxfId="10" priority="7">
      <formula>$O59="Terminated"</formula>
    </cfRule>
    <cfRule type="expression" dxfId="9" priority="8">
      <formula>$O59="Resigned"</formula>
    </cfRule>
    <cfRule type="expression" dxfId="8" priority="9">
      <formula>$O59="NCNS"</formula>
    </cfRule>
  </conditionalFormatting>
  <dataValidations count="5">
    <dataValidation type="list" sqref="E5:E54" xr:uid="{00000000-0002-0000-0C00-000000000000}">
      <formula1>"Yes,No,Pending"</formula1>
    </dataValidation>
    <dataValidation type="list" sqref="B5:B54 B59:B108" xr:uid="{00000000-0002-0000-0C00-000001000000}">
      <formula1>"Residential,Administration,Finance,Facilities,HR,ELC,LLL,Prof. Services,Behavioral,IT,Other"</formula1>
    </dataValidation>
    <dataValidation type="list" sqref="S5:S54" xr:uid="{00000000-0002-0000-0C00-000002000000}">
      <formula1>"Active,Terminated,Resigned,NCNS,Suspended"</formula1>
    </dataValidation>
    <dataValidation type="list" sqref="I5:R54 I59:O108" xr:uid="{00000000-0002-0000-0C00-000003000000}">
      <formula1>"Yes,No,N/A,In Progress"</formula1>
    </dataValidation>
    <dataValidation type="list" sqref="P59:P108" xr:uid="{00000000-0002-0000-0C00-000004000000}">
      <formula1>"Active,QUIT,Terminated,Resigned,NCNS,Transferred"</formula1>
    </dataValidation>
  </dataValidations>
  <hyperlinks>
    <hyperlink ref="A2" location="Dashboard!A1" display="← Dashboard" xr:uid="{00000000-0004-0000-0C00-000000000000}"/>
  </hyperlinks>
  <pageMargins left="0.75" right="0.75" top="1" bottom="1" header="0.511811023622047" footer="0.511811023622047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2C5282"/>
  </sheetPr>
  <dimension ref="A1:S109"/>
  <sheetViews>
    <sheetView zoomScale="80" zoomScaleNormal="80" workbookViewId="0">
      <pane ySplit="4" topLeftCell="A5" activePane="bottomLeft" state="frozen"/>
      <selection pane="bottomLeft" activeCell="F16" sqref="F16"/>
      <selection activeCell="F16" sqref="F16"/>
    </sheetView>
  </sheetViews>
  <sheetFormatPr defaultColWidth="8.7109375" defaultRowHeight="14.25"/>
  <cols>
    <col min="1" max="1" width="4" style="32" customWidth="1"/>
    <col min="2" max="2" width="15" style="32" customWidth="1"/>
    <col min="3" max="3" width="13" style="32" customWidth="1"/>
    <col min="4" max="4" width="17" style="32" customWidth="1"/>
    <col min="5" max="5" width="11" style="32" customWidth="1"/>
    <col min="6" max="6" width="14" style="32" customWidth="1"/>
    <col min="7" max="7" width="22" style="32" customWidth="1"/>
    <col min="8" max="8" width="12" style="32" customWidth="1"/>
    <col min="9" max="17" width="11" style="32" customWidth="1"/>
    <col min="18" max="19" width="10" style="32" customWidth="1"/>
    <col min="20" max="20" width="8.7109375" style="32" customWidth="1"/>
    <col min="21" max="16384" width="8.7109375" style="32"/>
  </cols>
  <sheetData>
    <row r="1" spans="1:19" ht="33.75" customHeight="1">
      <c r="A1" s="100" t="s">
        <v>669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</row>
    <row r="2" spans="1:19" s="1" customFormat="1" ht="18" customHeight="1">
      <c r="A2" s="33" t="s">
        <v>79</v>
      </c>
      <c r="E2" s="35" t="s">
        <v>402</v>
      </c>
      <c r="F2" s="35">
        <f>D55</f>
        <v>0</v>
      </c>
      <c r="G2" s="36" t="s">
        <v>403</v>
      </c>
      <c r="H2" s="36">
        <f>S55</f>
        <v>0</v>
      </c>
      <c r="I2" s="37" t="s">
        <v>404</v>
      </c>
      <c r="J2" s="37">
        <f>D109</f>
        <v>0</v>
      </c>
      <c r="L2" s="104" t="s">
        <v>405</v>
      </c>
      <c r="M2" s="87"/>
      <c r="N2" s="87"/>
      <c r="O2" s="38" t="str">
        <f t="array" ref="O2">IF(COUNTIF(S5:S54,"Active")&gt;0,SUMPRODUCT((S5:S54="Active")*(I5:R54="Yes"))/SUMPRODUCT((S5:S54="Active")*(I5:R54&lt;&gt;"N/A")*(I5:R54&lt;&gt;"")),"—")</f>
        <v>—</v>
      </c>
    </row>
    <row r="3" spans="1:19" ht="24" customHeight="1">
      <c r="A3" s="103" t="s">
        <v>406</v>
      </c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</row>
    <row r="4" spans="1:19" ht="27.75" customHeight="1">
      <c r="A4" s="27" t="s">
        <v>407</v>
      </c>
      <c r="B4" s="27" t="s">
        <v>408</v>
      </c>
      <c r="C4" s="27" t="s">
        <v>409</v>
      </c>
      <c r="D4" s="27" t="s">
        <v>410</v>
      </c>
      <c r="E4" s="27" t="s">
        <v>411</v>
      </c>
      <c r="F4" s="27" t="s">
        <v>412</v>
      </c>
      <c r="G4" s="27" t="s">
        <v>413</v>
      </c>
      <c r="H4" s="27" t="s">
        <v>414</v>
      </c>
      <c r="I4" s="27" t="s">
        <v>357</v>
      </c>
      <c r="J4" s="27" t="s">
        <v>69</v>
      </c>
      <c r="K4" s="27" t="s">
        <v>360</v>
      </c>
      <c r="L4" s="27" t="s">
        <v>96</v>
      </c>
      <c r="M4" s="27" t="s">
        <v>72</v>
      </c>
      <c r="N4" s="27" t="s">
        <v>73</v>
      </c>
      <c r="O4" s="27" t="s">
        <v>74</v>
      </c>
      <c r="P4" s="27" t="s">
        <v>75</v>
      </c>
      <c r="Q4" s="27" t="s">
        <v>76</v>
      </c>
      <c r="R4" s="27" t="s">
        <v>77</v>
      </c>
      <c r="S4" s="27" t="s">
        <v>415</v>
      </c>
    </row>
    <row r="5" spans="1:19">
      <c r="A5" s="48">
        <v>1</v>
      </c>
      <c r="B5" s="48"/>
      <c r="C5" s="48"/>
      <c r="D5" s="48"/>
      <c r="E5" s="48"/>
      <c r="F5" s="49"/>
      <c r="G5" s="48"/>
      <c r="H5" s="49"/>
      <c r="I5" s="48"/>
      <c r="J5" s="48"/>
      <c r="K5" s="48"/>
      <c r="L5" s="48"/>
      <c r="M5" s="48"/>
      <c r="N5" s="48"/>
      <c r="O5" s="48"/>
      <c r="P5" s="48"/>
      <c r="Q5" s="48"/>
      <c r="R5" s="48"/>
      <c r="S5" s="49"/>
    </row>
    <row r="6" spans="1:19">
      <c r="A6" s="28">
        <v>2</v>
      </c>
      <c r="B6" s="28"/>
      <c r="C6" s="28"/>
      <c r="D6" s="28"/>
      <c r="E6" s="28"/>
      <c r="F6" s="29"/>
      <c r="G6" s="28"/>
      <c r="H6" s="29"/>
      <c r="I6" s="28"/>
      <c r="J6" s="28"/>
      <c r="K6" s="28"/>
      <c r="L6" s="28"/>
      <c r="M6" s="28"/>
      <c r="N6" s="28"/>
      <c r="O6" s="28"/>
      <c r="P6" s="28"/>
      <c r="Q6" s="28"/>
      <c r="R6" s="28"/>
      <c r="S6" s="29"/>
    </row>
    <row r="7" spans="1:19">
      <c r="A7" s="48">
        <v>3</v>
      </c>
      <c r="B7" s="48"/>
      <c r="C7" s="48"/>
      <c r="D7" s="48"/>
      <c r="E7" s="48"/>
      <c r="F7" s="49"/>
      <c r="G7" s="48"/>
      <c r="H7" s="49"/>
      <c r="I7" s="48"/>
      <c r="J7" s="48"/>
      <c r="K7" s="48"/>
      <c r="L7" s="48"/>
      <c r="M7" s="48"/>
      <c r="N7" s="48"/>
      <c r="O7" s="48"/>
      <c r="P7" s="48"/>
      <c r="Q7" s="48"/>
      <c r="R7" s="48"/>
      <c r="S7" s="49"/>
    </row>
    <row r="8" spans="1:19">
      <c r="A8" s="28">
        <v>4</v>
      </c>
      <c r="B8" s="28"/>
      <c r="C8" s="28"/>
      <c r="D8" s="28"/>
      <c r="E8" s="28"/>
      <c r="F8" s="29"/>
      <c r="G8" s="28"/>
      <c r="H8" s="29"/>
      <c r="I8" s="28"/>
      <c r="J8" s="28"/>
      <c r="K8" s="28"/>
      <c r="L8" s="28"/>
      <c r="M8" s="28"/>
      <c r="N8" s="28"/>
      <c r="O8" s="28"/>
      <c r="P8" s="28"/>
      <c r="Q8" s="28"/>
      <c r="R8" s="28"/>
      <c r="S8" s="29"/>
    </row>
    <row r="9" spans="1:19">
      <c r="A9" s="48">
        <v>5</v>
      </c>
      <c r="B9" s="48"/>
      <c r="C9" s="48"/>
      <c r="D9" s="48"/>
      <c r="E9" s="48"/>
      <c r="F9" s="49"/>
      <c r="G9" s="48"/>
      <c r="H9" s="49"/>
      <c r="I9" s="48"/>
      <c r="J9" s="48"/>
      <c r="K9" s="48"/>
      <c r="L9" s="48"/>
      <c r="M9" s="48"/>
      <c r="N9" s="48"/>
      <c r="O9" s="48"/>
      <c r="P9" s="48"/>
      <c r="Q9" s="48"/>
      <c r="R9" s="48"/>
      <c r="S9" s="49"/>
    </row>
    <row r="10" spans="1:19">
      <c r="A10" s="28">
        <v>6</v>
      </c>
      <c r="B10" s="28"/>
      <c r="C10" s="28"/>
      <c r="D10" s="28"/>
      <c r="E10" s="28"/>
      <c r="F10" s="29"/>
      <c r="G10" s="28"/>
      <c r="H10" s="29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9"/>
    </row>
    <row r="11" spans="1:19">
      <c r="A11" s="48">
        <v>7</v>
      </c>
      <c r="B11" s="48"/>
      <c r="C11" s="48"/>
      <c r="D11" s="48"/>
      <c r="E11" s="48"/>
      <c r="F11" s="49"/>
      <c r="G11" s="48"/>
      <c r="H11" s="49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9"/>
    </row>
    <row r="12" spans="1:19">
      <c r="A12" s="28">
        <v>8</v>
      </c>
      <c r="B12" s="28"/>
      <c r="C12" s="28"/>
      <c r="D12" s="28"/>
      <c r="E12" s="28"/>
      <c r="F12" s="29"/>
      <c r="G12" s="28"/>
      <c r="H12" s="29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9"/>
    </row>
    <row r="13" spans="1:19">
      <c r="A13" s="48">
        <v>9</v>
      </c>
      <c r="B13" s="48"/>
      <c r="C13" s="48"/>
      <c r="D13" s="48"/>
      <c r="E13" s="48"/>
      <c r="F13" s="49"/>
      <c r="G13" s="48"/>
      <c r="H13" s="49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9"/>
    </row>
    <row r="14" spans="1:19">
      <c r="A14" s="28">
        <v>10</v>
      </c>
      <c r="B14" s="28"/>
      <c r="C14" s="28"/>
      <c r="D14" s="28"/>
      <c r="E14" s="28"/>
      <c r="F14" s="29"/>
      <c r="G14" s="28"/>
      <c r="H14" s="29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9"/>
    </row>
    <row r="15" spans="1:19">
      <c r="A15" s="48">
        <v>11</v>
      </c>
      <c r="B15" s="48"/>
      <c r="C15" s="48"/>
      <c r="D15" s="48"/>
      <c r="E15" s="48"/>
      <c r="F15" s="49"/>
      <c r="G15" s="48"/>
      <c r="H15" s="49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9"/>
    </row>
    <row r="16" spans="1:19">
      <c r="A16" s="28">
        <v>12</v>
      </c>
      <c r="B16" s="28"/>
      <c r="C16" s="28"/>
      <c r="D16" s="28"/>
      <c r="E16" s="28"/>
      <c r="F16" s="29"/>
      <c r="G16" s="28"/>
      <c r="H16" s="29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9"/>
    </row>
    <row r="17" spans="1:19">
      <c r="A17" s="48">
        <v>13</v>
      </c>
      <c r="B17" s="48"/>
      <c r="C17" s="48"/>
      <c r="D17" s="48"/>
      <c r="E17" s="48"/>
      <c r="F17" s="49"/>
      <c r="G17" s="48"/>
      <c r="H17" s="49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9"/>
    </row>
    <row r="18" spans="1:19">
      <c r="A18" s="28">
        <v>14</v>
      </c>
      <c r="B18" s="28"/>
      <c r="C18" s="28"/>
      <c r="D18" s="28"/>
      <c r="E18" s="28"/>
      <c r="F18" s="29"/>
      <c r="G18" s="28"/>
      <c r="H18" s="29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9"/>
    </row>
    <row r="19" spans="1:19">
      <c r="A19" s="48">
        <v>15</v>
      </c>
      <c r="B19" s="48"/>
      <c r="C19" s="48"/>
      <c r="D19" s="48"/>
      <c r="E19" s="48"/>
      <c r="F19" s="49"/>
      <c r="G19" s="48"/>
      <c r="H19" s="49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9"/>
    </row>
    <row r="20" spans="1:19">
      <c r="A20" s="28">
        <v>16</v>
      </c>
      <c r="B20" s="28"/>
      <c r="C20" s="28"/>
      <c r="D20" s="28"/>
      <c r="E20" s="28"/>
      <c r="F20" s="29"/>
      <c r="G20" s="28"/>
      <c r="H20" s="29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9"/>
    </row>
    <row r="21" spans="1:19">
      <c r="A21" s="48">
        <v>17</v>
      </c>
      <c r="B21" s="48"/>
      <c r="C21" s="48"/>
      <c r="D21" s="48"/>
      <c r="E21" s="48"/>
      <c r="F21" s="49"/>
      <c r="G21" s="48"/>
      <c r="H21" s="49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9"/>
    </row>
    <row r="22" spans="1:19">
      <c r="A22" s="28">
        <v>18</v>
      </c>
      <c r="B22" s="28"/>
      <c r="C22" s="28"/>
      <c r="D22" s="28"/>
      <c r="E22" s="28"/>
      <c r="F22" s="29"/>
      <c r="G22" s="28"/>
      <c r="H22" s="29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9"/>
    </row>
    <row r="23" spans="1:19">
      <c r="A23" s="48">
        <v>19</v>
      </c>
      <c r="B23" s="48"/>
      <c r="C23" s="48"/>
      <c r="D23" s="48"/>
      <c r="E23" s="48"/>
      <c r="F23" s="49"/>
      <c r="G23" s="48"/>
      <c r="H23" s="49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9"/>
    </row>
    <row r="24" spans="1:19">
      <c r="A24" s="28">
        <v>20</v>
      </c>
      <c r="B24" s="28"/>
      <c r="C24" s="28"/>
      <c r="D24" s="28"/>
      <c r="E24" s="28"/>
      <c r="F24" s="29"/>
      <c r="G24" s="28"/>
      <c r="H24" s="29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</row>
    <row r="25" spans="1:19">
      <c r="A25" s="48">
        <v>21</v>
      </c>
      <c r="B25" s="48"/>
      <c r="C25" s="48"/>
      <c r="D25" s="48"/>
      <c r="E25" s="48"/>
      <c r="F25" s="49"/>
      <c r="G25" s="48"/>
      <c r="H25" s="49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9"/>
    </row>
    <row r="26" spans="1:19">
      <c r="A26" s="28">
        <v>22</v>
      </c>
      <c r="B26" s="28"/>
      <c r="C26" s="28"/>
      <c r="D26" s="28"/>
      <c r="E26" s="28"/>
      <c r="F26" s="29"/>
      <c r="G26" s="28"/>
      <c r="H26" s="29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9"/>
    </row>
    <row r="27" spans="1:19">
      <c r="A27" s="48">
        <v>23</v>
      </c>
      <c r="B27" s="48"/>
      <c r="C27" s="48"/>
      <c r="D27" s="48"/>
      <c r="E27" s="48"/>
      <c r="F27" s="49"/>
      <c r="G27" s="48"/>
      <c r="H27" s="49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9"/>
    </row>
    <row r="28" spans="1:19">
      <c r="A28" s="28">
        <v>24</v>
      </c>
      <c r="B28" s="28"/>
      <c r="C28" s="28"/>
      <c r="D28" s="28"/>
      <c r="E28" s="28"/>
      <c r="F28" s="29"/>
      <c r="G28" s="28"/>
      <c r="H28" s="29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9"/>
    </row>
    <row r="29" spans="1:19">
      <c r="A29" s="48">
        <v>25</v>
      </c>
      <c r="B29" s="48"/>
      <c r="C29" s="48"/>
      <c r="D29" s="48"/>
      <c r="E29" s="48"/>
      <c r="F29" s="49"/>
      <c r="G29" s="48"/>
      <c r="H29" s="49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9"/>
    </row>
    <row r="30" spans="1:19">
      <c r="A30" s="28">
        <v>26</v>
      </c>
      <c r="B30" s="28"/>
      <c r="C30" s="28"/>
      <c r="D30" s="28"/>
      <c r="E30" s="28"/>
      <c r="F30" s="29"/>
      <c r="G30" s="28"/>
      <c r="H30" s="29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9"/>
    </row>
    <row r="31" spans="1:19">
      <c r="A31" s="48">
        <v>27</v>
      </c>
      <c r="B31" s="48"/>
      <c r="C31" s="48"/>
      <c r="D31" s="48"/>
      <c r="E31" s="48"/>
      <c r="F31" s="49"/>
      <c r="G31" s="48"/>
      <c r="H31" s="49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9"/>
    </row>
    <row r="32" spans="1:19">
      <c r="A32" s="28">
        <v>28</v>
      </c>
      <c r="B32" s="28"/>
      <c r="C32" s="28"/>
      <c r="D32" s="28"/>
      <c r="E32" s="28"/>
      <c r="F32" s="29"/>
      <c r="G32" s="28"/>
      <c r="H32" s="29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9"/>
    </row>
    <row r="33" spans="1:19">
      <c r="A33" s="48">
        <v>29</v>
      </c>
      <c r="B33" s="48"/>
      <c r="C33" s="48"/>
      <c r="D33" s="48"/>
      <c r="E33" s="48"/>
      <c r="F33" s="49"/>
      <c r="G33" s="48"/>
      <c r="H33" s="49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9"/>
    </row>
    <row r="34" spans="1:19">
      <c r="A34" s="28">
        <v>30</v>
      </c>
      <c r="B34" s="28"/>
      <c r="C34" s="28"/>
      <c r="D34" s="28"/>
      <c r="E34" s="28"/>
      <c r="F34" s="29"/>
      <c r="G34" s="28"/>
      <c r="H34" s="29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9"/>
    </row>
    <row r="35" spans="1:19">
      <c r="A35" s="48">
        <v>31</v>
      </c>
      <c r="B35" s="48"/>
      <c r="C35" s="48"/>
      <c r="D35" s="48"/>
      <c r="E35" s="48"/>
      <c r="F35" s="49"/>
      <c r="G35" s="48"/>
      <c r="H35" s="49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9"/>
    </row>
    <row r="36" spans="1:19">
      <c r="A36" s="28">
        <v>32</v>
      </c>
      <c r="B36" s="28"/>
      <c r="C36" s="28"/>
      <c r="D36" s="28"/>
      <c r="E36" s="28"/>
      <c r="F36" s="29"/>
      <c r="G36" s="28"/>
      <c r="H36" s="29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9"/>
    </row>
    <row r="37" spans="1:19">
      <c r="A37" s="48">
        <v>33</v>
      </c>
      <c r="B37" s="48"/>
      <c r="C37" s="48"/>
      <c r="D37" s="48"/>
      <c r="E37" s="48"/>
      <c r="F37" s="49"/>
      <c r="G37" s="48"/>
      <c r="H37" s="49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9"/>
    </row>
    <row r="38" spans="1:19">
      <c r="A38" s="28">
        <v>34</v>
      </c>
      <c r="B38" s="28"/>
      <c r="C38" s="28"/>
      <c r="D38" s="28"/>
      <c r="E38" s="28"/>
      <c r="F38" s="29"/>
      <c r="G38" s="28"/>
      <c r="H38" s="29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9"/>
    </row>
    <row r="39" spans="1:19">
      <c r="A39" s="48">
        <v>35</v>
      </c>
      <c r="B39" s="48"/>
      <c r="C39" s="48"/>
      <c r="D39" s="48"/>
      <c r="E39" s="48"/>
      <c r="F39" s="49"/>
      <c r="G39" s="48"/>
      <c r="H39" s="49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9"/>
    </row>
    <row r="40" spans="1:19">
      <c r="A40" s="28">
        <v>36</v>
      </c>
      <c r="B40" s="28"/>
      <c r="C40" s="28"/>
      <c r="D40" s="28"/>
      <c r="E40" s="28"/>
      <c r="F40" s="29"/>
      <c r="G40" s="28"/>
      <c r="H40" s="29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9"/>
    </row>
    <row r="41" spans="1:19">
      <c r="A41" s="48">
        <v>37</v>
      </c>
      <c r="B41" s="48"/>
      <c r="C41" s="48"/>
      <c r="D41" s="48"/>
      <c r="E41" s="48"/>
      <c r="F41" s="49"/>
      <c r="G41" s="48"/>
      <c r="H41" s="49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9"/>
    </row>
    <row r="42" spans="1:19">
      <c r="A42" s="28">
        <v>38</v>
      </c>
      <c r="B42" s="28"/>
      <c r="C42" s="28"/>
      <c r="D42" s="28"/>
      <c r="E42" s="28"/>
      <c r="F42" s="29"/>
      <c r="G42" s="28"/>
      <c r="H42" s="29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9"/>
    </row>
    <row r="43" spans="1:19">
      <c r="A43" s="48">
        <v>39</v>
      </c>
      <c r="B43" s="48"/>
      <c r="C43" s="48"/>
      <c r="D43" s="48"/>
      <c r="E43" s="48"/>
      <c r="F43" s="49"/>
      <c r="G43" s="48"/>
      <c r="H43" s="49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9"/>
    </row>
    <row r="44" spans="1:19">
      <c r="A44" s="28">
        <v>40</v>
      </c>
      <c r="B44" s="28"/>
      <c r="C44" s="28"/>
      <c r="D44" s="28"/>
      <c r="E44" s="28"/>
      <c r="F44" s="29"/>
      <c r="G44" s="28"/>
      <c r="H44" s="29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9"/>
    </row>
    <row r="45" spans="1:19">
      <c r="A45" s="48">
        <v>41</v>
      </c>
      <c r="B45" s="48"/>
      <c r="C45" s="48"/>
      <c r="D45" s="48"/>
      <c r="E45" s="48"/>
      <c r="F45" s="49"/>
      <c r="G45" s="48"/>
      <c r="H45" s="49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9"/>
    </row>
    <row r="46" spans="1:19">
      <c r="A46" s="28">
        <v>42</v>
      </c>
      <c r="B46" s="28"/>
      <c r="C46" s="28"/>
      <c r="D46" s="28"/>
      <c r="E46" s="28"/>
      <c r="F46" s="29"/>
      <c r="G46" s="28"/>
      <c r="H46" s="29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9"/>
    </row>
    <row r="47" spans="1:19">
      <c r="A47" s="48">
        <v>43</v>
      </c>
      <c r="B47" s="48"/>
      <c r="C47" s="48"/>
      <c r="D47" s="48"/>
      <c r="E47" s="48"/>
      <c r="F47" s="49"/>
      <c r="G47" s="48"/>
      <c r="H47" s="49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9"/>
    </row>
    <row r="48" spans="1:19">
      <c r="A48" s="28">
        <v>44</v>
      </c>
      <c r="B48" s="28"/>
      <c r="C48" s="28"/>
      <c r="D48" s="28"/>
      <c r="E48" s="28"/>
      <c r="F48" s="29"/>
      <c r="G48" s="28"/>
      <c r="H48" s="29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9"/>
    </row>
    <row r="49" spans="1:19">
      <c r="A49" s="48">
        <v>45</v>
      </c>
      <c r="B49" s="48"/>
      <c r="C49" s="48"/>
      <c r="D49" s="48"/>
      <c r="E49" s="48"/>
      <c r="F49" s="49"/>
      <c r="G49" s="48"/>
      <c r="H49" s="49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9"/>
    </row>
    <row r="50" spans="1:19">
      <c r="A50" s="28">
        <v>46</v>
      </c>
      <c r="B50" s="28"/>
      <c r="C50" s="28"/>
      <c r="D50" s="28"/>
      <c r="E50" s="28"/>
      <c r="F50" s="29"/>
      <c r="G50" s="28"/>
      <c r="H50" s="29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9"/>
    </row>
    <row r="51" spans="1:19">
      <c r="A51" s="48">
        <v>47</v>
      </c>
      <c r="B51" s="48"/>
      <c r="C51" s="48"/>
      <c r="D51" s="48"/>
      <c r="E51" s="48"/>
      <c r="F51" s="49"/>
      <c r="G51" s="48"/>
      <c r="H51" s="49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9"/>
    </row>
    <row r="52" spans="1:19">
      <c r="A52" s="28">
        <v>48</v>
      </c>
      <c r="B52" s="28"/>
      <c r="C52" s="28"/>
      <c r="D52" s="28"/>
      <c r="E52" s="28"/>
      <c r="F52" s="29"/>
      <c r="G52" s="28"/>
      <c r="H52" s="29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9"/>
    </row>
    <row r="53" spans="1:19">
      <c r="A53" s="48">
        <v>49</v>
      </c>
      <c r="B53" s="48"/>
      <c r="C53" s="48"/>
      <c r="D53" s="48"/>
      <c r="E53" s="48"/>
      <c r="F53" s="49"/>
      <c r="G53" s="48"/>
      <c r="H53" s="49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9"/>
    </row>
    <row r="54" spans="1:19">
      <c r="A54" s="28">
        <v>50</v>
      </c>
      <c r="B54" s="28"/>
      <c r="C54" s="28"/>
      <c r="D54" s="28"/>
      <c r="E54" s="28"/>
      <c r="F54" s="29"/>
      <c r="G54" s="28"/>
      <c r="H54" s="29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9"/>
    </row>
    <row r="55" spans="1:19" s="39" customFormat="1" ht="21.75" customHeight="1">
      <c r="A55" s="102" t="s">
        <v>460</v>
      </c>
      <c r="B55" s="112"/>
      <c r="C55" s="112"/>
      <c r="D55" s="7">
        <f>COUNTA(C5:C54)</f>
        <v>0</v>
      </c>
      <c r="I55" s="7" t="s">
        <v>461</v>
      </c>
      <c r="J55" s="39">
        <f t="array" ref="J55">COUNTIF(S5:S54,"Active")-SUMPRODUCT((S5:S54="Active")*(I5:I54="Yes")*(J5:J54="Yes")*(K5:K54="Yes")*(L5:L54="Yes")*(M5:M54="Yes")*(N5:N54="Yes")*(O5:O54="Yes")*(P5:P54="Yes")*(Q5:Q54="Yes")*(R5:R54="Yes"))</f>
        <v>0</v>
      </c>
      <c r="P55" s="34"/>
      <c r="Q55" s="99" t="s">
        <v>462</v>
      </c>
      <c r="R55" s="99"/>
      <c r="S55" s="39">
        <f>COUNTIF(S5:S54,"Terminated")+COUNTIF(S5:S54,"Resigned")+COUNTIF(S5:S54,"NCNS")</f>
        <v>0</v>
      </c>
    </row>
    <row r="56" spans="1:19" ht="7.5" customHeight="1"/>
    <row r="57" spans="1:19" ht="24" customHeight="1">
      <c r="A57" s="105" t="s">
        <v>463</v>
      </c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1"/>
      <c r="O57" s="101"/>
      <c r="P57" s="101"/>
    </row>
    <row r="58" spans="1:19" ht="24" customHeight="1">
      <c r="A58" s="27" t="s">
        <v>407</v>
      </c>
      <c r="B58" s="27" t="s">
        <v>408</v>
      </c>
      <c r="C58" s="27" t="s">
        <v>409</v>
      </c>
      <c r="D58" s="27" t="s">
        <v>464</v>
      </c>
      <c r="E58" s="27" t="s">
        <v>465</v>
      </c>
      <c r="F58" s="27" t="s">
        <v>466</v>
      </c>
      <c r="G58" s="27" t="s">
        <v>467</v>
      </c>
      <c r="H58" s="80" t="s">
        <v>468</v>
      </c>
      <c r="I58" s="27" t="s">
        <v>469</v>
      </c>
      <c r="J58" s="27" t="s">
        <v>470</v>
      </c>
      <c r="K58" s="27" t="s">
        <v>73</v>
      </c>
      <c r="L58" s="27" t="s">
        <v>74</v>
      </c>
      <c r="M58" s="27" t="s">
        <v>471</v>
      </c>
      <c r="N58" s="27" t="s">
        <v>76</v>
      </c>
      <c r="O58" s="27" t="s">
        <v>472</v>
      </c>
      <c r="P58" s="27" t="s">
        <v>415</v>
      </c>
    </row>
    <row r="59" spans="1:19">
      <c r="A59" s="48">
        <v>1</v>
      </c>
      <c r="B59" s="48"/>
      <c r="C59" s="48"/>
      <c r="D59" s="48"/>
      <c r="E59" s="48"/>
      <c r="F59" s="48"/>
      <c r="G59" s="49"/>
      <c r="H59" s="76"/>
      <c r="I59" s="48"/>
      <c r="J59" s="48"/>
      <c r="K59" s="48"/>
      <c r="L59" s="48"/>
      <c r="M59" s="48"/>
      <c r="N59" s="48"/>
      <c r="O59" s="48"/>
      <c r="P59" s="48"/>
    </row>
    <row r="60" spans="1:19">
      <c r="A60" s="28">
        <v>2</v>
      </c>
      <c r="B60" s="28"/>
      <c r="C60" s="28"/>
      <c r="D60" s="28"/>
      <c r="E60" s="28"/>
      <c r="F60" s="28"/>
      <c r="G60" s="29"/>
      <c r="H60" s="75"/>
      <c r="I60" s="28"/>
      <c r="J60" s="28"/>
      <c r="K60" s="28"/>
      <c r="L60" s="28"/>
      <c r="M60" s="28"/>
      <c r="N60" s="28"/>
      <c r="O60" s="28"/>
      <c r="P60" s="28"/>
    </row>
    <row r="61" spans="1:19">
      <c r="A61" s="48">
        <v>3</v>
      </c>
      <c r="B61" s="48"/>
      <c r="C61" s="48"/>
      <c r="D61" s="48"/>
      <c r="E61" s="48"/>
      <c r="F61" s="48"/>
      <c r="G61" s="49"/>
      <c r="H61" s="76"/>
      <c r="I61" s="48"/>
      <c r="J61" s="48"/>
      <c r="K61" s="48"/>
      <c r="L61" s="48"/>
      <c r="M61" s="48"/>
      <c r="N61" s="48"/>
      <c r="O61" s="48"/>
      <c r="P61" s="48"/>
    </row>
    <row r="62" spans="1:19">
      <c r="A62" s="28">
        <v>4</v>
      </c>
      <c r="B62" s="28"/>
      <c r="C62" s="28"/>
      <c r="D62" s="28"/>
      <c r="E62" s="28"/>
      <c r="F62" s="28"/>
      <c r="G62" s="29"/>
      <c r="H62" s="75"/>
      <c r="I62" s="28"/>
      <c r="J62" s="28"/>
      <c r="K62" s="28"/>
      <c r="L62" s="28"/>
      <c r="M62" s="28"/>
      <c r="N62" s="28"/>
      <c r="O62" s="28"/>
      <c r="P62" s="28"/>
    </row>
    <row r="63" spans="1:19">
      <c r="A63" s="48">
        <v>5</v>
      </c>
      <c r="B63" s="48"/>
      <c r="C63" s="48"/>
      <c r="D63" s="48"/>
      <c r="E63" s="48"/>
      <c r="F63" s="48"/>
      <c r="G63" s="49"/>
      <c r="H63" s="76"/>
      <c r="I63" s="48"/>
      <c r="J63" s="48"/>
      <c r="K63" s="48"/>
      <c r="L63" s="48"/>
      <c r="M63" s="48"/>
      <c r="N63" s="48"/>
      <c r="O63" s="48"/>
      <c r="P63" s="48"/>
    </row>
    <row r="64" spans="1:19">
      <c r="A64" s="28">
        <v>6</v>
      </c>
      <c r="B64" s="28"/>
      <c r="C64" s="28"/>
      <c r="D64" s="28"/>
      <c r="E64" s="28"/>
      <c r="F64" s="28"/>
      <c r="G64" s="29"/>
      <c r="H64" s="75"/>
      <c r="I64" s="28"/>
      <c r="J64" s="28"/>
      <c r="K64" s="28"/>
      <c r="L64" s="28"/>
      <c r="M64" s="28"/>
      <c r="N64" s="28"/>
      <c r="O64" s="28"/>
      <c r="P64" s="28"/>
    </row>
    <row r="65" spans="1:16">
      <c r="A65" s="48">
        <v>7</v>
      </c>
      <c r="B65" s="48"/>
      <c r="C65" s="48"/>
      <c r="D65" s="48"/>
      <c r="E65" s="48"/>
      <c r="F65" s="48"/>
      <c r="G65" s="49"/>
      <c r="H65" s="76"/>
      <c r="I65" s="48"/>
      <c r="J65" s="48"/>
      <c r="K65" s="48"/>
      <c r="L65" s="48"/>
      <c r="M65" s="48"/>
      <c r="N65" s="48"/>
      <c r="O65" s="48"/>
      <c r="P65" s="48"/>
    </row>
    <row r="66" spans="1:16">
      <c r="A66" s="28">
        <v>8</v>
      </c>
      <c r="B66" s="28"/>
      <c r="C66" s="28"/>
      <c r="D66" s="28"/>
      <c r="E66" s="28"/>
      <c r="F66" s="28"/>
      <c r="G66" s="29"/>
      <c r="H66" s="75"/>
      <c r="I66" s="28"/>
      <c r="J66" s="28"/>
      <c r="K66" s="28"/>
      <c r="L66" s="28"/>
      <c r="M66" s="28"/>
      <c r="N66" s="28"/>
      <c r="O66" s="28"/>
      <c r="P66" s="28"/>
    </row>
    <row r="67" spans="1:16">
      <c r="A67" s="48">
        <v>9</v>
      </c>
      <c r="B67" s="48"/>
      <c r="C67" s="48"/>
      <c r="D67" s="48"/>
      <c r="E67" s="48"/>
      <c r="F67" s="48"/>
      <c r="G67" s="49"/>
      <c r="H67" s="76"/>
      <c r="I67" s="48"/>
      <c r="J67" s="48"/>
      <c r="K67" s="48"/>
      <c r="L67" s="48"/>
      <c r="M67" s="48"/>
      <c r="N67" s="48"/>
      <c r="O67" s="48"/>
      <c r="P67" s="48"/>
    </row>
    <row r="68" spans="1:16">
      <c r="A68" s="28">
        <v>10</v>
      </c>
      <c r="B68" s="28"/>
      <c r="C68" s="28"/>
      <c r="D68" s="28"/>
      <c r="E68" s="28"/>
      <c r="F68" s="28"/>
      <c r="G68" s="29"/>
      <c r="H68" s="75"/>
      <c r="I68" s="28"/>
      <c r="J68" s="28"/>
      <c r="K68" s="28"/>
      <c r="L68" s="28"/>
      <c r="M68" s="28"/>
      <c r="N68" s="28"/>
      <c r="O68" s="28"/>
      <c r="P68" s="28"/>
    </row>
    <row r="69" spans="1:16">
      <c r="A69" s="48">
        <v>11</v>
      </c>
      <c r="B69" s="48"/>
      <c r="C69" s="48"/>
      <c r="D69" s="48"/>
      <c r="E69" s="48"/>
      <c r="F69" s="48"/>
      <c r="G69" s="49"/>
      <c r="H69" s="76"/>
      <c r="I69" s="48"/>
      <c r="J69" s="48"/>
      <c r="K69" s="48"/>
      <c r="L69" s="48"/>
      <c r="M69" s="48"/>
      <c r="N69" s="48"/>
      <c r="O69" s="48"/>
      <c r="P69" s="48"/>
    </row>
    <row r="70" spans="1:16">
      <c r="A70" s="28">
        <v>12</v>
      </c>
      <c r="B70" s="28"/>
      <c r="C70" s="28"/>
      <c r="D70" s="28"/>
      <c r="E70" s="28"/>
      <c r="F70" s="28"/>
      <c r="G70" s="29"/>
      <c r="H70" s="75"/>
      <c r="I70" s="28"/>
      <c r="J70" s="28"/>
      <c r="K70" s="28"/>
      <c r="L70" s="28"/>
      <c r="M70" s="28"/>
      <c r="N70" s="28"/>
      <c r="O70" s="28"/>
      <c r="P70" s="28"/>
    </row>
    <row r="71" spans="1:16">
      <c r="A71" s="48">
        <v>13</v>
      </c>
      <c r="B71" s="48"/>
      <c r="C71" s="48"/>
      <c r="D71" s="48"/>
      <c r="E71" s="48"/>
      <c r="F71" s="48"/>
      <c r="G71" s="49"/>
      <c r="H71" s="76"/>
      <c r="I71" s="48"/>
      <c r="J71" s="48"/>
      <c r="K71" s="48"/>
      <c r="L71" s="48"/>
      <c r="M71" s="48"/>
      <c r="N71" s="48"/>
      <c r="O71" s="48"/>
      <c r="P71" s="48"/>
    </row>
    <row r="72" spans="1:16">
      <c r="A72" s="28">
        <v>14</v>
      </c>
      <c r="B72" s="28"/>
      <c r="C72" s="28"/>
      <c r="D72" s="28"/>
      <c r="E72" s="28"/>
      <c r="F72" s="28"/>
      <c r="G72" s="29"/>
      <c r="H72" s="75"/>
      <c r="I72" s="28"/>
      <c r="J72" s="28"/>
      <c r="K72" s="28"/>
      <c r="L72" s="28"/>
      <c r="M72" s="28"/>
      <c r="N72" s="28"/>
      <c r="O72" s="28"/>
      <c r="P72" s="28"/>
    </row>
    <row r="73" spans="1:16">
      <c r="A73" s="48">
        <v>15</v>
      </c>
      <c r="B73" s="48"/>
      <c r="C73" s="48"/>
      <c r="D73" s="48"/>
      <c r="E73" s="48"/>
      <c r="F73" s="48"/>
      <c r="G73" s="49"/>
      <c r="H73" s="76"/>
      <c r="I73" s="48"/>
      <c r="J73" s="48"/>
      <c r="K73" s="48"/>
      <c r="L73" s="48"/>
      <c r="M73" s="48"/>
      <c r="N73" s="48"/>
      <c r="O73" s="48"/>
      <c r="P73" s="48"/>
    </row>
    <row r="74" spans="1:16">
      <c r="A74" s="28">
        <v>16</v>
      </c>
      <c r="B74" s="28"/>
      <c r="C74" s="28"/>
      <c r="D74" s="28"/>
      <c r="E74" s="28"/>
      <c r="F74" s="28"/>
      <c r="G74" s="29"/>
      <c r="H74" s="75"/>
      <c r="I74" s="28"/>
      <c r="J74" s="28"/>
      <c r="K74" s="28"/>
      <c r="L74" s="28"/>
      <c r="M74" s="28"/>
      <c r="N74" s="28"/>
      <c r="O74" s="28"/>
      <c r="P74" s="28"/>
    </row>
    <row r="75" spans="1:16">
      <c r="A75" s="48">
        <v>17</v>
      </c>
      <c r="B75" s="48"/>
      <c r="C75" s="48"/>
      <c r="D75" s="48"/>
      <c r="E75" s="48"/>
      <c r="F75" s="48"/>
      <c r="G75" s="49"/>
      <c r="H75" s="76"/>
      <c r="I75" s="48"/>
      <c r="J75" s="48"/>
      <c r="K75" s="48"/>
      <c r="L75" s="48"/>
      <c r="M75" s="48"/>
      <c r="N75" s="48"/>
      <c r="O75" s="48"/>
      <c r="P75" s="48"/>
    </row>
    <row r="76" spans="1:16">
      <c r="A76" s="28">
        <v>18</v>
      </c>
      <c r="B76" s="28"/>
      <c r="C76" s="28"/>
      <c r="D76" s="28"/>
      <c r="E76" s="28"/>
      <c r="F76" s="28"/>
      <c r="G76" s="29"/>
      <c r="H76" s="75"/>
      <c r="I76" s="28"/>
      <c r="J76" s="28"/>
      <c r="K76" s="28"/>
      <c r="L76" s="28"/>
      <c r="M76" s="28"/>
      <c r="N76" s="28"/>
      <c r="O76" s="28"/>
      <c r="P76" s="28"/>
    </row>
    <row r="77" spans="1:16">
      <c r="A77" s="48">
        <v>19</v>
      </c>
      <c r="B77" s="48"/>
      <c r="C77" s="48"/>
      <c r="D77" s="48"/>
      <c r="E77" s="48"/>
      <c r="F77" s="48"/>
      <c r="G77" s="49"/>
      <c r="H77" s="76"/>
      <c r="I77" s="48"/>
      <c r="J77" s="48"/>
      <c r="K77" s="48"/>
      <c r="L77" s="48"/>
      <c r="M77" s="48"/>
      <c r="N77" s="48"/>
      <c r="O77" s="48"/>
      <c r="P77" s="48"/>
    </row>
    <row r="78" spans="1:16">
      <c r="A78" s="28">
        <v>20</v>
      </c>
      <c r="B78" s="28"/>
      <c r="C78" s="28"/>
      <c r="D78" s="28"/>
      <c r="E78" s="28"/>
      <c r="F78" s="28"/>
      <c r="G78" s="29"/>
      <c r="H78" s="75"/>
      <c r="I78" s="28"/>
      <c r="J78" s="28"/>
      <c r="K78" s="28"/>
      <c r="L78" s="28"/>
      <c r="M78" s="28"/>
      <c r="N78" s="28"/>
      <c r="O78" s="28"/>
      <c r="P78" s="28"/>
    </row>
    <row r="79" spans="1:16">
      <c r="A79" s="48">
        <v>21</v>
      </c>
      <c r="B79" s="48"/>
      <c r="C79" s="48"/>
      <c r="D79" s="48"/>
      <c r="E79" s="48"/>
      <c r="F79" s="48"/>
      <c r="G79" s="49"/>
      <c r="H79" s="76"/>
      <c r="I79" s="48"/>
      <c r="J79" s="48"/>
      <c r="K79" s="48"/>
      <c r="L79" s="48"/>
      <c r="M79" s="48"/>
      <c r="N79" s="48"/>
      <c r="O79" s="48"/>
      <c r="P79" s="48"/>
    </row>
    <row r="80" spans="1:16">
      <c r="A80" s="28">
        <v>22</v>
      </c>
      <c r="B80" s="28"/>
      <c r="C80" s="28"/>
      <c r="D80" s="28"/>
      <c r="E80" s="28"/>
      <c r="F80" s="28"/>
      <c r="G80" s="29"/>
      <c r="H80" s="75"/>
      <c r="I80" s="28"/>
      <c r="J80" s="28"/>
      <c r="K80" s="28"/>
      <c r="L80" s="28"/>
      <c r="M80" s="28"/>
      <c r="N80" s="28"/>
      <c r="O80" s="28"/>
      <c r="P80" s="28"/>
    </row>
    <row r="81" spans="1:16">
      <c r="A81" s="48">
        <v>23</v>
      </c>
      <c r="B81" s="48"/>
      <c r="C81" s="48"/>
      <c r="D81" s="48"/>
      <c r="E81" s="48"/>
      <c r="F81" s="48"/>
      <c r="G81" s="49"/>
      <c r="H81" s="76"/>
      <c r="I81" s="48"/>
      <c r="J81" s="48"/>
      <c r="K81" s="48"/>
      <c r="L81" s="48"/>
      <c r="M81" s="48"/>
      <c r="N81" s="48"/>
      <c r="O81" s="48"/>
      <c r="P81" s="48"/>
    </row>
    <row r="82" spans="1:16">
      <c r="A82" s="28">
        <v>24</v>
      </c>
      <c r="B82" s="28"/>
      <c r="C82" s="28"/>
      <c r="D82" s="28"/>
      <c r="E82" s="28"/>
      <c r="F82" s="28"/>
      <c r="G82" s="29"/>
      <c r="H82" s="75"/>
      <c r="I82" s="28"/>
      <c r="J82" s="28"/>
      <c r="K82" s="28"/>
      <c r="L82" s="28"/>
      <c r="M82" s="28"/>
      <c r="N82" s="28"/>
      <c r="O82" s="28"/>
      <c r="P82" s="28"/>
    </row>
    <row r="83" spans="1:16">
      <c r="A83" s="48">
        <v>25</v>
      </c>
      <c r="B83" s="48"/>
      <c r="C83" s="48"/>
      <c r="D83" s="48"/>
      <c r="E83" s="48"/>
      <c r="F83" s="48"/>
      <c r="G83" s="49"/>
      <c r="H83" s="76"/>
      <c r="I83" s="48"/>
      <c r="J83" s="48"/>
      <c r="K83" s="48"/>
      <c r="L83" s="48"/>
      <c r="M83" s="48"/>
      <c r="N83" s="48"/>
      <c r="O83" s="48"/>
      <c r="P83" s="48"/>
    </row>
    <row r="84" spans="1:16">
      <c r="A84" s="28">
        <v>26</v>
      </c>
      <c r="B84" s="28"/>
      <c r="C84" s="28"/>
      <c r="D84" s="28"/>
      <c r="E84" s="28"/>
      <c r="F84" s="28"/>
      <c r="G84" s="29"/>
      <c r="H84" s="75"/>
      <c r="I84" s="28"/>
      <c r="J84" s="28"/>
      <c r="K84" s="28"/>
      <c r="L84" s="28"/>
      <c r="M84" s="28"/>
      <c r="N84" s="28"/>
      <c r="O84" s="28"/>
      <c r="P84" s="28"/>
    </row>
    <row r="85" spans="1:16">
      <c r="A85" s="48">
        <v>27</v>
      </c>
      <c r="B85" s="48"/>
      <c r="C85" s="48"/>
      <c r="D85" s="48"/>
      <c r="E85" s="48"/>
      <c r="F85" s="48"/>
      <c r="G85" s="49"/>
      <c r="H85" s="76"/>
      <c r="I85" s="48"/>
      <c r="J85" s="48"/>
      <c r="K85" s="48"/>
      <c r="L85" s="48"/>
      <c r="M85" s="48"/>
      <c r="N85" s="48"/>
      <c r="O85" s="48"/>
      <c r="P85" s="48"/>
    </row>
    <row r="86" spans="1:16">
      <c r="A86" s="28">
        <v>28</v>
      </c>
      <c r="B86" s="28"/>
      <c r="C86" s="28"/>
      <c r="D86" s="28"/>
      <c r="E86" s="28"/>
      <c r="F86" s="28"/>
      <c r="G86" s="29"/>
      <c r="H86" s="75"/>
      <c r="I86" s="28"/>
      <c r="J86" s="28"/>
      <c r="K86" s="28"/>
      <c r="L86" s="28"/>
      <c r="M86" s="28"/>
      <c r="N86" s="28"/>
      <c r="O86" s="28"/>
      <c r="P86" s="28"/>
    </row>
    <row r="87" spans="1:16">
      <c r="A87" s="48">
        <v>29</v>
      </c>
      <c r="B87" s="48"/>
      <c r="C87" s="48"/>
      <c r="D87" s="48"/>
      <c r="E87" s="48"/>
      <c r="F87" s="48"/>
      <c r="G87" s="49"/>
      <c r="H87" s="76"/>
      <c r="I87" s="48"/>
      <c r="J87" s="48"/>
      <c r="K87" s="48"/>
      <c r="L87" s="48"/>
      <c r="M87" s="48"/>
      <c r="N87" s="48"/>
      <c r="O87" s="48"/>
      <c r="P87" s="48"/>
    </row>
    <row r="88" spans="1:16">
      <c r="A88" s="28">
        <v>30</v>
      </c>
      <c r="B88" s="28"/>
      <c r="C88" s="28"/>
      <c r="D88" s="28"/>
      <c r="E88" s="28"/>
      <c r="F88" s="28"/>
      <c r="G88" s="29"/>
      <c r="H88" s="75"/>
      <c r="I88" s="28"/>
      <c r="J88" s="28"/>
      <c r="K88" s="28"/>
      <c r="L88" s="28"/>
      <c r="M88" s="28"/>
      <c r="N88" s="28"/>
      <c r="O88" s="28"/>
      <c r="P88" s="28"/>
    </row>
    <row r="89" spans="1:16">
      <c r="A89" s="48">
        <v>31</v>
      </c>
      <c r="B89" s="48"/>
      <c r="C89" s="48"/>
      <c r="D89" s="48"/>
      <c r="E89" s="48"/>
      <c r="F89" s="48"/>
      <c r="G89" s="49"/>
      <c r="H89" s="76"/>
      <c r="I89" s="48"/>
      <c r="J89" s="48"/>
      <c r="K89" s="48"/>
      <c r="L89" s="48"/>
      <c r="M89" s="48"/>
      <c r="N89" s="48"/>
      <c r="O89" s="48"/>
      <c r="P89" s="48"/>
    </row>
    <row r="90" spans="1:16">
      <c r="A90" s="28">
        <v>32</v>
      </c>
      <c r="B90" s="28"/>
      <c r="C90" s="28"/>
      <c r="D90" s="28"/>
      <c r="E90" s="28"/>
      <c r="F90" s="28"/>
      <c r="G90" s="29"/>
      <c r="H90" s="75"/>
      <c r="I90" s="28"/>
      <c r="J90" s="28"/>
      <c r="K90" s="28"/>
      <c r="L90" s="28"/>
      <c r="M90" s="28"/>
      <c r="N90" s="28"/>
      <c r="O90" s="28"/>
      <c r="P90" s="28"/>
    </row>
    <row r="91" spans="1:16">
      <c r="A91" s="48">
        <v>33</v>
      </c>
      <c r="B91" s="48"/>
      <c r="C91" s="48"/>
      <c r="D91" s="48"/>
      <c r="E91" s="48"/>
      <c r="F91" s="48"/>
      <c r="G91" s="49"/>
      <c r="H91" s="76"/>
      <c r="I91" s="48"/>
      <c r="J91" s="48"/>
      <c r="K91" s="48"/>
      <c r="L91" s="48"/>
      <c r="M91" s="48"/>
      <c r="N91" s="48"/>
      <c r="O91" s="48"/>
      <c r="P91" s="48"/>
    </row>
    <row r="92" spans="1:16">
      <c r="A92" s="28">
        <v>34</v>
      </c>
      <c r="B92" s="28"/>
      <c r="C92" s="28"/>
      <c r="D92" s="28"/>
      <c r="E92" s="28"/>
      <c r="F92" s="28"/>
      <c r="G92" s="29"/>
      <c r="H92" s="75"/>
      <c r="I92" s="28"/>
      <c r="J92" s="28"/>
      <c r="K92" s="28"/>
      <c r="L92" s="28"/>
      <c r="M92" s="28"/>
      <c r="N92" s="28"/>
      <c r="O92" s="28"/>
      <c r="P92" s="28"/>
    </row>
    <row r="93" spans="1:16">
      <c r="A93" s="48">
        <v>35</v>
      </c>
      <c r="B93" s="48"/>
      <c r="C93" s="48"/>
      <c r="D93" s="48"/>
      <c r="E93" s="48"/>
      <c r="F93" s="48"/>
      <c r="G93" s="49"/>
      <c r="H93" s="76"/>
      <c r="I93" s="48"/>
      <c r="J93" s="48"/>
      <c r="K93" s="48"/>
      <c r="L93" s="48"/>
      <c r="M93" s="48"/>
      <c r="N93" s="48"/>
      <c r="O93" s="48"/>
      <c r="P93" s="48"/>
    </row>
    <row r="94" spans="1:16">
      <c r="A94" s="28">
        <v>36</v>
      </c>
      <c r="B94" s="28"/>
      <c r="C94" s="28"/>
      <c r="D94" s="28"/>
      <c r="E94" s="28"/>
      <c r="F94" s="28"/>
      <c r="G94" s="29"/>
      <c r="H94" s="75"/>
      <c r="I94" s="28"/>
      <c r="J94" s="28"/>
      <c r="K94" s="28"/>
      <c r="L94" s="28"/>
      <c r="M94" s="28"/>
      <c r="N94" s="28"/>
      <c r="O94" s="28"/>
      <c r="P94" s="28"/>
    </row>
    <row r="95" spans="1:16">
      <c r="A95" s="48">
        <v>37</v>
      </c>
      <c r="B95" s="48"/>
      <c r="C95" s="48"/>
      <c r="D95" s="48"/>
      <c r="E95" s="48"/>
      <c r="F95" s="48"/>
      <c r="G95" s="49"/>
      <c r="H95" s="76"/>
      <c r="I95" s="48"/>
      <c r="J95" s="48"/>
      <c r="K95" s="48"/>
      <c r="L95" s="48"/>
      <c r="M95" s="48"/>
      <c r="N95" s="48"/>
      <c r="O95" s="48"/>
      <c r="P95" s="48"/>
    </row>
    <row r="96" spans="1:16">
      <c r="A96" s="28">
        <v>38</v>
      </c>
      <c r="B96" s="28"/>
      <c r="C96" s="28"/>
      <c r="D96" s="28"/>
      <c r="E96" s="28"/>
      <c r="F96" s="28"/>
      <c r="G96" s="29"/>
      <c r="H96" s="75"/>
      <c r="I96" s="28"/>
      <c r="J96" s="28"/>
      <c r="K96" s="28"/>
      <c r="L96" s="28"/>
      <c r="M96" s="28"/>
      <c r="N96" s="28"/>
      <c r="O96" s="28"/>
      <c r="P96" s="28"/>
    </row>
    <row r="97" spans="1:16">
      <c r="A97" s="48">
        <v>39</v>
      </c>
      <c r="B97" s="48"/>
      <c r="C97" s="48"/>
      <c r="D97" s="48"/>
      <c r="E97" s="48"/>
      <c r="F97" s="48"/>
      <c r="G97" s="49"/>
      <c r="H97" s="76"/>
      <c r="I97" s="48"/>
      <c r="J97" s="48"/>
      <c r="K97" s="48"/>
      <c r="L97" s="48"/>
      <c r="M97" s="48"/>
      <c r="N97" s="48"/>
      <c r="O97" s="48"/>
      <c r="P97" s="48"/>
    </row>
    <row r="98" spans="1:16">
      <c r="A98" s="28">
        <v>40</v>
      </c>
      <c r="B98" s="28"/>
      <c r="C98" s="28"/>
      <c r="D98" s="28"/>
      <c r="E98" s="28"/>
      <c r="F98" s="28"/>
      <c r="G98" s="29"/>
      <c r="H98" s="75"/>
      <c r="I98" s="28"/>
      <c r="J98" s="28"/>
      <c r="K98" s="28"/>
      <c r="L98" s="28"/>
      <c r="M98" s="28"/>
      <c r="N98" s="28"/>
      <c r="O98" s="28"/>
      <c r="P98" s="28"/>
    </row>
    <row r="99" spans="1:16">
      <c r="A99" s="48">
        <v>41</v>
      </c>
      <c r="B99" s="48"/>
      <c r="C99" s="48"/>
      <c r="D99" s="48"/>
      <c r="E99" s="48"/>
      <c r="F99" s="48"/>
      <c r="G99" s="49"/>
      <c r="H99" s="76"/>
      <c r="I99" s="48"/>
      <c r="J99" s="48"/>
      <c r="K99" s="48"/>
      <c r="L99" s="48"/>
      <c r="M99" s="48"/>
      <c r="N99" s="48"/>
      <c r="O99" s="48"/>
      <c r="P99" s="48"/>
    </row>
    <row r="100" spans="1:16">
      <c r="A100" s="28">
        <v>42</v>
      </c>
      <c r="B100" s="28"/>
      <c r="C100" s="28"/>
      <c r="D100" s="28"/>
      <c r="E100" s="28"/>
      <c r="F100" s="28"/>
      <c r="G100" s="29"/>
      <c r="H100" s="75"/>
      <c r="I100" s="28"/>
      <c r="J100" s="28"/>
      <c r="K100" s="28"/>
      <c r="L100" s="28"/>
      <c r="M100" s="28"/>
      <c r="N100" s="28"/>
      <c r="O100" s="28"/>
      <c r="P100" s="28"/>
    </row>
    <row r="101" spans="1:16">
      <c r="A101" s="48">
        <v>43</v>
      </c>
      <c r="B101" s="48"/>
      <c r="C101" s="48"/>
      <c r="D101" s="48"/>
      <c r="E101" s="48"/>
      <c r="F101" s="48"/>
      <c r="G101" s="49"/>
      <c r="H101" s="76"/>
      <c r="I101" s="48"/>
      <c r="J101" s="48"/>
      <c r="K101" s="48"/>
      <c r="L101" s="48"/>
      <c r="M101" s="48"/>
      <c r="N101" s="48"/>
      <c r="O101" s="48"/>
      <c r="P101" s="48"/>
    </row>
    <row r="102" spans="1:16">
      <c r="A102" s="28">
        <v>44</v>
      </c>
      <c r="B102" s="28"/>
      <c r="C102" s="28"/>
      <c r="D102" s="28"/>
      <c r="E102" s="28"/>
      <c r="F102" s="28"/>
      <c r="G102" s="29"/>
      <c r="H102" s="75"/>
      <c r="I102" s="28"/>
      <c r="J102" s="28"/>
      <c r="K102" s="28"/>
      <c r="L102" s="28"/>
      <c r="M102" s="28"/>
      <c r="N102" s="28"/>
      <c r="O102" s="28"/>
      <c r="P102" s="28"/>
    </row>
    <row r="103" spans="1:16">
      <c r="A103" s="48">
        <v>45</v>
      </c>
      <c r="B103" s="48"/>
      <c r="C103" s="48"/>
      <c r="D103" s="48"/>
      <c r="E103" s="48"/>
      <c r="F103" s="48"/>
      <c r="G103" s="49"/>
      <c r="H103" s="76"/>
      <c r="I103" s="48"/>
      <c r="J103" s="48"/>
      <c r="K103" s="48"/>
      <c r="L103" s="48"/>
      <c r="M103" s="48"/>
      <c r="N103" s="48"/>
      <c r="O103" s="48"/>
      <c r="P103" s="48"/>
    </row>
    <row r="104" spans="1:16">
      <c r="A104" s="28">
        <v>46</v>
      </c>
      <c r="B104" s="28"/>
      <c r="C104" s="28"/>
      <c r="D104" s="28"/>
      <c r="E104" s="28"/>
      <c r="F104" s="28"/>
      <c r="G104" s="29"/>
      <c r="H104" s="75"/>
      <c r="I104" s="28"/>
      <c r="J104" s="28"/>
      <c r="K104" s="28"/>
      <c r="L104" s="28"/>
      <c r="M104" s="28"/>
      <c r="N104" s="28"/>
      <c r="O104" s="28"/>
      <c r="P104" s="28"/>
    </row>
    <row r="105" spans="1:16">
      <c r="A105" s="48">
        <v>47</v>
      </c>
      <c r="B105" s="48"/>
      <c r="C105" s="48"/>
      <c r="D105" s="48"/>
      <c r="E105" s="48"/>
      <c r="F105" s="48"/>
      <c r="G105" s="49"/>
      <c r="H105" s="76"/>
      <c r="I105" s="48"/>
      <c r="J105" s="48"/>
      <c r="K105" s="48"/>
      <c r="L105" s="48"/>
      <c r="M105" s="48"/>
      <c r="N105" s="48"/>
      <c r="O105" s="48"/>
      <c r="P105" s="48"/>
    </row>
    <row r="106" spans="1:16">
      <c r="A106" s="28">
        <v>48</v>
      </c>
      <c r="B106" s="28"/>
      <c r="C106" s="28"/>
      <c r="D106" s="28"/>
      <c r="E106" s="28"/>
      <c r="F106" s="28"/>
      <c r="G106" s="29"/>
      <c r="H106" s="75"/>
      <c r="I106" s="28"/>
      <c r="J106" s="28"/>
      <c r="K106" s="28"/>
      <c r="L106" s="28"/>
      <c r="M106" s="28"/>
      <c r="N106" s="28"/>
      <c r="O106" s="28"/>
      <c r="P106" s="28"/>
    </row>
    <row r="107" spans="1:16">
      <c r="A107" s="48">
        <v>49</v>
      </c>
      <c r="B107" s="48"/>
      <c r="C107" s="48"/>
      <c r="D107" s="48"/>
      <c r="E107" s="48"/>
      <c r="F107" s="48"/>
      <c r="G107" s="49"/>
      <c r="H107" s="76"/>
      <c r="I107" s="48"/>
      <c r="J107" s="48"/>
      <c r="K107" s="48"/>
      <c r="L107" s="48"/>
      <c r="M107" s="48"/>
      <c r="N107" s="48"/>
      <c r="O107" s="48"/>
      <c r="P107" s="48"/>
    </row>
    <row r="108" spans="1:16">
      <c r="A108" s="28">
        <v>50</v>
      </c>
      <c r="B108" s="28"/>
      <c r="C108" s="28"/>
      <c r="D108" s="28"/>
      <c r="E108" s="28"/>
      <c r="F108" s="28"/>
      <c r="G108" s="29"/>
      <c r="H108" s="75"/>
      <c r="I108" s="28"/>
      <c r="J108" s="28"/>
      <c r="K108" s="28"/>
      <c r="L108" s="28"/>
      <c r="M108" s="28"/>
      <c r="N108" s="28"/>
      <c r="O108" s="28"/>
      <c r="P108" s="28"/>
    </row>
    <row r="109" spans="1:16" s="39" customFormat="1" ht="12.75" customHeight="1">
      <c r="A109" s="102" t="s">
        <v>498</v>
      </c>
      <c r="B109" s="112"/>
      <c r="C109" s="112"/>
      <c r="D109" s="7">
        <f>COUNTA(C59:C108)</f>
        <v>0</v>
      </c>
    </row>
  </sheetData>
  <mergeCells count="7">
    <mergeCell ref="Q55:R55"/>
    <mergeCell ref="A1:S1"/>
    <mergeCell ref="A109:C109"/>
    <mergeCell ref="A3:S3"/>
    <mergeCell ref="A55:C55"/>
    <mergeCell ref="L2:N2"/>
    <mergeCell ref="A57:P57"/>
  </mergeCells>
  <conditionalFormatting sqref="A5:S54">
    <cfRule type="expression" dxfId="7" priority="2">
      <formula>$S5="Terminated"</formula>
    </cfRule>
    <cfRule type="expression" dxfId="6" priority="3">
      <formula>$S5="Resigned"</formula>
    </cfRule>
    <cfRule type="expression" dxfId="5" priority="4">
      <formula>$S5="NCNS"</formula>
    </cfRule>
    <cfRule type="expression" dxfId="4" priority="5">
      <formula>$S5="Suspended"</formula>
    </cfRule>
  </conditionalFormatting>
  <conditionalFormatting sqref="A59:O108">
    <cfRule type="expression" dxfId="3" priority="6">
      <formula>$O59="QUIT"</formula>
    </cfRule>
    <cfRule type="expression" dxfId="2" priority="7">
      <formula>$O59="Terminated"</formula>
    </cfRule>
    <cfRule type="expression" dxfId="1" priority="8">
      <formula>$O59="Resigned"</formula>
    </cfRule>
    <cfRule type="expression" dxfId="0" priority="9">
      <formula>$O59="NCNS"</formula>
    </cfRule>
  </conditionalFormatting>
  <dataValidations count="5">
    <dataValidation type="list" sqref="E5:E54" xr:uid="{00000000-0002-0000-0D00-000000000000}">
      <formula1>"Yes,No,Pending"</formula1>
    </dataValidation>
    <dataValidation type="list" sqref="B5:B54 B59:B108" xr:uid="{00000000-0002-0000-0D00-000001000000}">
      <formula1>"Residential,Administration,Finance,Facilities,HR,ELC,LLL,Prof. Services,Behavioral,IT,Other"</formula1>
    </dataValidation>
    <dataValidation type="list" sqref="S5:S54" xr:uid="{00000000-0002-0000-0D00-000002000000}">
      <formula1>"Active,Terminated,Resigned,NCNS,Suspended"</formula1>
    </dataValidation>
    <dataValidation type="list" sqref="I5:R54 I59:O108" xr:uid="{00000000-0002-0000-0D00-000003000000}">
      <formula1>"Yes,No,N/A,In Progress"</formula1>
    </dataValidation>
    <dataValidation type="list" sqref="P59:P108" xr:uid="{00000000-0002-0000-0D00-000004000000}">
      <formula1>"Active,QUIT,Terminated,Resigned,NCNS,Transferred"</formula1>
    </dataValidation>
  </dataValidations>
  <hyperlinks>
    <hyperlink ref="A2" location="Dashboard!A1" display="← Dashboard" xr:uid="{00000000-0004-0000-0D00-000000000000}"/>
  </hyperlinks>
  <pageMargins left="0.75" right="0.75" top="1" bottom="1" header="0.511811023622047" footer="0.511811023622047"/>
  <pageSetup paperSize="9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H31"/>
  <sheetViews>
    <sheetView showGridLines="0" zoomScale="80" zoomScaleNormal="80" workbookViewId="0">
      <pane ySplit="3" topLeftCell="A16" activePane="bottomLeft" state="frozen"/>
      <selection pane="bottomLeft" activeCell="F16" sqref="F16"/>
      <selection activeCell="F16" sqref="F16"/>
    </sheetView>
  </sheetViews>
  <sheetFormatPr defaultColWidth="9" defaultRowHeight="13.5"/>
  <cols>
    <col min="1" max="1" width="12.5703125" style="42" customWidth="1"/>
    <col min="2" max="2" width="15.5703125" style="42" customWidth="1"/>
    <col min="3" max="4" width="14.5703125" style="42" customWidth="1"/>
    <col min="5" max="5" width="12.5703125" style="42" customWidth="1"/>
    <col min="6" max="6" width="24.5703125" style="42" customWidth="1"/>
    <col min="7" max="7" width="42.5703125" style="42" customWidth="1"/>
    <col min="8" max="8" width="16.5703125" style="42" customWidth="1"/>
    <col min="9" max="9" width="9" style="42" customWidth="1"/>
    <col min="10" max="16384" width="9" style="42"/>
  </cols>
  <sheetData>
    <row r="1" spans="1:8" ht="33.75" customHeight="1">
      <c r="A1" s="110" t="s">
        <v>670</v>
      </c>
      <c r="B1" s="114"/>
      <c r="C1" s="114"/>
      <c r="D1" s="114"/>
      <c r="E1" s="114"/>
      <c r="F1" s="114"/>
      <c r="G1" s="114"/>
      <c r="H1" s="114"/>
    </row>
    <row r="2" spans="1:8" ht="18" customHeight="1">
      <c r="A2" s="41" t="s">
        <v>79</v>
      </c>
    </row>
    <row r="3" spans="1:8" ht="27.75" customHeight="1" thickBot="1">
      <c r="A3" s="43" t="s">
        <v>14</v>
      </c>
      <c r="B3" s="43" t="s">
        <v>408</v>
      </c>
      <c r="C3" s="43" t="s">
        <v>409</v>
      </c>
      <c r="D3" s="43" t="s">
        <v>410</v>
      </c>
      <c r="E3" s="43" t="s">
        <v>412</v>
      </c>
      <c r="F3" s="43" t="s">
        <v>413</v>
      </c>
      <c r="G3" s="43" t="s">
        <v>671</v>
      </c>
      <c r="H3" s="43" t="s">
        <v>672</v>
      </c>
    </row>
    <row r="4" spans="1:8">
      <c r="A4" s="54" t="s">
        <v>23</v>
      </c>
      <c r="B4" s="54" t="s">
        <v>50</v>
      </c>
      <c r="C4" s="54" t="s">
        <v>429</v>
      </c>
      <c r="D4" s="54" t="s">
        <v>430</v>
      </c>
      <c r="E4" s="55">
        <v>46034</v>
      </c>
      <c r="F4" s="54" t="s">
        <v>431</v>
      </c>
      <c r="G4" s="54" t="s">
        <v>673</v>
      </c>
      <c r="H4" s="54">
        <v>72</v>
      </c>
    </row>
    <row r="5" spans="1:8">
      <c r="A5" s="81" t="s">
        <v>23</v>
      </c>
      <c r="B5" s="81" t="s">
        <v>58</v>
      </c>
      <c r="C5" s="81" t="s">
        <v>433</v>
      </c>
      <c r="D5" s="81" t="s">
        <v>434</v>
      </c>
      <c r="E5" s="82">
        <v>46029</v>
      </c>
      <c r="F5" s="81" t="s">
        <v>435</v>
      </c>
      <c r="G5" s="81" t="s">
        <v>69</v>
      </c>
      <c r="H5" s="81">
        <v>77</v>
      </c>
    </row>
    <row r="6" spans="1:8">
      <c r="A6" s="54" t="s">
        <v>23</v>
      </c>
      <c r="B6" s="54" t="s">
        <v>50</v>
      </c>
      <c r="C6" s="54" t="s">
        <v>444</v>
      </c>
      <c r="D6" s="54" t="s">
        <v>445</v>
      </c>
      <c r="E6" s="55">
        <v>46041</v>
      </c>
      <c r="F6" s="54" t="s">
        <v>446</v>
      </c>
      <c r="G6" s="54" t="s">
        <v>74</v>
      </c>
      <c r="H6" s="54">
        <v>65</v>
      </c>
    </row>
    <row r="7" spans="1:8">
      <c r="A7" s="81" t="s">
        <v>23</v>
      </c>
      <c r="B7" s="81" t="s">
        <v>50</v>
      </c>
      <c r="C7" s="81" t="s">
        <v>447</v>
      </c>
      <c r="D7" s="81" t="s">
        <v>448</v>
      </c>
      <c r="E7" s="82">
        <v>46041</v>
      </c>
      <c r="F7" s="81" t="s">
        <v>449</v>
      </c>
      <c r="G7" s="81" t="s">
        <v>674</v>
      </c>
      <c r="H7" s="81">
        <v>65</v>
      </c>
    </row>
    <row r="8" spans="1:8">
      <c r="A8" s="54" t="s">
        <v>23</v>
      </c>
      <c r="B8" s="54" t="s">
        <v>50</v>
      </c>
      <c r="C8" s="54" t="s">
        <v>450</v>
      </c>
      <c r="D8" s="54" t="s">
        <v>451</v>
      </c>
      <c r="E8" s="55">
        <v>46048</v>
      </c>
      <c r="F8" s="54" t="s">
        <v>452</v>
      </c>
      <c r="G8" s="54" t="s">
        <v>675</v>
      </c>
      <c r="H8" s="54">
        <v>58</v>
      </c>
    </row>
    <row r="9" spans="1:8">
      <c r="A9" s="81" t="s">
        <v>24</v>
      </c>
      <c r="B9" s="81" t="s">
        <v>50</v>
      </c>
      <c r="C9" s="81" t="s">
        <v>500</v>
      </c>
      <c r="D9" s="81" t="s">
        <v>501</v>
      </c>
      <c r="E9" s="82">
        <v>46059</v>
      </c>
      <c r="F9" s="81" t="s">
        <v>431</v>
      </c>
      <c r="G9" s="81" t="s">
        <v>676</v>
      </c>
      <c r="H9" s="81">
        <v>47</v>
      </c>
    </row>
    <row r="10" spans="1:8">
      <c r="A10" s="54" t="s">
        <v>24</v>
      </c>
      <c r="B10" s="54" t="s">
        <v>50</v>
      </c>
      <c r="C10" s="54" t="s">
        <v>502</v>
      </c>
      <c r="D10" s="54" t="s">
        <v>503</v>
      </c>
      <c r="E10" s="55">
        <v>46059</v>
      </c>
      <c r="F10" s="54" t="s">
        <v>504</v>
      </c>
      <c r="G10" s="54" t="s">
        <v>677</v>
      </c>
      <c r="H10" s="54">
        <v>47</v>
      </c>
    </row>
    <row r="11" spans="1:8">
      <c r="A11" s="81" t="s">
        <v>24</v>
      </c>
      <c r="B11" s="81" t="s">
        <v>50</v>
      </c>
      <c r="C11" s="81" t="s">
        <v>508</v>
      </c>
      <c r="D11" s="81" t="s">
        <v>509</v>
      </c>
      <c r="E11" s="82">
        <v>46062</v>
      </c>
      <c r="F11" s="81" t="s">
        <v>510</v>
      </c>
      <c r="G11" s="81" t="s">
        <v>678</v>
      </c>
      <c r="H11" s="81">
        <v>44</v>
      </c>
    </row>
    <row r="12" spans="1:8">
      <c r="A12" s="54" t="s">
        <v>24</v>
      </c>
      <c r="B12" s="54" t="s">
        <v>50</v>
      </c>
      <c r="C12" s="54" t="s">
        <v>514</v>
      </c>
      <c r="D12" s="54" t="s">
        <v>515</v>
      </c>
      <c r="E12" s="55">
        <v>46063</v>
      </c>
      <c r="F12" s="54" t="s">
        <v>516</v>
      </c>
      <c r="G12" s="54" t="s">
        <v>679</v>
      </c>
      <c r="H12" s="54">
        <v>43</v>
      </c>
    </row>
    <row r="13" spans="1:8">
      <c r="A13" s="81" t="s">
        <v>24</v>
      </c>
      <c r="B13" s="81" t="s">
        <v>517</v>
      </c>
      <c r="C13" s="81" t="s">
        <v>518</v>
      </c>
      <c r="D13" s="81" t="s">
        <v>451</v>
      </c>
      <c r="E13" s="82">
        <v>46063</v>
      </c>
      <c r="F13" s="81" t="s">
        <v>519</v>
      </c>
      <c r="G13" s="81" t="s">
        <v>69</v>
      </c>
      <c r="H13" s="81">
        <v>43</v>
      </c>
    </row>
    <row r="14" spans="1:8">
      <c r="A14" s="54" t="s">
        <v>24</v>
      </c>
      <c r="B14" s="54" t="s">
        <v>52</v>
      </c>
      <c r="C14" s="54" t="s">
        <v>520</v>
      </c>
      <c r="D14" s="54" t="s">
        <v>424</v>
      </c>
      <c r="E14" s="55">
        <v>46077</v>
      </c>
      <c r="F14" s="54" t="s">
        <v>521</v>
      </c>
      <c r="G14" s="54" t="s">
        <v>69</v>
      </c>
      <c r="H14" s="54">
        <v>29</v>
      </c>
    </row>
    <row r="15" spans="1:8">
      <c r="A15" s="81" t="s">
        <v>24</v>
      </c>
      <c r="B15" s="81" t="s">
        <v>50</v>
      </c>
      <c r="C15" s="81" t="s">
        <v>522</v>
      </c>
      <c r="D15" s="81" t="s">
        <v>523</v>
      </c>
      <c r="E15" s="82">
        <v>46076</v>
      </c>
      <c r="F15" s="81" t="s">
        <v>524</v>
      </c>
      <c r="G15" s="81" t="s">
        <v>680</v>
      </c>
      <c r="H15" s="81">
        <v>30</v>
      </c>
    </row>
    <row r="16" spans="1:8">
      <c r="A16" s="54" t="s">
        <v>24</v>
      </c>
      <c r="B16" s="54" t="s">
        <v>51</v>
      </c>
      <c r="C16" s="54" t="s">
        <v>525</v>
      </c>
      <c r="D16" s="54" t="s">
        <v>526</v>
      </c>
      <c r="E16" s="55">
        <v>46069</v>
      </c>
      <c r="F16" s="54" t="s">
        <v>527</v>
      </c>
      <c r="G16" s="54" t="s">
        <v>69</v>
      </c>
      <c r="H16" s="54">
        <v>37</v>
      </c>
    </row>
    <row r="17" spans="1:8">
      <c r="A17" s="81" t="s">
        <v>24</v>
      </c>
      <c r="B17" s="81" t="s">
        <v>50</v>
      </c>
      <c r="C17" s="81" t="s">
        <v>531</v>
      </c>
      <c r="D17" s="81" t="s">
        <v>532</v>
      </c>
      <c r="E17" s="82">
        <v>46072</v>
      </c>
      <c r="F17" s="81" t="s">
        <v>533</v>
      </c>
      <c r="G17" s="81" t="s">
        <v>681</v>
      </c>
      <c r="H17" s="81">
        <v>34</v>
      </c>
    </row>
    <row r="18" spans="1:8">
      <c r="A18" s="54" t="s">
        <v>24</v>
      </c>
      <c r="B18" s="54" t="s">
        <v>50</v>
      </c>
      <c r="C18" s="54" t="s">
        <v>534</v>
      </c>
      <c r="D18" s="54" t="s">
        <v>535</v>
      </c>
      <c r="E18" s="55">
        <v>46076</v>
      </c>
      <c r="F18" s="54" t="s">
        <v>536</v>
      </c>
      <c r="G18" s="54" t="s">
        <v>72</v>
      </c>
      <c r="H18" s="54">
        <v>30</v>
      </c>
    </row>
    <row r="19" spans="1:8">
      <c r="A19" s="81" t="s">
        <v>24</v>
      </c>
      <c r="B19" s="81" t="s">
        <v>50</v>
      </c>
      <c r="C19" s="81" t="s">
        <v>537</v>
      </c>
      <c r="D19" s="81" t="s">
        <v>538</v>
      </c>
      <c r="E19" s="82">
        <v>46077</v>
      </c>
      <c r="F19" s="81" t="s">
        <v>539</v>
      </c>
      <c r="G19" s="81" t="s">
        <v>677</v>
      </c>
      <c r="H19" s="81">
        <v>29</v>
      </c>
    </row>
    <row r="20" spans="1:8">
      <c r="A20" s="54" t="s">
        <v>24</v>
      </c>
      <c r="B20" s="54" t="s">
        <v>50</v>
      </c>
      <c r="C20" s="54" t="s">
        <v>540</v>
      </c>
      <c r="D20" s="54" t="s">
        <v>541</v>
      </c>
      <c r="E20" s="55">
        <v>46077</v>
      </c>
      <c r="F20" s="54" t="s">
        <v>539</v>
      </c>
      <c r="G20" s="54" t="s">
        <v>682</v>
      </c>
      <c r="H20" s="54">
        <v>29</v>
      </c>
    </row>
    <row r="21" spans="1:8">
      <c r="A21" s="81" t="s">
        <v>24</v>
      </c>
      <c r="B21" s="81" t="s">
        <v>50</v>
      </c>
      <c r="C21" s="81" t="s">
        <v>542</v>
      </c>
      <c r="D21" s="81" t="s">
        <v>543</v>
      </c>
      <c r="E21" s="82">
        <v>46077</v>
      </c>
      <c r="F21" s="81" t="s">
        <v>539</v>
      </c>
      <c r="G21" s="81" t="s">
        <v>677</v>
      </c>
      <c r="H21" s="81">
        <v>29</v>
      </c>
    </row>
    <row r="22" spans="1:8">
      <c r="A22" s="54" t="s">
        <v>24</v>
      </c>
      <c r="B22" s="54" t="s">
        <v>50</v>
      </c>
      <c r="C22" s="54" t="s">
        <v>544</v>
      </c>
      <c r="D22" s="54" t="s">
        <v>545</v>
      </c>
      <c r="E22" s="55">
        <v>46083</v>
      </c>
      <c r="F22" s="54" t="s">
        <v>546</v>
      </c>
      <c r="G22" s="54" t="s">
        <v>683</v>
      </c>
      <c r="H22" s="54">
        <v>23</v>
      </c>
    </row>
    <row r="23" spans="1:8">
      <c r="A23" s="81" t="s">
        <v>24</v>
      </c>
      <c r="B23" s="81" t="s">
        <v>50</v>
      </c>
      <c r="C23" s="81" t="s">
        <v>547</v>
      </c>
      <c r="D23" s="81" t="s">
        <v>548</v>
      </c>
      <c r="E23" s="82">
        <v>46091</v>
      </c>
      <c r="F23" s="81" t="s">
        <v>549</v>
      </c>
      <c r="G23" s="81" t="s">
        <v>684</v>
      </c>
      <c r="H23" s="81">
        <v>15</v>
      </c>
    </row>
    <row r="24" spans="1:8">
      <c r="A24" s="54" t="s">
        <v>24</v>
      </c>
      <c r="B24" s="54" t="s">
        <v>50</v>
      </c>
      <c r="C24" s="54" t="s">
        <v>550</v>
      </c>
      <c r="D24" s="54" t="s">
        <v>551</v>
      </c>
      <c r="E24" s="55">
        <v>46084</v>
      </c>
      <c r="F24" s="54" t="s">
        <v>552</v>
      </c>
      <c r="G24" s="54" t="s">
        <v>685</v>
      </c>
      <c r="H24" s="54">
        <v>22</v>
      </c>
    </row>
    <row r="25" spans="1:8">
      <c r="A25" s="81" t="s">
        <v>24</v>
      </c>
      <c r="B25" s="81" t="s">
        <v>50</v>
      </c>
      <c r="C25" s="81" t="s">
        <v>553</v>
      </c>
      <c r="D25" s="81" t="s">
        <v>554</v>
      </c>
      <c r="E25" s="82">
        <v>46080</v>
      </c>
      <c r="F25" s="81" t="s">
        <v>555</v>
      </c>
      <c r="G25" s="81" t="s">
        <v>686</v>
      </c>
      <c r="H25" s="81">
        <v>26</v>
      </c>
    </row>
    <row r="26" spans="1:8">
      <c r="A26" s="54" t="s">
        <v>25</v>
      </c>
      <c r="B26" s="54" t="s">
        <v>50</v>
      </c>
      <c r="C26" s="54" t="s">
        <v>589</v>
      </c>
      <c r="D26" s="54" t="s">
        <v>590</v>
      </c>
      <c r="E26" s="55">
        <v>46092</v>
      </c>
      <c r="F26" s="54" t="s">
        <v>533</v>
      </c>
      <c r="G26" s="54" t="s">
        <v>683</v>
      </c>
      <c r="H26" s="54">
        <v>14</v>
      </c>
    </row>
    <row r="27" spans="1:8">
      <c r="A27" s="81" t="s">
        <v>25</v>
      </c>
      <c r="B27" s="81" t="s">
        <v>50</v>
      </c>
      <c r="C27" s="81" t="s">
        <v>592</v>
      </c>
      <c r="D27" s="81" t="s">
        <v>593</v>
      </c>
      <c r="E27" s="82">
        <v>46097</v>
      </c>
      <c r="F27" s="81" t="s">
        <v>687</v>
      </c>
      <c r="G27" s="81" t="s">
        <v>684</v>
      </c>
      <c r="H27" s="81">
        <v>9</v>
      </c>
    </row>
    <row r="28" spans="1:8">
      <c r="A28" s="54" t="s">
        <v>25</v>
      </c>
      <c r="B28" s="54" t="s">
        <v>50</v>
      </c>
      <c r="C28" s="54" t="s">
        <v>595</v>
      </c>
      <c r="D28" s="54" t="s">
        <v>596</v>
      </c>
      <c r="E28" s="55">
        <v>46097</v>
      </c>
      <c r="F28" s="54" t="s">
        <v>594</v>
      </c>
      <c r="G28" s="54" t="s">
        <v>688</v>
      </c>
      <c r="H28" s="54">
        <v>9</v>
      </c>
    </row>
    <row r="29" spans="1:8">
      <c r="A29" s="81" t="s">
        <v>25</v>
      </c>
      <c r="B29" s="81" t="s">
        <v>50</v>
      </c>
      <c r="C29" s="81" t="s">
        <v>597</v>
      </c>
      <c r="D29" s="81" t="s">
        <v>598</v>
      </c>
      <c r="E29" s="82">
        <v>46104</v>
      </c>
      <c r="F29" s="81" t="s">
        <v>599</v>
      </c>
      <c r="G29" s="81" t="s">
        <v>688</v>
      </c>
      <c r="H29" s="81">
        <v>2</v>
      </c>
    </row>
    <row r="30" spans="1:8">
      <c r="A30" s="54" t="s">
        <v>25</v>
      </c>
      <c r="B30" s="54" t="s">
        <v>50</v>
      </c>
      <c r="C30" s="54" t="s">
        <v>600</v>
      </c>
      <c r="D30" s="54" t="s">
        <v>601</v>
      </c>
      <c r="E30" s="55">
        <v>46111</v>
      </c>
      <c r="F30" s="54" t="s">
        <v>602</v>
      </c>
      <c r="G30" s="54" t="s">
        <v>688</v>
      </c>
      <c r="H30" s="54">
        <v>-5</v>
      </c>
    </row>
    <row r="31" spans="1:8">
      <c r="A31" s="81" t="s">
        <v>25</v>
      </c>
      <c r="B31" s="81" t="s">
        <v>50</v>
      </c>
      <c r="C31" s="81" t="s">
        <v>603</v>
      </c>
      <c r="D31" s="81" t="s">
        <v>604</v>
      </c>
      <c r="E31" s="82"/>
      <c r="F31" s="81" t="s">
        <v>689</v>
      </c>
      <c r="G31" s="81" t="s">
        <v>688</v>
      </c>
      <c r="H31" s="81"/>
    </row>
  </sheetData>
  <mergeCells count="1">
    <mergeCell ref="A1:H1"/>
  </mergeCells>
  <pageMargins left="0.7" right="0.7" top="0.75" bottom="0.75" header="0.3" footer="0.3"/>
  <pageSetup fitToHeight="0"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H3"/>
  <sheetViews>
    <sheetView showGridLines="0" zoomScale="80" zoomScaleNormal="80" workbookViewId="0">
      <pane ySplit="3" topLeftCell="A16" activePane="bottomLeft" state="frozen"/>
      <selection pane="bottomLeft" activeCell="F16" sqref="F16"/>
    </sheetView>
  </sheetViews>
  <sheetFormatPr defaultColWidth="9" defaultRowHeight="13.5"/>
  <cols>
    <col min="1" max="1" width="12.5703125" style="42" customWidth="1"/>
    <col min="2" max="2" width="15.5703125" style="42" customWidth="1"/>
    <col min="3" max="4" width="14.5703125" style="42" customWidth="1"/>
    <col min="5" max="5" width="12.5703125" style="42" customWidth="1"/>
    <col min="6" max="6" width="24.5703125" style="42" customWidth="1"/>
    <col min="7" max="7" width="14.5703125" style="42" customWidth="1"/>
    <col min="8" max="8" width="24.5703125" style="42" customWidth="1"/>
    <col min="9" max="9" width="9" style="42" customWidth="1"/>
    <col min="10" max="16384" width="9" style="42"/>
  </cols>
  <sheetData>
    <row r="1" spans="1:8" ht="33.75" customHeight="1">
      <c r="A1" s="110" t="s">
        <v>690</v>
      </c>
      <c r="B1" s="114"/>
      <c r="C1" s="114"/>
      <c r="D1" s="114"/>
      <c r="E1" s="114"/>
      <c r="F1" s="114"/>
      <c r="G1" s="114"/>
      <c r="H1" s="114"/>
    </row>
    <row r="2" spans="1:8" ht="18" customHeight="1">
      <c r="A2" s="41" t="s">
        <v>79</v>
      </c>
    </row>
    <row r="3" spans="1:8" ht="27.75" customHeight="1" thickBot="1">
      <c r="A3" s="44" t="s">
        <v>14</v>
      </c>
      <c r="B3" s="44" t="s">
        <v>408</v>
      </c>
      <c r="C3" s="44" t="s">
        <v>409</v>
      </c>
      <c r="D3" s="44" t="s">
        <v>410</v>
      </c>
      <c r="E3" s="44" t="s">
        <v>412</v>
      </c>
      <c r="F3" s="44" t="s">
        <v>413</v>
      </c>
      <c r="G3" s="44" t="s">
        <v>415</v>
      </c>
      <c r="H3" s="44" t="s">
        <v>691</v>
      </c>
    </row>
  </sheetData>
  <mergeCells count="1">
    <mergeCell ref="A1:H1"/>
  </mergeCells>
  <pageMargins left="0.7" right="0.7" top="0.75" bottom="0.75" header="0.3" footer="0.3"/>
  <pageSetup fitToHeight="0" orientation="landscape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01F060519D0B4BB1CFCC8B56A8CA1E" ma:contentTypeVersion="3" ma:contentTypeDescription="Create a new document." ma:contentTypeScope="" ma:versionID="912f992850b63477462b0a0fc4e2ab8c">
  <xsd:schema xmlns:xsd="http://www.w3.org/2001/XMLSchema" xmlns:xs="http://www.w3.org/2001/XMLSchema" xmlns:p="http://schemas.microsoft.com/office/2006/metadata/properties" xmlns:ns2="8119e2b5-7474-4dfc-871b-dc94d14d3a22" targetNamespace="http://schemas.microsoft.com/office/2006/metadata/properties" ma:root="true" ma:fieldsID="57dd61d786d5c192cdc399324b00f472" ns2:_="">
    <xsd:import namespace="8119e2b5-7474-4dfc-871b-dc94d14d3a2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19e2b5-7474-4dfc-871b-dc94d14d3a2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289ADBF-FF87-4F3F-8055-B5AEB6AE242D}"/>
</file>

<file path=customXml/itemProps2.xml><?xml version="1.0" encoding="utf-8"?>
<ds:datastoreItem xmlns:ds="http://schemas.openxmlformats.org/officeDocument/2006/customXml" ds:itemID="{1B55AFE6-4119-408B-AE20-AB38BAB05A93}"/>
</file>

<file path=customXml/itemProps3.xml><?xml version="1.0" encoding="utf-8"?>
<ds:datastoreItem xmlns:ds="http://schemas.openxmlformats.org/officeDocument/2006/customXml" ds:itemID="{6DCFBE57-08F4-408E-A91F-80988DC2333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Sheri McMahan</cp:lastModifiedBy>
  <cp:revision>0</cp:revision>
  <dcterms:created xsi:type="dcterms:W3CDTF">2026-02-23T18:10:51Z</dcterms:created>
  <dcterms:modified xsi:type="dcterms:W3CDTF">2026-04-13T19:16:25Z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0x010100DD01F060519D0B4BB1CFCC8B56A8CA1E</vt:lpwstr>
  </property>
</Properties>
</file>